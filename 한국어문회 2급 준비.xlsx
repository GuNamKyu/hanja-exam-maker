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롬프트" sheetId="1" r:id="rId5"/>
    <sheet state="visible" name="부수" sheetId="2" r:id="rId6"/>
    <sheet state="visible" name="약자" sheetId="3" r:id="rId7"/>
    <sheet state="visible" name="유의어반의어상대어" sheetId="4" r:id="rId8"/>
    <sheet state="visible" name="뜻풀이" sheetId="5" r:id="rId9"/>
    <sheet state="visible" name="같은 음 단어" sheetId="6" r:id="rId10"/>
    <sheet state="visible" name="사자성어" sheetId="7" r:id="rId11"/>
    <sheet state="visible" name="쓰기" sheetId="8" r:id="rId12"/>
    <sheet state="visible" name="빈출" sheetId="9" r:id="rId13"/>
  </sheets>
  <definedNames>
    <definedName hidden="1" localSheetId="3" name="_xlnm._FilterDatabase">'유의어반의어상대어'!$B$2:$J$3928</definedName>
  </definedNames>
  <calcPr/>
</workbook>
</file>

<file path=xl/sharedStrings.xml><?xml version="1.0" encoding="utf-8"?>
<sst xmlns="http://schemas.openxmlformats.org/spreadsheetml/2006/main" count="25056" uniqueCount="13070">
  <si>
    <t>자체 제작</t>
  </si>
  <si>
    <t>부수, 약자, 유의어/반의어/상대어, 뜻풀이, 동음이의어, 사자성어, 쓰기로 분류해서 각각 표로 정리. 출처는 표기 금지.
위의 분류는 다음의 형식을 따름. '/'는 엑셀 내 열의 구분을 의미.
부수 : 甸   / 경기 전 /  田 / 밭 전
약자 : 廢  / 폐할 폐 / 廃
유의어, 반의어, 상대어(각 유형 구분!) : 유의어 / 峽( ) (골짜기) /谷/골 곡/협곡 (峽谷), 단어가 두 개 이상이면 훈 음 / 훈 음 형태로.
뜻풀이 : 振舒/진서/위세나 명성 따위를 떨쳐서 폄
동음이의어 : (怡和)/배꽃/梨花/이화
사자성어 : 畫蛇( )足/添/더할 첨/화사첨족(畫蛇添足)/뱀을 그리고 발을 더함 (쓸데없는 짓)
쓰기 : 홍보/ 弘報 (클 홍, 알릴 보)
+ 유의어/반의어 문제( )에서 괄호 안에는 공백을 유지, 그 옆의 괄호는 단어의 뜻을 유추할 수 있는 힌트(전체 단어의 의미)를 부기, 사자성어도 공백을 유지.</t>
  </si>
  <si>
    <t>1차 수정</t>
  </si>
  <si>
    <t>부수, 약자, 유의어/반의어/상대어, 뜻풀이, 동음이의어, 사자성어, 쓰기로 분류해서 다음의 형식으로 각각 표로 정리. 출처는 표기 금지.
1. 유의어/반의어/상대어 형식 수정 (열 분리): 유의어/반의어/상대어 형식 : 유형 / 문제 (공백 유지) / 힌트 (전체 단어 뜻) / 정답 한자 / 정답 훈음 / 완성 단어 (독음) (예시: 유의어 / 峽( ) / 골짜기 / 谷 / 골 곡 / 협곡 (峽谷))
2. 사자성어 형식 수정 (빈칸 유지): 사자성어 형식 : 문제 (공백 유지) / 빈칸 정답 / 훈음 / 완성 성어 (독음) / 뜻풀이 (예시: 畫蛇( )足 / 添 / 더할 첨 / 화사첨족 (畫蛇添足) / 뱀을 그리고 발을 더함 (쓸데없는 짓))
나머지 형식 유지:
부수 형식 : 熹 / 성할 희 / 火 (灬) / 불 화
약자 형식 : 廢 / 폐할 폐 / 廃
뜻풀이 형식 : 振舒 / 진서 / 위세나 명성 따위를 떨쳐서 폄
동음이의어 형식 : (怡和) / 배꽃 / 梨花 / 이화
쓰기 형식 : 홍보 / 弘報 (클 홍, 알릴 보)</t>
  </si>
  <si>
    <t>2차 수정</t>
  </si>
  <si>
    <t>역할: 한자능력검정시험 기출문제 분석 및 정리 전문가
지시 사항: 제공된 한자능력검정시험 문제 파일을 분석하여, 아래 7가지 카테고리(부수, 약자, 유의어/반의어/상대어, 뜻풀이, 동음이의어, 사자성어, 쓰기)로 분류하고 각각 표로 정리해 주세요. 데이터의 출처는 표기하지 마십시오.
각 카테고리별 표 작성 형식: (모든 표는 엑셀 등에서 활용하기 좋게 내용을 정확히 구분해 주세요)
1. 부수
형식: 문제 한자 | 훈음 | 부수 | 부수 훈음
예시: 熹 | 성할 희 | 火 (灬) | 불 화
2. 약자
형식: 정자 | 훈음 | 약자
예시: 廢 | 폐할 폐 | 廃
3. 유의어 / 반의어 / 상대어
지침:
유형을 유의어, 반의어, 상대어로 구분하여 첫 열에 기입하십시오.
문제의 괄호 ( ) 안은 공백으로 유지하십시오.
문제 옆에는 전체 단어의 의미나 힌트를 별도 열로 분리하십시오.
형식: 유형 | 문제 (공백 유지) | 힌트 (전체 단어 뜻) | 정답 한자 | 정답 훈음 | 완성 단어 (독음)
예시: 유의어 | 峽( ) | 골짜기 | 谷 | 골 곡 | 협곡 (峽谷)
예시: 상대어 | 遲( ) ↔ 敏速 | 민첩함과 둔함 | 鈍 | 둔할 둔 | 지둔 (遲鈍)
4. 뜻풀이
형식: 한자어 | 독음 | 뜻풀이
예시: 振舒 | 진서 | 위세나 명성 따위를 떨쳐서 폄
5. 동음이의어
형식: (문제 한자어) | 뜻풀이 (힌트) | 정답 한자어 | 독음
예시: (怡和) | 배꽃 | 梨花 | 이화
6. 사자성어
지침: 문제의 괄호 ( ) 안은 정답을 채우지 말고 공백으로 두십시오.
형식: 문제 (공백 유지) | 빈칸 정답 | 훈음 | 완성 성어 (독음) | 뜻풀이
예시: 畫蛇( )足 | 添 | 더할 첨 | 화사첨족 (畫蛇添足) | 뱀을 그리고 발을 더함 (쓸데없는 짓)
7. 쓰기
지침: 문제 번호 열은 제외하고 정리하십시오.
형식: 문제 (한글) | 정답 한자어 | 훈음 병기
예시: 홍보 | 弘報 | 클 홍, 알릴 보</t>
  </si>
  <si>
    <t>번호</t>
  </si>
  <si>
    <t>회차</t>
  </si>
  <si>
    <t>문제</t>
  </si>
  <si>
    <t>독음</t>
  </si>
  <si>
    <t>정답 (부수)</t>
  </si>
  <si>
    <t>부수 이름</t>
  </si>
  <si>
    <t>출제</t>
  </si>
  <si>
    <t>오답</t>
  </si>
  <si>
    <t>熹</t>
  </si>
  <si>
    <t>성할 희</t>
  </si>
  <si>
    <t>火 (灬)</t>
  </si>
  <si>
    <t>불 화</t>
  </si>
  <si>
    <t>O</t>
  </si>
  <si>
    <t>阜</t>
  </si>
  <si>
    <t>언덕 부</t>
  </si>
  <si>
    <t>언덕부(제부수)</t>
  </si>
  <si>
    <t>釜</t>
  </si>
  <si>
    <t>가마 부</t>
  </si>
  <si>
    <t>金</t>
  </si>
  <si>
    <t>쇠 금</t>
  </si>
  <si>
    <t>岡</t>
  </si>
  <si>
    <t>산등성이 강</t>
  </si>
  <si>
    <t>山</t>
  </si>
  <si>
    <t>산 산</t>
  </si>
  <si>
    <t>昴</t>
  </si>
  <si>
    <t>별자리 이름 묘</t>
  </si>
  <si>
    <t>日</t>
  </si>
  <si>
    <t>날 일</t>
  </si>
  <si>
    <t>攴</t>
  </si>
  <si>
    <t>칠 복</t>
  </si>
  <si>
    <t>攴 (또는 攵)</t>
  </si>
  <si>
    <t>旴</t>
  </si>
  <si>
    <t>클 우</t>
  </si>
  <si>
    <t>庄</t>
  </si>
  <si>
    <t>농막 장</t>
  </si>
  <si>
    <t>广</t>
  </si>
  <si>
    <t>엄호</t>
  </si>
  <si>
    <t>鑑</t>
  </si>
  <si>
    <t>거울 감</t>
  </si>
  <si>
    <t>耆</t>
  </si>
  <si>
    <t>늙은이 기</t>
  </si>
  <si>
    <t>老</t>
  </si>
  <si>
    <t>늙을 로</t>
  </si>
  <si>
    <t>甸</t>
  </si>
  <si>
    <t>경기 전</t>
  </si>
  <si>
    <t>田</t>
  </si>
  <si>
    <t>밭 전</t>
  </si>
  <si>
    <t>烋</t>
  </si>
  <si>
    <t>아름다울 휴</t>
  </si>
  <si>
    <t>火</t>
  </si>
  <si>
    <t>언덕 부 (제부수)</t>
  </si>
  <si>
    <t>馨</t>
  </si>
  <si>
    <t>향기 형</t>
  </si>
  <si>
    <t>香</t>
  </si>
  <si>
    <t>향기 향</t>
  </si>
  <si>
    <t>襄</t>
  </si>
  <si>
    <t>도울 양</t>
  </si>
  <si>
    <t>衣</t>
  </si>
  <si>
    <t>옷 의</t>
  </si>
  <si>
    <t>雇</t>
  </si>
  <si>
    <t>고용할 고</t>
  </si>
  <si>
    <t>佳</t>
  </si>
  <si>
    <t>아름다울 가</t>
  </si>
  <si>
    <t>傘</t>
  </si>
  <si>
    <t>우산 산</t>
  </si>
  <si>
    <t>人</t>
  </si>
  <si>
    <t>사람 인</t>
  </si>
  <si>
    <t>升</t>
  </si>
  <si>
    <t>되 승</t>
  </si>
  <si>
    <t>十</t>
  </si>
  <si>
    <t>열 십</t>
  </si>
  <si>
    <t>弁</t>
  </si>
  <si>
    <t>고깔 변</t>
  </si>
  <si>
    <t>廾</t>
  </si>
  <si>
    <t>스무 입</t>
  </si>
  <si>
    <t>謄</t>
  </si>
  <si>
    <t>베낄 등</t>
  </si>
  <si>
    <t>言</t>
  </si>
  <si>
    <t>말씀 언</t>
  </si>
  <si>
    <t>呈</t>
  </si>
  <si>
    <t>드릴 정</t>
  </si>
  <si>
    <t>口</t>
  </si>
  <si>
    <t>입 구</t>
  </si>
  <si>
    <t>劣</t>
  </si>
  <si>
    <t>못할 렬</t>
  </si>
  <si>
    <t>力</t>
  </si>
  <si>
    <t>힘 력</t>
  </si>
  <si>
    <t>蠻</t>
  </si>
  <si>
    <t>오랑캐 만</t>
  </si>
  <si>
    <t>虫</t>
  </si>
  <si>
    <t>벌레 충</t>
  </si>
  <si>
    <t>矛</t>
  </si>
  <si>
    <t>창 모</t>
  </si>
  <si>
    <t>蜀</t>
  </si>
  <si>
    <t>나비 애벌레 촉</t>
  </si>
  <si>
    <t>禹</t>
  </si>
  <si>
    <t>성 우</t>
  </si>
  <si>
    <t>禸</t>
  </si>
  <si>
    <t>짐승 발자국 유</t>
  </si>
  <si>
    <t>鞠</t>
  </si>
  <si>
    <t>국문할 국</t>
  </si>
  <si>
    <t>革</t>
  </si>
  <si>
    <t>가죽 혁</t>
  </si>
  <si>
    <t>毖</t>
  </si>
  <si>
    <t>삼갈 비</t>
  </si>
  <si>
    <t>比</t>
  </si>
  <si>
    <t>견줄 비</t>
  </si>
  <si>
    <t>甫</t>
  </si>
  <si>
    <t>클 보</t>
  </si>
  <si>
    <t>用</t>
  </si>
  <si>
    <t>쓸 용</t>
  </si>
  <si>
    <t>姜</t>
  </si>
  <si>
    <t>성 강</t>
  </si>
  <si>
    <t>女</t>
  </si>
  <si>
    <t>계집 녀</t>
  </si>
  <si>
    <t>尹</t>
  </si>
  <si>
    <t>다스릴 윤</t>
  </si>
  <si>
    <t>尸</t>
  </si>
  <si>
    <t>주검 시</t>
  </si>
  <si>
    <t>鄭</t>
  </si>
  <si>
    <t>나라 정</t>
  </si>
  <si>
    <t>邑</t>
  </si>
  <si>
    <t>고을 읍</t>
  </si>
  <si>
    <t>奭</t>
  </si>
  <si>
    <t>클 석</t>
  </si>
  <si>
    <t>大</t>
  </si>
  <si>
    <t>큰 대</t>
  </si>
  <si>
    <t>兢</t>
  </si>
  <si>
    <t>떨릴 긍</t>
  </si>
  <si>
    <t>儿</t>
  </si>
  <si>
    <t>어진사람 인</t>
  </si>
  <si>
    <t>欽</t>
  </si>
  <si>
    <t>공경할 흠</t>
  </si>
  <si>
    <t>欠</t>
  </si>
  <si>
    <t>하품 흠</t>
  </si>
  <si>
    <t>劉</t>
  </si>
  <si>
    <t>죽일 류</t>
  </si>
  <si>
    <t>刀(刂)</t>
  </si>
  <si>
    <t>칼 도</t>
  </si>
  <si>
    <t>咸</t>
  </si>
  <si>
    <t>다 함</t>
  </si>
  <si>
    <t>年</t>
  </si>
  <si>
    <t>해 년</t>
  </si>
  <si>
    <t>干</t>
  </si>
  <si>
    <t>방패 간</t>
  </si>
  <si>
    <t>亞</t>
  </si>
  <si>
    <t>버금 아</t>
  </si>
  <si>
    <t>二</t>
  </si>
  <si>
    <t>두 이</t>
  </si>
  <si>
    <t>令</t>
  </si>
  <si>
    <t>하여금 령</t>
  </si>
  <si>
    <t>于</t>
  </si>
  <si>
    <t>어조사 우</t>
  </si>
  <si>
    <t>兌</t>
  </si>
  <si>
    <t>바꿀 태</t>
  </si>
  <si>
    <t>串</t>
  </si>
  <si>
    <t>꿸 관</t>
  </si>
  <si>
    <t>丨</t>
  </si>
  <si>
    <t>뚫을 곤</t>
  </si>
  <si>
    <t>殷</t>
  </si>
  <si>
    <t>성할 은</t>
  </si>
  <si>
    <t>殳</t>
  </si>
  <si>
    <t>몽둥이 수</t>
  </si>
  <si>
    <t>尤</t>
  </si>
  <si>
    <t>더욱 우</t>
  </si>
  <si>
    <t>尢</t>
  </si>
  <si>
    <t>절름발이 왕</t>
  </si>
  <si>
    <t>屍</t>
  </si>
  <si>
    <t>庠</t>
  </si>
  <si>
    <t>학교 상</t>
  </si>
  <si>
    <t>집 엄</t>
  </si>
  <si>
    <t>玲</t>
  </si>
  <si>
    <t>옥소리 령</t>
  </si>
  <si>
    <t>玉(王)</t>
  </si>
  <si>
    <t>구슬 옥</t>
  </si>
  <si>
    <t>暴</t>
  </si>
  <si>
    <t>사나울 폭</t>
  </si>
  <si>
    <t>尺</t>
  </si>
  <si>
    <t>자 척</t>
  </si>
  <si>
    <t>衆(眾)</t>
  </si>
  <si>
    <t>무리 중</t>
  </si>
  <si>
    <t>血</t>
  </si>
  <si>
    <t>피 혈</t>
  </si>
  <si>
    <t>壯</t>
  </si>
  <si>
    <t>장할 장</t>
  </si>
  <si>
    <t>士</t>
  </si>
  <si>
    <t>선비 사</t>
  </si>
  <si>
    <t>疑</t>
  </si>
  <si>
    <t>의심할 의</t>
  </si>
  <si>
    <t>疋</t>
  </si>
  <si>
    <t>짝 필</t>
  </si>
  <si>
    <t>摩</t>
  </si>
  <si>
    <t>문지를 마</t>
  </si>
  <si>
    <t>手</t>
  </si>
  <si>
    <t>손 수</t>
  </si>
  <si>
    <t>戴</t>
  </si>
  <si>
    <t>일 대</t>
  </si>
  <si>
    <t>戈</t>
  </si>
  <si>
    <t>창 과</t>
  </si>
  <si>
    <t>鼎</t>
  </si>
  <si>
    <t>솥 정</t>
  </si>
  <si>
    <t>乭</t>
  </si>
  <si>
    <t>이름 돌</t>
  </si>
  <si>
    <t>乙</t>
  </si>
  <si>
    <t>새 을</t>
  </si>
  <si>
    <t>庫</t>
  </si>
  <si>
    <t>곳집 고</t>
  </si>
  <si>
    <t>豆</t>
  </si>
  <si>
    <t>콩 두</t>
  </si>
  <si>
    <t>裁</t>
  </si>
  <si>
    <t>마를 재</t>
  </si>
  <si>
    <t>戊</t>
  </si>
  <si>
    <t>무성할 무/천간 무</t>
  </si>
  <si>
    <t>垂</t>
  </si>
  <si>
    <t>드리울 수</t>
  </si>
  <si>
    <t>土</t>
  </si>
  <si>
    <t>흙 토</t>
  </si>
  <si>
    <t>尼</t>
  </si>
  <si>
    <t>여승 니</t>
  </si>
  <si>
    <t>垈</t>
  </si>
  <si>
    <t>터 대</t>
  </si>
  <si>
    <t>魔</t>
  </si>
  <si>
    <t>마귀 마</t>
  </si>
  <si>
    <t>鬼</t>
  </si>
  <si>
    <t>귀신 귀</t>
  </si>
  <si>
    <t>舶</t>
  </si>
  <si>
    <t>큰배 박</t>
  </si>
  <si>
    <t>舟</t>
  </si>
  <si>
    <t>배 주</t>
  </si>
  <si>
    <t>奎</t>
  </si>
  <si>
    <t>별 규</t>
  </si>
  <si>
    <t>甄</t>
  </si>
  <si>
    <t>질그릇 견</t>
  </si>
  <si>
    <t>瓦</t>
  </si>
  <si>
    <t>기와 와</t>
  </si>
  <si>
    <t>廬</t>
  </si>
  <si>
    <t>오두막집 려</t>
  </si>
  <si>
    <t>蔑</t>
  </si>
  <si>
    <t>업신여길 멸</t>
  </si>
  <si>
    <t>艸</t>
  </si>
  <si>
    <t>풀 초</t>
  </si>
  <si>
    <t>插</t>
  </si>
  <si>
    <t>꽂을 삽</t>
  </si>
  <si>
    <t>手(扌)</t>
  </si>
  <si>
    <t>靴</t>
  </si>
  <si>
    <t>신 화</t>
  </si>
  <si>
    <t>箱</t>
  </si>
  <si>
    <t>상자 상</t>
  </si>
  <si>
    <t>竹</t>
  </si>
  <si>
    <t>대 죽</t>
  </si>
  <si>
    <t>霸</t>
  </si>
  <si>
    <t>으뜸 패</t>
  </si>
  <si>
    <t>雨</t>
  </si>
  <si>
    <t>비 우</t>
  </si>
  <si>
    <t>諮</t>
  </si>
  <si>
    <t>물을 자</t>
  </si>
  <si>
    <t>衍</t>
  </si>
  <si>
    <t>넓을 연</t>
  </si>
  <si>
    <t>行</t>
  </si>
  <si>
    <t>다닐 행</t>
  </si>
  <si>
    <t>刀</t>
  </si>
  <si>
    <t>翰</t>
  </si>
  <si>
    <t>날개 한</t>
  </si>
  <si>
    <t>羽</t>
  </si>
  <si>
    <t>깃 우</t>
  </si>
  <si>
    <t>楚</t>
  </si>
  <si>
    <t>초나라 초</t>
  </si>
  <si>
    <t>木</t>
  </si>
  <si>
    <t>나무 목</t>
  </si>
  <si>
    <t>期</t>
  </si>
  <si>
    <t>기약할 기</t>
  </si>
  <si>
    <t>月</t>
  </si>
  <si>
    <t>달 월</t>
  </si>
  <si>
    <t>永</t>
  </si>
  <si>
    <t>길 영</t>
  </si>
  <si>
    <t>水</t>
  </si>
  <si>
    <t>물 수</t>
  </si>
  <si>
    <t>脣</t>
  </si>
  <si>
    <t>입술 순</t>
  </si>
  <si>
    <t>月(肉)</t>
  </si>
  <si>
    <t>고기 육(달 월)</t>
  </si>
  <si>
    <t>類</t>
  </si>
  <si>
    <t>무리 류</t>
  </si>
  <si>
    <t>頁</t>
  </si>
  <si>
    <t>머리 혈</t>
  </si>
  <si>
    <t>喪</t>
  </si>
  <si>
    <t>잃을 상</t>
  </si>
  <si>
    <t>左</t>
  </si>
  <si>
    <t>왼 좌</t>
  </si>
  <si>
    <t>工</t>
  </si>
  <si>
    <t>장인 공</t>
  </si>
  <si>
    <t>民</t>
  </si>
  <si>
    <t>백성 민</t>
  </si>
  <si>
    <t>氏</t>
  </si>
  <si>
    <t>각시 씨</t>
  </si>
  <si>
    <t>象</t>
  </si>
  <si>
    <t>코끼리 상</t>
  </si>
  <si>
    <t>豕</t>
  </si>
  <si>
    <t>돼지 시</t>
  </si>
  <si>
    <t>良</t>
  </si>
  <si>
    <t>어질 량</t>
  </si>
  <si>
    <t>艮</t>
  </si>
  <si>
    <t>그칠 간</t>
  </si>
  <si>
    <t>慶</t>
  </si>
  <si>
    <t>경사 경</t>
  </si>
  <si>
    <t>心</t>
  </si>
  <si>
    <t>마음 심</t>
  </si>
  <si>
    <t>黨</t>
  </si>
  <si>
    <t>무리 당</t>
  </si>
  <si>
    <t>黑</t>
  </si>
  <si>
    <t>검을 흑</t>
  </si>
  <si>
    <t>巨</t>
  </si>
  <si>
    <t>클 거</t>
  </si>
  <si>
    <t>燾</t>
  </si>
  <si>
    <t>덮을 도</t>
  </si>
  <si>
    <t>甲</t>
  </si>
  <si>
    <t>갑옷 갑</t>
  </si>
  <si>
    <t>뫼 산</t>
  </si>
  <si>
    <t>飛</t>
  </si>
  <si>
    <t>날 비</t>
  </si>
  <si>
    <t>宙</t>
  </si>
  <si>
    <t>집 주</t>
  </si>
  <si>
    <t>宀</t>
  </si>
  <si>
    <t>갓머리</t>
  </si>
  <si>
    <t>徹</t>
  </si>
  <si>
    <t>통할 철</t>
  </si>
  <si>
    <t>彳</t>
  </si>
  <si>
    <t>두인변</t>
  </si>
  <si>
    <t>夜</t>
  </si>
  <si>
    <t>밤 야</t>
  </si>
  <si>
    <t>夕</t>
  </si>
  <si>
    <t>저녁 석</t>
  </si>
  <si>
    <t>季</t>
  </si>
  <si>
    <t>계절 계</t>
  </si>
  <si>
    <t>子</t>
  </si>
  <si>
    <t>아들 자</t>
  </si>
  <si>
    <t>郊</t>
  </si>
  <si>
    <t>들 교</t>
  </si>
  <si>
    <t>邑(阝)</t>
  </si>
  <si>
    <t>奔</t>
  </si>
  <si>
    <t>달릴 분</t>
  </si>
  <si>
    <t>尙</t>
  </si>
  <si>
    <t>오히려 상</t>
  </si>
  <si>
    <t>小</t>
  </si>
  <si>
    <t>작을 소</t>
  </si>
  <si>
    <t>聚</t>
  </si>
  <si>
    <t>모을 취</t>
  </si>
  <si>
    <t>耳</t>
  </si>
  <si>
    <t>귀 이</t>
  </si>
  <si>
    <t>羲</t>
  </si>
  <si>
    <t>복희씨 희</t>
  </si>
  <si>
    <t>羊</t>
  </si>
  <si>
    <t>양 양</t>
  </si>
  <si>
    <t>后</t>
  </si>
  <si>
    <t>임금 후</t>
  </si>
  <si>
    <t>弼</t>
  </si>
  <si>
    <t>도울 필</t>
  </si>
  <si>
    <t>弓</t>
  </si>
  <si>
    <t>활 궁</t>
  </si>
  <si>
    <t>耽</t>
  </si>
  <si>
    <t>즐길 탐</t>
  </si>
  <si>
    <t>刹</t>
  </si>
  <si>
    <t>절 찰</t>
  </si>
  <si>
    <t>尉</t>
  </si>
  <si>
    <t>벼슬 위</t>
  </si>
  <si>
    <t>寸</t>
  </si>
  <si>
    <t>마디 촌</t>
  </si>
  <si>
    <t>焦</t>
  </si>
  <si>
    <t>그을릴 초</t>
  </si>
  <si>
    <t>颱</t>
  </si>
  <si>
    <t>태풍 태</t>
  </si>
  <si>
    <t>風</t>
  </si>
  <si>
    <t>바람 풍</t>
  </si>
  <si>
    <t>坡</t>
  </si>
  <si>
    <t>언덕 파</t>
  </si>
  <si>
    <t>扁</t>
  </si>
  <si>
    <t>작을/넓적할 편</t>
  </si>
  <si>
    <t>戶</t>
  </si>
  <si>
    <t>지게 호</t>
  </si>
  <si>
    <t>雉</t>
  </si>
  <si>
    <t>꿩 치</t>
  </si>
  <si>
    <t>隹</t>
  </si>
  <si>
    <t>새 추</t>
  </si>
  <si>
    <t>互</t>
  </si>
  <si>
    <t>서로 호</t>
  </si>
  <si>
    <t>希</t>
  </si>
  <si>
    <t>바랄 희</t>
  </si>
  <si>
    <t>巾</t>
  </si>
  <si>
    <t>수건 건</t>
  </si>
  <si>
    <t>窮</t>
  </si>
  <si>
    <t>다할 궁</t>
  </si>
  <si>
    <t>穴</t>
  </si>
  <si>
    <t>구멍 혈</t>
  </si>
  <si>
    <t>穀</t>
  </si>
  <si>
    <t>곡식 곡</t>
  </si>
  <si>
    <t>禾</t>
  </si>
  <si>
    <t>벼 화</t>
  </si>
  <si>
    <t>喆</t>
  </si>
  <si>
    <t>밝을 철</t>
  </si>
  <si>
    <t>尖</t>
  </si>
  <si>
    <t>뾰족할 첨</t>
  </si>
  <si>
    <t>睿</t>
  </si>
  <si>
    <t>밝을 예</t>
  </si>
  <si>
    <t>目</t>
  </si>
  <si>
    <t>눈 목</t>
  </si>
  <si>
    <t>雙</t>
  </si>
  <si>
    <t>쌍 쌍</t>
  </si>
  <si>
    <t>嘗</t>
  </si>
  <si>
    <t>맛볼 상</t>
  </si>
  <si>
    <t>璋</t>
  </si>
  <si>
    <t>홀 장</t>
  </si>
  <si>
    <t>灘</t>
  </si>
  <si>
    <t>여울 탄</t>
  </si>
  <si>
    <t>水(氵)</t>
  </si>
  <si>
    <t>꽃다울 형</t>
  </si>
  <si>
    <t>庸</t>
  </si>
  <si>
    <t>衷</t>
  </si>
  <si>
    <t>속마음 충</t>
  </si>
  <si>
    <t>覓</t>
  </si>
  <si>
    <t>찾을 멱</t>
  </si>
  <si>
    <t>見</t>
  </si>
  <si>
    <t>볼 견</t>
  </si>
  <si>
    <t>裵</t>
  </si>
  <si>
    <t>성 배</t>
  </si>
  <si>
    <t>惹</t>
  </si>
  <si>
    <t>이끌 야</t>
  </si>
  <si>
    <t>往</t>
  </si>
  <si>
    <t>갈 왕</t>
  </si>
  <si>
    <t>두인변 / 걸을 척</t>
  </si>
  <si>
    <t>削</t>
  </si>
  <si>
    <t>깎을 삭</t>
  </si>
  <si>
    <t>刀 (刂)</t>
  </si>
  <si>
    <t>可</t>
  </si>
  <si>
    <t>옳을 가</t>
  </si>
  <si>
    <t>幕</t>
  </si>
  <si>
    <t>막 막</t>
  </si>
  <si>
    <t>鳳</t>
  </si>
  <si>
    <t>봉황 봉</t>
  </si>
  <si>
    <t>鳥</t>
  </si>
  <si>
    <t>새 조</t>
  </si>
  <si>
    <t>扈</t>
  </si>
  <si>
    <t>뒤따를 호</t>
  </si>
  <si>
    <t>집 호</t>
  </si>
  <si>
    <t>袁</t>
  </si>
  <si>
    <t>성 원</t>
  </si>
  <si>
    <t>丕</t>
  </si>
  <si>
    <t>클 비</t>
  </si>
  <si>
    <t>一</t>
  </si>
  <si>
    <t>한 일</t>
  </si>
  <si>
    <t>歪</t>
  </si>
  <si>
    <t>비뚤 외</t>
  </si>
  <si>
    <t>止</t>
  </si>
  <si>
    <t>그칠 지</t>
  </si>
  <si>
    <t>歲</t>
  </si>
  <si>
    <t>해 세</t>
  </si>
  <si>
    <t>申</t>
  </si>
  <si>
    <t>펼 신</t>
  </si>
  <si>
    <t>輿</t>
  </si>
  <si>
    <t>수레 여</t>
  </si>
  <si>
    <t>車</t>
  </si>
  <si>
    <t>수레 거</t>
  </si>
  <si>
    <t>栽</t>
  </si>
  <si>
    <t>심을 재</t>
  </si>
  <si>
    <t>書</t>
  </si>
  <si>
    <t>글 서</t>
  </si>
  <si>
    <t>世</t>
  </si>
  <si>
    <t>대 세</t>
  </si>
  <si>
    <t>皇</t>
  </si>
  <si>
    <t>임금 황</t>
  </si>
  <si>
    <t>白</t>
  </si>
  <si>
    <t>흰 백</t>
  </si>
  <si>
    <t>탈 초</t>
  </si>
  <si>
    <t>匹</t>
  </si>
  <si>
    <t>필 필</t>
  </si>
  <si>
    <t>匚</t>
  </si>
  <si>
    <t>상자 방</t>
  </si>
  <si>
    <t>培</t>
  </si>
  <si>
    <t>북돋울 배</t>
  </si>
  <si>
    <t>益</t>
  </si>
  <si>
    <t>더할 익</t>
  </si>
  <si>
    <t>皿</t>
  </si>
  <si>
    <t>그릇 명</t>
  </si>
  <si>
    <t>素</t>
  </si>
  <si>
    <t>바탕 소</t>
  </si>
  <si>
    <t>糸</t>
  </si>
  <si>
    <t>실 사</t>
  </si>
  <si>
    <t>鶴</t>
  </si>
  <si>
    <t>학 학</t>
  </si>
  <si>
    <t>出</t>
  </si>
  <si>
    <t>날 출</t>
  </si>
  <si>
    <t>凵</t>
  </si>
  <si>
    <t>위튼입구몸</t>
  </si>
  <si>
    <t>亥</t>
  </si>
  <si>
    <t>돼지 해</t>
  </si>
  <si>
    <t>亠</t>
  </si>
  <si>
    <t>돼지해머리</t>
  </si>
  <si>
    <t>豚</t>
  </si>
  <si>
    <t>돼지 돈</t>
  </si>
  <si>
    <t>句</t>
  </si>
  <si>
    <t>글귀 구</t>
  </si>
  <si>
    <t>勹</t>
  </si>
  <si>
    <t>쌀 포</t>
  </si>
  <si>
    <t>徽</t>
  </si>
  <si>
    <t>아름다울 휘</t>
  </si>
  <si>
    <t>毁</t>
  </si>
  <si>
    <t>헐 훼</t>
  </si>
  <si>
    <t>獲</t>
  </si>
  <si>
    <t>얻을 확</t>
  </si>
  <si>
    <t>犬(犭)</t>
  </si>
  <si>
    <t>개 견</t>
  </si>
  <si>
    <t>歡</t>
  </si>
  <si>
    <t>기쁠 환</t>
  </si>
  <si>
    <t>親</t>
  </si>
  <si>
    <t>친할 친</t>
  </si>
  <si>
    <t>光</t>
  </si>
  <si>
    <t>빛 광</t>
  </si>
  <si>
    <t>어진사람발 아</t>
  </si>
  <si>
    <t>勿</t>
  </si>
  <si>
    <t>말 물</t>
  </si>
  <si>
    <t>席</t>
  </si>
  <si>
    <t>자리 석</t>
  </si>
  <si>
    <t>府</t>
  </si>
  <si>
    <t>마을 부</t>
  </si>
  <si>
    <t>貨</t>
  </si>
  <si>
    <t>재화 화</t>
  </si>
  <si>
    <t>貝</t>
  </si>
  <si>
    <t>조개 패</t>
  </si>
  <si>
    <t>航</t>
  </si>
  <si>
    <t>배 항</t>
  </si>
  <si>
    <t>獨</t>
  </si>
  <si>
    <t>홀로 독</t>
  </si>
  <si>
    <t>犭</t>
  </si>
  <si>
    <t>절름발이왕 유</t>
  </si>
  <si>
    <t>甚</t>
  </si>
  <si>
    <t>심할 심</t>
  </si>
  <si>
    <t>甘</t>
  </si>
  <si>
    <t>달 감</t>
  </si>
  <si>
    <t>再</t>
  </si>
  <si>
    <t>두 재</t>
  </si>
  <si>
    <t>冂</t>
  </si>
  <si>
    <t>멀경몸 경</t>
  </si>
  <si>
    <t>克</t>
  </si>
  <si>
    <t>이길 극</t>
  </si>
  <si>
    <t>美</t>
  </si>
  <si>
    <t>아름다울 미</t>
  </si>
  <si>
    <t>조금걸을 척</t>
  </si>
  <si>
    <t>葬</t>
  </si>
  <si>
    <t>장사지낼 장</t>
  </si>
  <si>
    <t>艹</t>
  </si>
  <si>
    <t>갖은등글월문 (칠 수)</t>
  </si>
  <si>
    <t>兔</t>
  </si>
  <si>
    <t>토끼 토</t>
  </si>
  <si>
    <t>어진사람인 발</t>
  </si>
  <si>
    <t>且</t>
  </si>
  <si>
    <t>또 차</t>
  </si>
  <si>
    <t>同</t>
  </si>
  <si>
    <t>한가지 동</t>
  </si>
  <si>
    <t>멀경몸</t>
  </si>
  <si>
    <t>未</t>
  </si>
  <si>
    <t>아닐 미</t>
  </si>
  <si>
    <t>式</t>
  </si>
  <si>
    <t>법식 식</t>
  </si>
  <si>
    <t>弋</t>
  </si>
  <si>
    <t>주살 익</t>
  </si>
  <si>
    <t>次</t>
  </si>
  <si>
    <t>버금 차</t>
  </si>
  <si>
    <t>昊</t>
  </si>
  <si>
    <t>하늘 호</t>
  </si>
  <si>
    <t>편지 한</t>
  </si>
  <si>
    <t>旌</t>
  </si>
  <si>
    <t>기 정</t>
  </si>
  <si>
    <t>方</t>
  </si>
  <si>
    <t>모 방</t>
  </si>
  <si>
    <t>넘칠 연</t>
  </si>
  <si>
    <t>妥</t>
  </si>
  <si>
    <t>온당할 타</t>
  </si>
  <si>
    <t>尿</t>
  </si>
  <si>
    <t>오줌 뇨</t>
  </si>
  <si>
    <t>飜</t>
  </si>
  <si>
    <t>번역할 번</t>
  </si>
  <si>
    <t>縣</t>
  </si>
  <si>
    <t>고을 현</t>
  </si>
  <si>
    <t>彦</t>
  </si>
  <si>
    <t>선비 언</t>
  </si>
  <si>
    <t>彡</t>
  </si>
  <si>
    <t>터럭 삼</t>
  </si>
  <si>
    <t>묘성 묘</t>
  </si>
  <si>
    <t>閔</t>
  </si>
  <si>
    <t>민망할 민</t>
  </si>
  <si>
    <t>門</t>
  </si>
  <si>
    <t>문 문</t>
  </si>
  <si>
    <t>卞</t>
  </si>
  <si>
    <t>법/성 변</t>
  </si>
  <si>
    <t>ト</t>
  </si>
  <si>
    <t>점 복</t>
  </si>
  <si>
    <t>屯</t>
  </si>
  <si>
    <t>진 칠 둔</t>
  </si>
  <si>
    <t>屮</t>
  </si>
  <si>
    <t>왼손/풀 싹 날 철</t>
  </si>
  <si>
    <t>率</t>
  </si>
  <si>
    <t>거느릴 솔</t>
  </si>
  <si>
    <t>玄</t>
  </si>
  <si>
    <t>검을 현</t>
  </si>
  <si>
    <t>亨</t>
  </si>
  <si>
    <t>형통할 형</t>
  </si>
  <si>
    <t>돼지해머리 두</t>
  </si>
  <si>
    <t>化</t>
  </si>
  <si>
    <t>될 화</t>
  </si>
  <si>
    <t>匕</t>
  </si>
  <si>
    <t>비수 비</t>
  </si>
  <si>
    <t>隸</t>
  </si>
  <si>
    <t>종 례</t>
  </si>
  <si>
    <t>隶</t>
  </si>
  <si>
    <t>미칠 이</t>
  </si>
  <si>
    <t>麻</t>
  </si>
  <si>
    <t>삼 마</t>
  </si>
  <si>
    <t>罔</t>
  </si>
  <si>
    <t>그물 망</t>
  </si>
  <si>
    <t>网</t>
  </si>
  <si>
    <t>冒</t>
  </si>
  <si>
    <t>무릅쓸 모</t>
  </si>
  <si>
    <t>멀경 몸</t>
  </si>
  <si>
    <t>至</t>
  </si>
  <si>
    <t>이를 지</t>
  </si>
  <si>
    <t>束</t>
  </si>
  <si>
    <t>묶을 속</t>
  </si>
  <si>
    <t>改</t>
  </si>
  <si>
    <t>고칠 개</t>
  </si>
  <si>
    <t>攴(攵)</t>
  </si>
  <si>
    <t>監</t>
  </si>
  <si>
    <t>볼 감</t>
  </si>
  <si>
    <t>昶</t>
  </si>
  <si>
    <t>해길 창</t>
  </si>
  <si>
    <t>卜</t>
  </si>
  <si>
    <t>師</t>
  </si>
  <si>
    <t>스승 사</t>
  </si>
  <si>
    <t>豫</t>
  </si>
  <si>
    <t>미리 예</t>
  </si>
  <si>
    <t>鹽</t>
  </si>
  <si>
    <t>소금 염</t>
  </si>
  <si>
    <t>鹵</t>
  </si>
  <si>
    <t>소금밭 로</t>
  </si>
  <si>
    <t>卨</t>
  </si>
  <si>
    <t>설</t>
  </si>
  <si>
    <t>慮</t>
  </si>
  <si>
    <t>생각할 려</t>
  </si>
  <si>
    <t>只</t>
  </si>
  <si>
    <t>다만 지</t>
  </si>
  <si>
    <t>乎</t>
  </si>
  <si>
    <t>어조사 호</t>
  </si>
  <si>
    <t>丿</t>
  </si>
  <si>
    <t>삐침 별</t>
  </si>
  <si>
    <t>절름발이왕 우</t>
  </si>
  <si>
    <t>壽</t>
  </si>
  <si>
    <t>목숨 수</t>
  </si>
  <si>
    <t>殺</t>
  </si>
  <si>
    <t>죽일 살</t>
  </si>
  <si>
    <t>갖은등글월문</t>
  </si>
  <si>
    <t>岬</t>
  </si>
  <si>
    <t>산굽이 갑</t>
  </si>
  <si>
    <t>靺</t>
  </si>
  <si>
    <t>버선 말</t>
  </si>
  <si>
    <t>旻</t>
  </si>
  <si>
    <t>하늘 민</t>
  </si>
  <si>
    <t>揮</t>
  </si>
  <si>
    <t>휘두를 휘</t>
  </si>
  <si>
    <t>手 (扌)</t>
  </si>
  <si>
    <t>奉</t>
  </si>
  <si>
    <t>받들 봉</t>
  </si>
  <si>
    <t>枕</t>
  </si>
  <si>
    <t>베개 침</t>
  </si>
  <si>
    <t>崔</t>
  </si>
  <si>
    <t>높을 최</t>
  </si>
  <si>
    <t>韋</t>
  </si>
  <si>
    <t>가죽 위</t>
  </si>
  <si>
    <t>꿰미 관</t>
  </si>
  <si>
    <t>冀</t>
  </si>
  <si>
    <t>바랄 기</t>
  </si>
  <si>
    <t>八</t>
  </si>
  <si>
    <t>여덟 팔</t>
  </si>
  <si>
    <t>紊</t>
  </si>
  <si>
    <t>어지러울 문</t>
  </si>
  <si>
    <t>赫</t>
  </si>
  <si>
    <t>빛날 혁</t>
  </si>
  <si>
    <t>赤</t>
  </si>
  <si>
    <t>붉을 적</t>
  </si>
  <si>
    <t>郁</t>
  </si>
  <si>
    <t>빛날 욱</t>
  </si>
  <si>
    <t>邑(⻘)</t>
  </si>
  <si>
    <t>眞</t>
  </si>
  <si>
    <t>참 진</t>
  </si>
  <si>
    <t>鹿</t>
  </si>
  <si>
    <t>사슴 록</t>
  </si>
  <si>
    <t>魯</t>
  </si>
  <si>
    <t>노둔할 노</t>
  </si>
  <si>
    <t>魚</t>
  </si>
  <si>
    <t>고기 어</t>
  </si>
  <si>
    <t>虐</t>
  </si>
  <si>
    <t>모질 학</t>
  </si>
  <si>
    <t>虍</t>
  </si>
  <si>
    <t>범호엄</t>
  </si>
  <si>
    <t>染</t>
  </si>
  <si>
    <t>물들일 염</t>
  </si>
  <si>
    <t>盾</t>
  </si>
  <si>
    <t>방패 순</t>
  </si>
  <si>
    <t>璿</t>
  </si>
  <si>
    <t>구슬 선</t>
  </si>
  <si>
    <t>玉</t>
  </si>
  <si>
    <t>彬</t>
  </si>
  <si>
    <t>빛날 빈</t>
  </si>
  <si>
    <t>輔</t>
  </si>
  <si>
    <t>도울 보</t>
  </si>
  <si>
    <t>비출 도</t>
  </si>
  <si>
    <t>巢</t>
  </si>
  <si>
    <t>새집 소</t>
  </si>
  <si>
    <t>巛</t>
  </si>
  <si>
    <t>내 천</t>
  </si>
  <si>
    <t>亮</t>
  </si>
  <si>
    <t>밝을 량</t>
  </si>
  <si>
    <t>돼지해머리 (머리 부분 두)</t>
  </si>
  <si>
    <t>幹</t>
  </si>
  <si>
    <t>줄기 간</t>
  </si>
  <si>
    <t>癸</t>
  </si>
  <si>
    <t>열째 천간 계</t>
  </si>
  <si>
    <t>癶</t>
  </si>
  <si>
    <t>필발머리</t>
  </si>
  <si>
    <t>禽</t>
  </si>
  <si>
    <t>날짐승 금</t>
  </si>
  <si>
    <t>자국 유</t>
  </si>
  <si>
    <t>尾</t>
  </si>
  <si>
    <t>꼬리 미</t>
  </si>
  <si>
    <t>雅</t>
  </si>
  <si>
    <t>우아할 아</t>
  </si>
  <si>
    <t>秉</t>
  </si>
  <si>
    <t>잡을 병</t>
  </si>
  <si>
    <t>塵</t>
  </si>
  <si>
    <t>티끌 진</t>
  </si>
  <si>
    <t>蘆</t>
  </si>
  <si>
    <t>갈대 로</t>
  </si>
  <si>
    <t>旨</t>
  </si>
  <si>
    <t>뜻 지</t>
  </si>
  <si>
    <t>卒</t>
  </si>
  <si>
    <t>군사 졸</t>
  </si>
  <si>
    <t>熊</t>
  </si>
  <si>
    <t>곰 웅</t>
  </si>
  <si>
    <t>焉</t>
  </si>
  <si>
    <t>어찌 언</t>
  </si>
  <si>
    <t>卵</t>
  </si>
  <si>
    <t>알 란</t>
  </si>
  <si>
    <t>卩</t>
  </si>
  <si>
    <t>병부 절</t>
  </si>
  <si>
    <t>貴</t>
  </si>
  <si>
    <t>귀할 귀</t>
  </si>
  <si>
    <t>聞</t>
  </si>
  <si>
    <t>들을 문</t>
  </si>
  <si>
    <t>殆</t>
  </si>
  <si>
    <t>위태할 태</t>
  </si>
  <si>
    <t>歹</t>
  </si>
  <si>
    <t>죽을사변</t>
  </si>
  <si>
    <t>幣</t>
  </si>
  <si>
    <t>비단 폐</t>
  </si>
  <si>
    <t>養</t>
  </si>
  <si>
    <t>기를 양</t>
  </si>
  <si>
    <t>食</t>
  </si>
  <si>
    <t>밥 식</t>
  </si>
  <si>
    <t>珪</t>
  </si>
  <si>
    <t>홀 규</t>
  </si>
  <si>
    <t>玉 (王)</t>
  </si>
  <si>
    <t>구슬 옥 / 임금 왕</t>
  </si>
  <si>
    <t>楞</t>
  </si>
  <si>
    <t>모서리 릉</t>
  </si>
  <si>
    <t>敷</t>
  </si>
  <si>
    <t>펼 부</t>
  </si>
  <si>
    <t>攴 (攵)</t>
  </si>
  <si>
    <t>循</t>
  </si>
  <si>
    <t>돌 순</t>
  </si>
  <si>
    <t>郭</t>
  </si>
  <si>
    <t>둘레 곽</t>
  </si>
  <si>
    <t>牧</t>
  </si>
  <si>
    <t>칠 목</t>
  </si>
  <si>
    <t>牛(牛)</t>
  </si>
  <si>
    <t>소 우</t>
  </si>
  <si>
    <t>宴</t>
  </si>
  <si>
    <t>잔치 연</t>
  </si>
  <si>
    <t>翊</t>
  </si>
  <si>
    <t>도울 익</t>
  </si>
  <si>
    <t>죽일 유 / 성씨 유</t>
  </si>
  <si>
    <t>杰</t>
  </si>
  <si>
    <t>뛰어날 걸</t>
  </si>
  <si>
    <t>鴻</t>
  </si>
  <si>
    <t>기러기 홍</t>
  </si>
  <si>
    <t>露</t>
  </si>
  <si>
    <t>이슬 로</t>
  </si>
  <si>
    <t>畓</t>
  </si>
  <si>
    <t>논 답</t>
  </si>
  <si>
    <t>看</t>
  </si>
  <si>
    <t>볼 간</t>
  </si>
  <si>
    <t>稻</t>
  </si>
  <si>
    <t>벼 도</t>
  </si>
  <si>
    <t>曲</t>
  </si>
  <si>
    <t>굽을 곡</t>
  </si>
  <si>
    <t>賴</t>
  </si>
  <si>
    <t>의뢰할 뢰</t>
  </si>
  <si>
    <t>免</t>
  </si>
  <si>
    <t>면할 면</t>
  </si>
  <si>
    <t>어진 사람인 발</t>
  </si>
  <si>
    <t>字</t>
  </si>
  <si>
    <t>글자 자</t>
  </si>
  <si>
    <t>眉</t>
  </si>
  <si>
    <t>눈썹 미</t>
  </si>
  <si>
    <t>祭</t>
  </si>
  <si>
    <t>제사 제</t>
  </si>
  <si>
    <t>示</t>
  </si>
  <si>
    <t>보일 시</t>
  </si>
  <si>
    <t>龐</t>
  </si>
  <si>
    <t>높고 클 방</t>
  </si>
  <si>
    <t>龍</t>
  </si>
  <si>
    <t>용 용</t>
  </si>
  <si>
    <t>暹</t>
  </si>
  <si>
    <t>햇살 치밀 섬</t>
  </si>
  <si>
    <t>盈</t>
  </si>
  <si>
    <t>찰 영</t>
  </si>
  <si>
    <t>애벌레 촉</t>
  </si>
  <si>
    <t>照</t>
  </si>
  <si>
    <t>비칠 조</t>
  </si>
  <si>
    <t>芳</t>
  </si>
  <si>
    <t>꽃다울 방</t>
  </si>
  <si>
    <t>艸 (艹)</t>
  </si>
  <si>
    <t>齊</t>
  </si>
  <si>
    <t>가지런할 제</t>
  </si>
  <si>
    <t>큰기러기 홍</t>
  </si>
  <si>
    <t>額</t>
  </si>
  <si>
    <t>이마 액</t>
  </si>
  <si>
    <t>雜</t>
  </si>
  <si>
    <t>섞일 잡</t>
  </si>
  <si>
    <t>隆</t>
  </si>
  <si>
    <t>높을 륭</t>
  </si>
  <si>
    <t>阜 (阝)</t>
  </si>
  <si>
    <t>貢</t>
  </si>
  <si>
    <t>바칠 공</t>
  </si>
  <si>
    <t>栗</t>
  </si>
  <si>
    <t>밤 률</t>
  </si>
  <si>
    <t>妄</t>
  </si>
  <si>
    <t>망령될 망</t>
  </si>
  <si>
    <t>賓</t>
  </si>
  <si>
    <t>손 빈</t>
  </si>
  <si>
    <t>穆</t>
  </si>
  <si>
    <t>화목할 목</t>
  </si>
  <si>
    <t>邵</t>
  </si>
  <si>
    <t>높을 소</t>
  </si>
  <si>
    <t>邑 (阝)</t>
  </si>
  <si>
    <t>匈</t>
  </si>
  <si>
    <t>오랑캐 흉</t>
  </si>
  <si>
    <t>정답</t>
  </si>
  <si>
    <t>비고</t>
  </si>
  <si>
    <t>擴</t>
  </si>
  <si>
    <t>拡</t>
  </si>
  <si>
    <t>徑</t>
  </si>
  <si>
    <t>径</t>
  </si>
  <si>
    <t>釋</t>
  </si>
  <si>
    <t>釈</t>
  </si>
  <si>
    <t>廟</t>
  </si>
  <si>
    <t>庙</t>
  </si>
  <si>
    <t>엄호(广)' 안에 '말미암을 유(由)'</t>
  </si>
  <si>
    <t>麥</t>
  </si>
  <si>
    <t>麦</t>
  </si>
  <si>
    <t>윗부분을 '날 생(生)' 모양처럼 변형</t>
  </si>
  <si>
    <t>竝</t>
  </si>
  <si>
    <t>並</t>
  </si>
  <si>
    <t>위의 '설 립(立)' 두 개를 합침</t>
  </si>
  <si>
    <t>廢</t>
  </si>
  <si>
    <t>폐할 폐</t>
  </si>
  <si>
    <t>廃</t>
  </si>
  <si>
    <t>遷</t>
  </si>
  <si>
    <t>옮길 천</t>
  </si>
  <si>
    <t>迁</t>
  </si>
  <si>
    <t>醉</t>
  </si>
  <si>
    <t>취할 취</t>
  </si>
  <si>
    <t>酔</t>
  </si>
  <si>
    <t>攝</t>
  </si>
  <si>
    <t>잡을 섭</t>
  </si>
  <si>
    <t>摂</t>
  </si>
  <si>
    <t>蓋</t>
  </si>
  <si>
    <t>덮을 개</t>
  </si>
  <si>
    <t>盖</t>
  </si>
  <si>
    <t>盡</t>
  </si>
  <si>
    <t>다할 진</t>
  </si>
  <si>
    <t>尽</t>
  </si>
  <si>
    <t>拂</t>
  </si>
  <si>
    <t>떨칠 불</t>
  </si>
  <si>
    <t>払</t>
  </si>
  <si>
    <t>달 현</t>
  </si>
  <si>
    <t>県</t>
  </si>
  <si>
    <t>塩</t>
  </si>
  <si>
    <t>넓힐 확</t>
  </si>
  <si>
    <t>圍</t>
  </si>
  <si>
    <t>둘러쌀 위</t>
  </si>
  <si>
    <t>囲</t>
  </si>
  <si>
    <t>獵</t>
  </si>
  <si>
    <t>사냥 렵</t>
  </si>
  <si>
    <t>猟</t>
  </si>
  <si>
    <t>풀 석</t>
  </si>
  <si>
    <t>轉</t>
  </si>
  <si>
    <t>구를 전</t>
  </si>
  <si>
    <t>転</t>
  </si>
  <si>
    <t>螢</t>
  </si>
  <si>
    <t>반딧불 형</t>
  </si>
  <si>
    <t>蛍</t>
  </si>
  <si>
    <t>双</t>
  </si>
  <si>
    <t>보리 맥</t>
  </si>
  <si>
    <t>靈</t>
  </si>
  <si>
    <t>신령 령</t>
  </si>
  <si>
    <t>灵</t>
  </si>
  <si>
    <t>驛</t>
  </si>
  <si>
    <t>역 역</t>
  </si>
  <si>
    <t>駅</t>
  </si>
  <si>
    <t>竊</t>
  </si>
  <si>
    <t>훔칠 절</t>
  </si>
  <si>
    <t>窃</t>
  </si>
  <si>
    <t>勵</t>
  </si>
  <si>
    <t>힘쓸 려</t>
  </si>
  <si>
    <t>励</t>
  </si>
  <si>
    <t>爐</t>
  </si>
  <si>
    <t>화로 로</t>
  </si>
  <si>
    <t>炉</t>
  </si>
  <si>
    <t>澤</t>
  </si>
  <si>
    <t>못 택</t>
  </si>
  <si>
    <t>沢</t>
  </si>
  <si>
    <t>지름길 경</t>
  </si>
  <si>
    <t>巖</t>
  </si>
  <si>
    <t>바위 암</t>
  </si>
  <si>
    <t>岩</t>
  </si>
  <si>
    <t>慘</t>
  </si>
  <si>
    <t>참혹할 참</t>
  </si>
  <si>
    <t>惨</t>
  </si>
  <si>
    <t>敍</t>
  </si>
  <si>
    <t>펼 서</t>
  </si>
  <si>
    <t>叙</t>
  </si>
  <si>
    <t>棄</t>
  </si>
  <si>
    <t>버릴 기</t>
  </si>
  <si>
    <t>弃</t>
  </si>
  <si>
    <t>帥</t>
  </si>
  <si>
    <t>장수 수</t>
  </si>
  <si>
    <t>帅</t>
  </si>
  <si>
    <t>戀</t>
  </si>
  <si>
    <t>그리워할 련</t>
  </si>
  <si>
    <t>恋</t>
  </si>
  <si>
    <t>舊</t>
  </si>
  <si>
    <t>옛 구</t>
  </si>
  <si>
    <t>旧</t>
  </si>
  <si>
    <t>党</t>
  </si>
  <si>
    <t>應</t>
  </si>
  <si>
    <t>응할 응</t>
  </si>
  <si>
    <t>応</t>
  </si>
  <si>
    <t>予</t>
  </si>
  <si>
    <t>稱</t>
  </si>
  <si>
    <t>일컬을 칭</t>
  </si>
  <si>
    <t>称</t>
  </si>
  <si>
    <t>覺</t>
  </si>
  <si>
    <t>깨달을 각</t>
  </si>
  <si>
    <t>覚</t>
  </si>
  <si>
    <t>團</t>
  </si>
  <si>
    <t>둥글 단</t>
  </si>
  <si>
    <t>团</t>
  </si>
  <si>
    <t>區</t>
  </si>
  <si>
    <t>구분할 구</t>
  </si>
  <si>
    <t>区</t>
  </si>
  <si>
    <t>體</t>
  </si>
  <si>
    <t>몸 체</t>
  </si>
  <si>
    <t>体</t>
  </si>
  <si>
    <t>漆</t>
  </si>
  <si>
    <t>옻 칠</t>
  </si>
  <si>
    <t>柒</t>
  </si>
  <si>
    <t>譽</t>
  </si>
  <si>
    <t>기릴 예</t>
  </si>
  <si>
    <t>誉</t>
  </si>
  <si>
    <t>斉</t>
  </si>
  <si>
    <t>龜</t>
  </si>
  <si>
    <t>거북 귀</t>
  </si>
  <si>
    <t>亀</t>
  </si>
  <si>
    <t>踐</t>
  </si>
  <si>
    <t>밟을 천</t>
  </si>
  <si>
    <t>践</t>
  </si>
  <si>
    <t>號</t>
  </si>
  <si>
    <t>이름/부호 호</t>
  </si>
  <si>
    <t>号</t>
  </si>
  <si>
    <t>餘</t>
  </si>
  <si>
    <t>남을 여</t>
  </si>
  <si>
    <t>余</t>
  </si>
  <si>
    <t>醫</t>
  </si>
  <si>
    <t>의원 의</t>
  </si>
  <si>
    <t>医</t>
  </si>
  <si>
    <t>屏</t>
  </si>
  <si>
    <t>병풍 병</t>
  </si>
  <si>
    <t>關</t>
  </si>
  <si>
    <t>관계할 관</t>
  </si>
  <si>
    <t>関</t>
  </si>
  <si>
    <t>藝</t>
  </si>
  <si>
    <t>심을/재주 예</t>
  </si>
  <si>
    <t>芸</t>
  </si>
  <si>
    <t>囑</t>
  </si>
  <si>
    <t>부탁할 촉</t>
  </si>
  <si>
    <t>嘱</t>
  </si>
  <si>
    <t>덮개 개</t>
  </si>
  <si>
    <t>둘레 위</t>
  </si>
  <si>
    <t>사모할 련</t>
  </si>
  <si>
    <t>夢</t>
  </si>
  <si>
    <t>꿈 몽</t>
  </si>
  <si>
    <t>梦</t>
  </si>
  <si>
    <t>寿</t>
  </si>
  <si>
    <t>觸</t>
  </si>
  <si>
    <t>닿을 촉</t>
  </si>
  <si>
    <t>触</t>
  </si>
  <si>
    <t>鐵</t>
  </si>
  <si>
    <t>쇠 철</t>
  </si>
  <si>
    <t>鉄</t>
  </si>
  <si>
    <t>發</t>
  </si>
  <si>
    <t>필 발</t>
  </si>
  <si>
    <t>発</t>
  </si>
  <si>
    <t>寶</t>
  </si>
  <si>
    <t>보배 보</t>
  </si>
  <si>
    <t>宝</t>
  </si>
  <si>
    <t>獻</t>
  </si>
  <si>
    <t>드릴 헌</t>
  </si>
  <si>
    <t>献</t>
  </si>
  <si>
    <t>溫</t>
  </si>
  <si>
    <t>따뜻할 온</t>
  </si>
  <si>
    <t>温</t>
  </si>
  <si>
    <t>용 룡</t>
  </si>
  <si>
    <t>竜</t>
  </si>
  <si>
    <t>與</t>
  </si>
  <si>
    <t>줄 여</t>
  </si>
  <si>
    <t>与</t>
  </si>
  <si>
    <t>處</t>
  </si>
  <si>
    <t>곳 처</t>
  </si>
  <si>
    <t>処</t>
  </si>
  <si>
    <t>興</t>
  </si>
  <si>
    <t>일어날 흥</t>
  </si>
  <si>
    <t>兴</t>
  </si>
  <si>
    <t>賣</t>
  </si>
  <si>
    <t>팔 매</t>
  </si>
  <si>
    <t>売</t>
  </si>
  <si>
    <t>甞</t>
  </si>
  <si>
    <t>墮</t>
  </si>
  <si>
    <t>떨어질 타</t>
  </si>
  <si>
    <t>杂</t>
  </si>
  <si>
    <t>바칠 헌</t>
  </si>
  <si>
    <t>數</t>
  </si>
  <si>
    <t>셀 수</t>
  </si>
  <si>
    <t>数</t>
  </si>
  <si>
    <t>두 쌍</t>
  </si>
  <si>
    <t>모일 단</t>
  </si>
  <si>
    <t>団</t>
  </si>
  <si>
    <t>에워쌀 위</t>
  </si>
  <si>
    <t>據</t>
  </si>
  <si>
    <t>근거 거</t>
  </si>
  <si>
    <t>拠</t>
  </si>
  <si>
    <t>變</t>
  </si>
  <si>
    <t>변할 변</t>
  </si>
  <si>
    <t>変</t>
  </si>
  <si>
    <t>效</t>
  </si>
  <si>
    <t>보람 효</t>
  </si>
  <si>
    <t>차례 서</t>
  </si>
  <si>
    <t>부를 호</t>
  </si>
  <si>
    <t>證</t>
  </si>
  <si>
    <t>증거 증</t>
  </si>
  <si>
    <t>証</t>
  </si>
  <si>
    <t>辭</t>
  </si>
  <si>
    <t>말씀 사</t>
  </si>
  <si>
    <t>辞</t>
  </si>
  <si>
    <t>아우를 병</t>
  </si>
  <si>
    <t>蟲</t>
  </si>
  <si>
    <t>濕</t>
  </si>
  <si>
    <t>축축할 습</t>
  </si>
  <si>
    <t>湿</t>
  </si>
  <si>
    <t>肅</t>
  </si>
  <si>
    <t>엄숙할 숙</t>
  </si>
  <si>
    <t>肃</t>
  </si>
  <si>
    <t>鑛</t>
  </si>
  <si>
    <t>쇳돌 광</t>
  </si>
  <si>
    <t>鉱</t>
  </si>
  <si>
    <t>曉</t>
  </si>
  <si>
    <t>새벽 효</t>
  </si>
  <si>
    <t>暁</t>
  </si>
  <si>
    <t>裝</t>
  </si>
  <si>
    <t>꾸밀 장</t>
  </si>
  <si>
    <t>装</t>
  </si>
  <si>
    <t>嚴</t>
  </si>
  <si>
    <t>엄할 엄</t>
  </si>
  <si>
    <t>厳</t>
  </si>
  <si>
    <t>學</t>
  </si>
  <si>
    <t>배울 학</t>
  </si>
  <si>
    <t>学</t>
  </si>
  <si>
    <t>聯</t>
  </si>
  <si>
    <t>이을 련</t>
  </si>
  <si>
    <t>联</t>
  </si>
  <si>
    <t>卓</t>
  </si>
  <si>
    <t>높을 탁</t>
  </si>
  <si>
    <t>심을/예술 예</t>
  </si>
  <si>
    <t>擔</t>
  </si>
  <si>
    <t>멜 담</t>
  </si>
  <si>
    <t>担</t>
  </si>
  <si>
    <t>변</t>
  </si>
  <si>
    <t>흥할 흥</t>
  </si>
  <si>
    <t>點</t>
  </si>
  <si>
    <t>점 점</t>
  </si>
  <si>
    <t>点</t>
  </si>
  <si>
    <t>臺</t>
  </si>
  <si>
    <t>대 대</t>
  </si>
  <si>
    <t>台</t>
  </si>
  <si>
    <t>權</t>
  </si>
  <si>
    <t>권세 권</t>
  </si>
  <si>
    <t>权</t>
  </si>
  <si>
    <t>鉴</t>
  </si>
  <si>
    <t>淺</t>
  </si>
  <si>
    <t>얕을 천</t>
  </si>
  <si>
    <t>浅</t>
  </si>
  <si>
    <t>邊</t>
  </si>
  <si>
    <t>가 변</t>
  </si>
  <si>
    <t>辺</t>
  </si>
  <si>
    <t>擇</t>
  </si>
  <si>
    <t>가릴 택</t>
  </si>
  <si>
    <t>択</t>
  </si>
  <si>
    <t>遞</t>
  </si>
  <si>
    <t>갈아들 체</t>
  </si>
  <si>
    <t>逓</t>
  </si>
  <si>
    <t>寧</t>
  </si>
  <si>
    <t>편안할 녕</t>
  </si>
  <si>
    <t>宁</t>
  </si>
  <si>
    <t>사당 묘</t>
  </si>
  <si>
    <t>개똥벌레 형</t>
  </si>
  <si>
    <t>傳</t>
  </si>
  <si>
    <t>전할 전</t>
  </si>
  <si>
    <t>伝</t>
  </si>
  <si>
    <t>亂</t>
  </si>
  <si>
    <t>어지러울 란</t>
  </si>
  <si>
    <t>乱</t>
  </si>
  <si>
    <t>廳</t>
  </si>
  <si>
    <t>관청 청</t>
  </si>
  <si>
    <t>庁</t>
  </si>
  <si>
    <t>재주 예</t>
  </si>
  <si>
    <t>哉</t>
  </si>
  <si>
    <t>어조사 재</t>
  </si>
  <si>
    <t>欢</t>
  </si>
  <si>
    <t>觀</t>
  </si>
  <si>
    <t>볼 관</t>
  </si>
  <si>
    <t>观</t>
  </si>
  <si>
    <t>연이을 련</t>
  </si>
  <si>
    <t>搖</t>
  </si>
  <si>
    <t>흔들 요</t>
  </si>
  <si>
    <t>摇</t>
  </si>
  <si>
    <t>연번</t>
  </si>
  <si>
    <t>유형</t>
  </si>
  <si>
    <t>뜻</t>
  </si>
  <si>
    <t>정답 한자</t>
  </si>
  <si>
    <t>훈음</t>
  </si>
  <si>
    <t>단어</t>
  </si>
  <si>
    <t>유의어</t>
  </si>
  <si>
    <t>( )怖</t>
  </si>
  <si>
    <t>恐</t>
  </si>
  <si>
    <t>두려울 공</t>
  </si>
  <si>
    <t>공포 (恐怖)</t>
  </si>
  <si>
    <t>상대어</t>
  </si>
  <si>
    <t>今( )</t>
  </si>
  <si>
    <t>지금과 옛날</t>
  </si>
  <si>
    <t>昔</t>
  </si>
  <si>
    <t>옛 석</t>
  </si>
  <si>
    <t>今昔 (금석)</t>
  </si>
  <si>
    <t>儉約 ↔</t>
  </si>
  <si>
    <t>濫用</t>
  </si>
  <si>
    <t>남용</t>
  </si>
  <si>
    <t>濫用 (남용)</t>
  </si>
  <si>
    <t>合縱 ↔</t>
  </si>
  <si>
    <t>連橫</t>
  </si>
  <si>
    <t>연횡</t>
  </si>
  <si>
    <t>連橫 (연횡)</t>
  </si>
  <si>
    <t>( )俸</t>
  </si>
  <si>
    <t>祿</t>
  </si>
  <si>
    <t>녹 녹</t>
  </si>
  <si>
    <t>녹봉 (祿俸)</t>
  </si>
  <si>
    <t>咸池 ↔</t>
  </si>
  <si>
    <t>扶桑</t>
  </si>
  <si>
    <t>부상</t>
  </si>
  <si>
    <t>扶桑 (부상)</t>
  </si>
  <si>
    <t>紳士 ↔</t>
  </si>
  <si>
    <t>淑女</t>
  </si>
  <si>
    <t>숙녀</t>
  </si>
  <si>
    <t>淑女 (숙녀)</t>
  </si>
  <si>
    <t>( )揚</t>
  </si>
  <si>
    <t>抑</t>
  </si>
  <si>
    <t>누를 억</t>
  </si>
  <si>
    <t>抑揚 (억양)</t>
  </si>
  <si>
    <t>榮( )</t>
  </si>
  <si>
    <t>辱</t>
  </si>
  <si>
    <t>욕될 욕</t>
  </si>
  <si>
    <t>榮辱 (영욕)</t>
  </si>
  <si>
    <t>( )驗</t>
  </si>
  <si>
    <t>試</t>
  </si>
  <si>
    <t>시험 시</t>
  </si>
  <si>
    <t>시험 (試驗)</t>
  </si>
  <si>
    <t>( )悼</t>
  </si>
  <si>
    <t>哀</t>
  </si>
  <si>
    <t>슬플 애</t>
  </si>
  <si>
    <t>애도 (哀悼)</t>
  </si>
  <si>
    <t>優( )</t>
  </si>
  <si>
    <t>우수함과 열등함</t>
  </si>
  <si>
    <t>못할 열</t>
  </si>
  <si>
    <t>우열 (優劣)</t>
  </si>
  <si>
    <t>溶解 ↔</t>
  </si>
  <si>
    <t>凝固</t>
  </si>
  <si>
    <t>응고</t>
  </si>
  <si>
    <t>凝固 (응고)</t>
  </si>
  <si>
    <t>반의어</t>
  </si>
  <si>
    <t>( )卑</t>
  </si>
  <si>
    <t>尊</t>
  </si>
  <si>
    <t>높을 존</t>
  </si>
  <si>
    <t>尊卑 (존비)</t>
  </si>
  <si>
    <t>( )作</t>
  </si>
  <si>
    <t>造</t>
  </si>
  <si>
    <t>지을 조</t>
  </si>
  <si>
    <t>조작 (造作)</t>
  </si>
  <si>
    <t>穩健 ↔</t>
  </si>
  <si>
    <t>(온건)↔</t>
  </si>
  <si>
    <t>強硬</t>
  </si>
  <si>
    <t>강할 강/굳을 경</t>
  </si>
  <si>
    <t>강경 (強硬)</t>
  </si>
  <si>
    <t>姑( )</t>
  </si>
  <si>
    <t>(시어머니↔며느리)</t>
  </si>
  <si>
    <t>婦</t>
  </si>
  <si>
    <t>며느리 부</t>
  </si>
  <si>
    <t>姑婦 (고부)</t>
  </si>
  <si>
    <t>( )伸</t>
  </si>
  <si>
    <t>(굽힘↔폅)</t>
  </si>
  <si>
    <t>屈</t>
  </si>
  <si>
    <t>굽힐 굴</t>
  </si>
  <si>
    <t>屈伸 (굴신)</t>
  </si>
  <si>
    <t>記憶 ↔</t>
  </si>
  <si>
    <t>(기억)↔</t>
  </si>
  <si>
    <t>忘却</t>
  </si>
  <si>
    <t>잊을 망/물리칠 각</t>
  </si>
  <si>
    <t>忘却 (망각)</t>
  </si>
  <si>
    <t>( )窟</t>
  </si>
  <si>
    <t>(굴)</t>
  </si>
  <si>
    <t>洞</t>
  </si>
  <si>
    <t>골 동</t>
  </si>
  <si>
    <t>동굴 (洞窟)</t>
  </si>
  <si>
    <t>綜合 ↔</t>
  </si>
  <si>
    <t>(종합)↔</t>
  </si>
  <si>
    <t>分析</t>
  </si>
  <si>
    <t>나눌 분/쪼갤 석</t>
  </si>
  <si>
    <t>分析 (분석)</t>
  </si>
  <si>
    <t>紊( )</t>
  </si>
  <si>
    <t>(어지러움)</t>
  </si>
  <si>
    <t>문란 (紊亂)</t>
  </si>
  <si>
    <t>俳( )</t>
  </si>
  <si>
    <t>(광대/배우)</t>
  </si>
  <si>
    <t>優</t>
  </si>
  <si>
    <t>넉넉할 우</t>
  </si>
  <si>
    <t>배우 (俳優)</t>
  </si>
  <si>
    <t>雌( )</t>
  </si>
  <si>
    <t>암컷과 수컷</t>
  </si>
  <si>
    <t>雄</t>
  </si>
  <si>
    <t>수컷 웅</t>
  </si>
  <si>
    <t>雌雄 (자웅)</t>
  </si>
  <si>
    <t>斬新 ↔</t>
  </si>
  <si>
    <t>(참신)↔</t>
  </si>
  <si>
    <t>陳腐</t>
  </si>
  <si>
    <t>베풀 진/썩을 부</t>
  </si>
  <si>
    <t>陳腐 (진부)</t>
  </si>
  <si>
    <t>峻( )</t>
  </si>
  <si>
    <t>險</t>
  </si>
  <si>
    <t>험할 험</t>
  </si>
  <si>
    <t>준험 (峻險)</t>
  </si>
  <si>
    <t>( )削</t>
  </si>
  <si>
    <t>보태거나 깎음</t>
  </si>
  <si>
    <t>添</t>
  </si>
  <si>
    <t>더할 첨</t>
  </si>
  <si>
    <t>添削 (첨삭)</t>
  </si>
  <si>
    <t>豊( )</t>
  </si>
  <si>
    <t>(풍년과 흉년)</t>
  </si>
  <si>
    <t>凶</t>
  </si>
  <si>
    <t>흉할 흉</t>
  </si>
  <si>
    <t>풍흉 (豊凶)</t>
  </si>
  <si>
    <t>揭揚 ↔</t>
  </si>
  <si>
    <t>(게양)↔</t>
  </si>
  <si>
    <t>下旗</t>
  </si>
  <si>
    <t>아래 하/기 기</t>
  </si>
  <si>
    <t>하기 (下旗)</t>
  </si>
  <si>
    <t>( )恨</t>
  </si>
  <si>
    <t>悔</t>
  </si>
  <si>
    <t>뉘우칠 회</t>
  </si>
  <si>
    <t>후회 (後悔)</t>
  </si>
  <si>
    <t>干( ) ↔ 放任</t>
  </si>
  <si>
    <t>(방임)</t>
  </si>
  <si>
    <t>涉</t>
  </si>
  <si>
    <t>건널 섭</t>
  </si>
  <si>
    <t>간섭 (干涉)</t>
  </si>
  <si>
    <t>剛( )</t>
  </si>
  <si>
    <t>(굳셈/부드러움)</t>
  </si>
  <si>
    <t>柔</t>
  </si>
  <si>
    <t>부드러울 유</t>
  </si>
  <si>
    <t>剛柔 (강유)</t>
  </si>
  <si>
    <t>閉業 ↔( )業</t>
  </si>
  <si>
    <t>開</t>
  </si>
  <si>
    <t>열 개</t>
  </si>
  <si>
    <t>개업 (開業)</t>
  </si>
  <si>
    <t>( )作 ↔ 拙作</t>
  </si>
  <si>
    <t>(졸작)</t>
  </si>
  <si>
    <t>傑</t>
  </si>
  <si>
    <t>걸작 (傑作)</t>
  </si>
  <si>
    <t>( )寡</t>
  </si>
  <si>
    <t>(많음/적음)</t>
  </si>
  <si>
    <t>多/衆</t>
  </si>
  <si>
    <t>많을 다/무리 중</t>
  </si>
  <si>
    <t>다과 (多寡) / 중과 (衆寡)</t>
  </si>
  <si>
    <t>( )瑟</t>
  </si>
  <si>
    <t>(부부의 정)</t>
  </si>
  <si>
    <t>琴</t>
  </si>
  <si>
    <t>거문고 금</t>
  </si>
  <si>
    <t>금슬 (琴瑟)</t>
  </si>
  <si>
    <t>紡( )</t>
  </si>
  <si>
    <t>(실 뽑기)</t>
  </si>
  <si>
    <t>績</t>
  </si>
  <si>
    <t>길쌈할 적</t>
  </si>
  <si>
    <t>방적 (紡績)</t>
  </si>
  <si>
    <t>( )衰</t>
  </si>
  <si>
    <t>(성함/쇠함)</t>
  </si>
  <si>
    <t>盛</t>
  </si>
  <si>
    <t>성할 성</t>
  </si>
  <si>
    <t>盛衰 (성쇠)</t>
  </si>
  <si>
    <t>送( )</t>
  </si>
  <si>
    <t>(보냄/맞음)</t>
  </si>
  <si>
    <t>迎</t>
  </si>
  <si>
    <t>맞이할 영</t>
  </si>
  <si>
    <t>送迎 (송영)</t>
  </si>
  <si>
    <t>增( )</t>
  </si>
  <si>
    <t>(늚/줄음)</t>
  </si>
  <si>
    <t>減</t>
  </si>
  <si>
    <t>덜 감</t>
  </si>
  <si>
    <t>증감 (增減)</t>
  </si>
  <si>
    <t>遲( ) ↔ 敏速</t>
  </si>
  <si>
    <t>(민속)</t>
  </si>
  <si>
    <t>鈍</t>
  </si>
  <si>
    <t>둔할 둔</t>
  </si>
  <si>
    <t>지둔 (遲鈍)</t>
  </si>
  <si>
    <t>碩學 ↔( )學</t>
  </si>
  <si>
    <t>천학 (淺學)</t>
  </si>
  <si>
    <t>( )偵</t>
  </si>
  <si>
    <t>(살핌)</t>
  </si>
  <si>
    <t>探</t>
  </si>
  <si>
    <t>찾을 탐</t>
  </si>
  <si>
    <t>탐정 (探偵)</t>
  </si>
  <si>
    <t>( )僻</t>
  </si>
  <si>
    <t>(치우침)</t>
  </si>
  <si>
    <t>偏</t>
  </si>
  <si>
    <t>치우칠 편</t>
  </si>
  <si>
    <t>편벽 (偏僻)</t>
  </si>
  <si>
    <t>峽( )</t>
  </si>
  <si>
    <t>(골짜기)</t>
  </si>
  <si>
    <t>谷</t>
  </si>
  <si>
    <t>골 곡</t>
  </si>
  <si>
    <t>협곡 (峽谷)</t>
  </si>
  <si>
    <t>攻( )</t>
  </si>
  <si>
    <t>(공격과 방어)</t>
  </si>
  <si>
    <t>防</t>
  </si>
  <si>
    <t>막을 방</t>
  </si>
  <si>
    <t>공방 (攻防)</t>
  </si>
  <si>
    <t>抽象 ↔</t>
  </si>
  <si>
    <t>(추상)</t>
  </si>
  <si>
    <t>具體</t>
  </si>
  <si>
    <t>구체</t>
  </si>
  <si>
    <t>具體 (구체)</t>
  </si>
  <si>
    <t>(부부 사이의 사랑이 좋음)</t>
  </si>
  <si>
    <t>( )沈</t>
  </si>
  <si>
    <t>(뜨고 가라앉음)</t>
  </si>
  <si>
    <t>浮</t>
  </si>
  <si>
    <t>뜰 부</t>
  </si>
  <si>
    <t>浮沈 (부침)</t>
  </si>
  <si>
    <t>( )益</t>
  </si>
  <si>
    <t>(손해와 이익)</t>
  </si>
  <si>
    <t>損</t>
  </si>
  <si>
    <t>덜 손</t>
  </si>
  <si>
    <t>損益 (손익)</t>
  </si>
  <si>
    <t>乾燥 ↔</t>
  </si>
  <si>
    <t>(건조)</t>
  </si>
  <si>
    <t>濕潤</t>
  </si>
  <si>
    <t>습윤</t>
  </si>
  <si>
    <t>濕潤 (습윤)</t>
  </si>
  <si>
    <t>( )瑞</t>
  </si>
  <si>
    <t>(상서로운 징조)</t>
  </si>
  <si>
    <t>祥</t>
  </si>
  <si>
    <t>상서로울 상</t>
  </si>
  <si>
    <t>祥瑞 (상서)</t>
  </si>
  <si>
    <t>炎( )</t>
  </si>
  <si>
    <t>더위와 추위 또는 권세의 유무</t>
  </si>
  <si>
    <t>涼</t>
  </si>
  <si>
    <t>서늘할 량</t>
  </si>
  <si>
    <t>炎涼 (염량)</t>
  </si>
  <si>
    <t>旺( )</t>
  </si>
  <si>
    <t>(기운이 세차고 왕성함)</t>
  </si>
  <si>
    <t>왕성 (旺盛)</t>
  </si>
  <si>
    <t>酷評 ↔</t>
  </si>
  <si>
    <t>(혹평)</t>
  </si>
  <si>
    <t>絶讚</t>
  </si>
  <si>
    <t>절찬</t>
  </si>
  <si>
    <t>絶讚 (절찬)</t>
  </si>
  <si>
    <t>彫( )</t>
  </si>
  <si>
    <t>(새기거나 파서 모양을 만듦)</t>
  </si>
  <si>
    <t>刻</t>
  </si>
  <si>
    <t>새길 각</t>
  </si>
  <si>
    <t>조각 (彫刻)</t>
  </si>
  <si>
    <t>(참신)</t>
  </si>
  <si>
    <t>진부</t>
  </si>
  <si>
    <t>(높고 험하거나, 매우 엄격함)</t>
  </si>
  <si>
    <t>준엄 (峻嚴)</t>
  </si>
  <si>
    <t>彼( )</t>
  </si>
  <si>
    <t>저쪽과 이쪽</t>
  </si>
  <si>
    <t>此</t>
  </si>
  <si>
    <t>이 차</t>
  </si>
  <si>
    <t>彼此 (피차)</t>
  </si>
  <si>
    <t>(온건)</t>
  </si>
  <si>
    <t>강경</t>
  </si>
  <si>
    <t>強硬 (강경)</t>
  </si>
  <si>
    <t>( )札</t>
  </si>
  <si>
    <t>(간단한 편지)</t>
  </si>
  <si>
    <t>簡</t>
  </si>
  <si>
    <t>대쪽 간</t>
  </si>
  <si>
    <t>간찰 (簡札)</t>
  </si>
  <si>
    <t>疆( )</t>
  </si>
  <si>
    <t>(나라의 경계)</t>
  </si>
  <si>
    <t>域</t>
  </si>
  <si>
    <t>지경 역</t>
  </si>
  <si>
    <t>강역 (疆域)</t>
  </si>
  <si>
    <t>隱蔽 ↔</t>
  </si>
  <si>
    <t>(은폐)↔</t>
  </si>
  <si>
    <t>公開</t>
  </si>
  <si>
    <t>공변될 공 / 열 개</t>
  </si>
  <si>
    <t>공개 (公開)</t>
  </si>
  <si>
    <t>勤( )</t>
  </si>
  <si>
    <t>부지런함과 게으름</t>
  </si>
  <si>
    <t>怠</t>
  </si>
  <si>
    <t>게으를 태</t>
  </si>
  <si>
    <t>勤怠 (근태)</t>
  </si>
  <si>
    <t>緩和 ↔</t>
  </si>
  <si>
    <t>(완화)↔</t>
  </si>
  <si>
    <t>緊縮</t>
  </si>
  <si>
    <t>긴장할 긴 / 줄일 축</t>
  </si>
  <si>
    <t>긴축 (緊縮)</t>
  </si>
  <si>
    <t>濃( )</t>
  </si>
  <si>
    <t>(짙고 두터움)</t>
  </si>
  <si>
    <t>厚</t>
  </si>
  <si>
    <t>두터울 후</t>
  </si>
  <si>
    <t>濃厚 (농후)</t>
  </si>
  <si>
    <t>獲得 ↔</t>
  </si>
  <si>
    <t>(획득)↔</t>
  </si>
  <si>
    <t>喪失</t>
  </si>
  <si>
    <t>잃을 상 / 잃을 실</t>
  </si>
  <si>
    <t>상실 (喪失)</t>
  </si>
  <si>
    <t>( )野</t>
  </si>
  <si>
    <t>(여당과 야당)</t>
  </si>
  <si>
    <t>더불 여</t>
  </si>
  <si>
    <t>여야 (與野)</t>
  </si>
  <si>
    <t>( )療</t>
  </si>
  <si>
    <t>(의술로 병을 치료함)</t>
  </si>
  <si>
    <t>의료 (醫療)</t>
  </si>
  <si>
    <t>( )間</t>
  </si>
  <si>
    <t>(이른 때와 늦은 때, 조만간)</t>
  </si>
  <si>
    <t>早</t>
  </si>
  <si>
    <t>이를 조</t>
  </si>
  <si>
    <t>조만 (早晩)</t>
  </si>
  <si>
    <t>添( )</t>
  </si>
  <si>
    <t>남과 나</t>
  </si>
  <si>
    <t>我</t>
  </si>
  <si>
    <t>나 아</t>
  </si>
  <si>
    <t>피아 (彼我)</t>
  </si>
  <si>
    <t>( )峻</t>
  </si>
  <si>
    <t>(험하고 높음)</t>
  </si>
  <si>
    <t>험준 (險峻)</t>
  </si>
  <si>
    <t>隆起 ↔</t>
  </si>
  <si>
    <t>(융기)↔</t>
  </si>
  <si>
    <t>陷沒</t>
  </si>
  <si>
    <t>빠질 함 / 빠질 몰</t>
  </si>
  <si>
    <t>함몰 (陷沒)</t>
  </si>
  <si>
    <t>愛好 ↔</t>
  </si>
  <si>
    <t>(애호)↔</t>
  </si>
  <si>
    <t>嫌惡</t>
  </si>
  <si>
    <t>싫어할 혐 / 싫어할 오</t>
  </si>
  <si>
    <t>혐오 (嫌惡)</t>
  </si>
  <si>
    <t>강할 강 / 굳셀 경</t>
  </si>
  <si>
    <t>乾( )</t>
  </si>
  <si>
    <t>(하늘과 땅)</t>
  </si>
  <si>
    <t>坤</t>
  </si>
  <si>
    <t>땅 곤</t>
  </si>
  <si>
    <t>乾坤 (건곤)</t>
  </si>
  <si>
    <t>(두렵고 무서움)</t>
  </si>
  <si>
    <t>( )鍵</t>
  </si>
  <si>
    <t>(사물의 가장 중요한 곳)</t>
  </si>
  <si>
    <t>관건 (關鍵)</t>
  </si>
  <si>
    <t>購( )</t>
  </si>
  <si>
    <t>(물건을 사들임)</t>
  </si>
  <si>
    <t>買</t>
  </si>
  <si>
    <t>살 매</t>
  </si>
  <si>
    <t>구매 (購買)</t>
  </si>
  <si>
    <t>發掘 ↔</t>
  </si>
  <si>
    <t>(발굴)↔</t>
  </si>
  <si>
    <t>埋沒</t>
  </si>
  <si>
    <t>묻을 매 / 빠질 몰</t>
  </si>
  <si>
    <t>매몰 (埋沒)</t>
  </si>
  <si>
    <t>野蠻 ↔</t>
  </si>
  <si>
    <t>(야만)↔</t>
  </si>
  <si>
    <t>文明</t>
  </si>
  <si>
    <t>글월 문 / 밝을 명</t>
  </si>
  <si>
    <t>문명 (文明)</t>
  </si>
  <si>
    <t>叔( )</t>
  </si>
  <si>
    <t>아저씨와 조카</t>
  </si>
  <si>
    <t>姪</t>
  </si>
  <si>
    <t>조카 질</t>
  </si>
  <si>
    <t>叔姪 (숙질)</t>
  </si>
  <si>
    <t>( )急</t>
  </si>
  <si>
    <t>(느림과 빠름)</t>
  </si>
  <si>
    <t>緩</t>
  </si>
  <si>
    <t>느릴 완</t>
  </si>
  <si>
    <t>緩急 (완급)</t>
  </si>
  <si>
    <t>(기운이 넘치고 왕성함)</t>
  </si>
  <si>
    <t>베풀 진 / 썩을 부</t>
  </si>
  <si>
    <t>(매우 엄격함)</t>
  </si>
  <si>
    <t>表( )</t>
  </si>
  <si>
    <t>(겉과 속)</t>
  </si>
  <si>
    <t>裏</t>
  </si>
  <si>
    <t>속 리</t>
  </si>
  <si>
    <t>表裏 (표리)</t>
  </si>
  <si>
    <t>濃厚 ↔</t>
  </si>
  <si>
    <t>(농후)↔</t>
  </si>
  <si>
    <t>稀薄</t>
  </si>
  <si>
    <t>드물 희 / 엷을 박</t>
  </si>
  <si>
    <t>稀薄 (희박)</t>
  </si>
  <si>
    <t>憂鬱 ↔</t>
  </si>
  <si>
    <t>(우울)↔</t>
  </si>
  <si>
    <t>明朗</t>
  </si>
  <si>
    <t>밝을 명 / 밝을 랑</t>
  </si>
  <si>
    <t>明朗 (명랑)</t>
  </si>
  <si>
    <t>( )蔑</t>
  </si>
  <si>
    <t>(업신여김)</t>
  </si>
  <si>
    <t>侮</t>
  </si>
  <si>
    <t>업신여길 모</t>
  </si>
  <si>
    <t>모멸 (侮蔑)</t>
  </si>
  <si>
    <t>(물 위에 뜸과 물속에 잠김)</t>
  </si>
  <si>
    <t>(신사)↔</t>
  </si>
  <si>
    <t>맑을 숙 / 계집 녀</t>
  </si>
  <si>
    <t>( )縮</t>
  </si>
  <si>
    <t>늘어남과 줄어듦</t>
  </si>
  <si>
    <t>伸</t>
  </si>
  <si>
    <t>伸縮 (신축)</t>
  </si>
  <si>
    <t>(사람의 죽음을 슬퍼함)</t>
  </si>
  <si>
    <t>遼( )</t>
  </si>
  <si>
    <t>(아득하게 멂)</t>
  </si>
  <si>
    <t>遠</t>
  </si>
  <si>
    <t>멀 원</t>
  </si>
  <si>
    <t>遙遠 (요원)</t>
  </si>
  <si>
    <t>( )晚</t>
  </si>
  <si>
    <t>(이름과 늦음)</t>
  </si>
  <si>
    <t>조만 (早晚)</t>
  </si>
  <si>
    <t>尊( )</t>
  </si>
  <si>
    <t>(높음과 낮음)</t>
  </si>
  <si>
    <t>卑</t>
  </si>
  <si>
    <t>낮을 비</t>
  </si>
  <si>
    <t>升進 ↔</t>
  </si>
  <si>
    <t>(승진)↔</t>
  </si>
  <si>
    <t>左遷</t>
  </si>
  <si>
    <t>왼 좌 / 옮길 천</t>
  </si>
  <si>
    <t>좌천 (左遷)</t>
  </si>
  <si>
    <t>( )頓</t>
  </si>
  <si>
    <t>(가지런히 바로잡음)</t>
  </si>
  <si>
    <t>整</t>
  </si>
  <si>
    <t>가지런할 정</t>
  </si>
  <si>
    <t>정돈 (整頓)</t>
  </si>
  <si>
    <t>( )呈</t>
  </si>
  <si>
    <t>(물품을 줌)</t>
  </si>
  <si>
    <t>贈</t>
  </si>
  <si>
    <t>드릴 증</t>
  </si>
  <si>
    <t>증정 (贈呈)</t>
  </si>
  <si>
    <t>削除 ↔</t>
  </si>
  <si>
    <t>(삭제)↔</t>
  </si>
  <si>
    <t>添加</t>
  </si>
  <si>
    <t>더할 첨 / 더할 가</t>
  </si>
  <si>
    <t>첨가 (添加)</t>
  </si>
  <si>
    <t>( )閉</t>
  </si>
  <si>
    <t>(열고 닫음)</t>
  </si>
  <si>
    <t>열 계, 열 개</t>
  </si>
  <si>
    <t>開閉 (개폐)</t>
  </si>
  <si>
    <t>( )弔</t>
  </si>
  <si>
    <t>(경사와 애사)</t>
  </si>
  <si>
    <t>慶弔 (경조)</t>
  </si>
  <si>
    <t>( )闕</t>
  </si>
  <si>
    <t>(임금의 거처)</t>
  </si>
  <si>
    <t>宮</t>
  </si>
  <si>
    <t>집 궁</t>
  </si>
  <si>
    <t>궁궐 (宮闕)</t>
  </si>
  <si>
    <t>厭世 ↔</t>
  </si>
  <si>
    <t>(염세)↔</t>
  </si>
  <si>
    <t>樂天</t>
  </si>
  <si>
    <t>즐길 락 / 하늘 천</t>
  </si>
  <si>
    <t>낙천 (樂天)</t>
  </si>
  <si>
    <t>짙음과 옅음</t>
  </si>
  <si>
    <t>淡</t>
  </si>
  <si>
    <t>묽을 담</t>
  </si>
  <si>
    <t>濃淡 (농담)</t>
  </si>
  <si>
    <t>(부부의 화목)</t>
  </si>
  <si>
    <t>耆( )</t>
  </si>
  <si>
    <t>(늙은이)</t>
  </si>
  <si>
    <t>기로 (耆老)</t>
  </si>
  <si>
    <t>優良 ↔</t>
  </si>
  <si>
    <t>(우량)↔</t>
  </si>
  <si>
    <t>劣惡</t>
  </si>
  <si>
    <t>못할 렬 / 악할 악</t>
  </si>
  <si>
    <t>열악 (劣惡)</t>
  </si>
  <si>
    <t>升揚 ↔</t>
  </si>
  <si>
    <t>(승양)↔</t>
  </si>
  <si>
    <t>(가지런히 함)</t>
  </si>
  <si>
    <t>公平 ↔</t>
  </si>
  <si>
    <t>(공평)↔</t>
  </si>
  <si>
    <t>偏頗</t>
  </si>
  <si>
    <t>치우칠 편 / 자못 파</t>
  </si>
  <si>
    <t>偏頗 (편파)</t>
  </si>
  <si>
    <t>( )握</t>
  </si>
  <si>
    <t>(틀어 쥠, 진상을 알아냄)</t>
  </si>
  <si>
    <t>把</t>
  </si>
  <si>
    <t>잡을 파</t>
  </si>
  <si>
    <t>把握 (파악)</t>
  </si>
  <si>
    <t>繁忙 ↔</t>
  </si>
  <si>
    <t>(번망)↔</t>
  </si>
  <si>
    <t>閑散</t>
  </si>
  <si>
    <t>한가할 한 / 흩어질 산</t>
  </si>
  <si>
    <t>한산 (閑散)</t>
  </si>
  <si>
    <t>(두려움)</t>
  </si>
  <si>
    <t>飽食 ↔</t>
  </si>
  <si>
    <t>(포식)↔</t>
  </si>
  <si>
    <t>飢餓</t>
  </si>
  <si>
    <t>주릴 기 / 주릴 아</t>
  </si>
  <si>
    <t>飢餓 (기아)</t>
  </si>
  <si>
    <t>奴( )</t>
  </si>
  <si>
    <t>(남자 종과 여자 종)</t>
  </si>
  <si>
    <t>婢</t>
  </si>
  <si>
    <t>계집종 비</t>
  </si>
  <si>
    <t>奴婢 (노비)</t>
  </si>
  <si>
    <t>美( )</t>
  </si>
  <si>
    <t>(아름다움과 추함)</t>
  </si>
  <si>
    <t>醜</t>
  </si>
  <si>
    <t>추할 추</t>
  </si>
  <si>
    <t>美醜 (미추)</t>
  </si>
  <si>
    <t>( )慘</t>
  </si>
  <si>
    <t>(슬프고 비참함)</t>
  </si>
  <si>
    <t>悲</t>
  </si>
  <si>
    <t>슬플 비</t>
  </si>
  <si>
    <t>비참 (悲慘)</t>
  </si>
  <si>
    <t>( )傅</t>
  </si>
  <si>
    <t>(스승)</t>
  </si>
  <si>
    <t>사부 (師傅)</t>
  </si>
  <si>
    <t>( )舶</t>
  </si>
  <si>
    <t>(배)</t>
  </si>
  <si>
    <t>船</t>
  </si>
  <si>
    <t>배 선</t>
  </si>
  <si>
    <t>船舶 (선박)</t>
  </si>
  <si>
    <t>哀( )</t>
  </si>
  <si>
    <t>슬픔과 기쁨</t>
  </si>
  <si>
    <t>기뻐할 환</t>
  </si>
  <si>
    <t>哀歡 (애환)</t>
  </si>
  <si>
    <t>急激 ↔</t>
  </si>
  <si>
    <t>(급격)↔</t>
  </si>
  <si>
    <t>緩慢</t>
  </si>
  <si>
    <t>느릴 완 / 게으를 만</t>
  </si>
  <si>
    <t>緩慢 (완만)</t>
  </si>
  <si>
    <t>(혹평)↔</t>
  </si>
  <si>
    <t>끊을 절 / 기릴 찬</t>
  </si>
  <si>
    <t>( )劣</t>
  </si>
  <si>
    <t>(못나고 졸렬함)</t>
  </si>
  <si>
    <t>拙</t>
  </si>
  <si>
    <t>옹졸할 졸</t>
  </si>
  <si>
    <t>졸렬 (拙劣)</t>
  </si>
  <si>
    <t>定着 ↔</t>
  </si>
  <si>
    <t>정처 없이 떠돌아다님</t>
  </si>
  <si>
    <t>漂流</t>
  </si>
  <si>
    <t>떠다닐 표 / 흐를 류</t>
  </si>
  <si>
    <t>漂流 (표류)</t>
  </si>
  <si>
    <t>界</t>
  </si>
  <si>
    <t>지경 계</t>
  </si>
  <si>
    <t>강계 (疆界)</t>
  </si>
  <si>
    <t>(가장 중요한 부분)</t>
  </si>
  <si>
    <t>빗장 관</t>
  </si>
  <si>
    <t>( )落</t>
  </si>
  <si>
    <t>(오름과 내림)</t>
  </si>
  <si>
    <t>登/騰</t>
  </si>
  <si>
    <t>오를 등</t>
  </si>
  <si>
    <t>登落/騰落 (등락)</t>
  </si>
  <si>
    <t>創造 ↔</t>
  </si>
  <si>
    <t>(창조)↔</t>
  </si>
  <si>
    <t>模倣</t>
  </si>
  <si>
    <t>본뜰 모 / 본받을 방</t>
  </si>
  <si>
    <t>模倣 (모방)</t>
  </si>
  <si>
    <t>(건조)↔</t>
  </si>
  <si>
    <t>젖을 습 / 윤택할 윤</t>
  </si>
  <si>
    <t>融解 ↔</t>
  </si>
  <si>
    <t>(융해)↔</t>
  </si>
  <si>
    <t>엉길 응 / 굳을 고</t>
  </si>
  <si>
    <t>( )虐</t>
  </si>
  <si>
    <t>(사납고 모짊)</t>
  </si>
  <si>
    <t>폭학 (暴虐)</t>
  </si>
  <si>
    <t>(산세가 험하고 높음)</t>
  </si>
  <si>
    <t>濕潤 ↔</t>
  </si>
  <si>
    <t>(습윤)↔</t>
  </si>
  <si>
    <t>乾燥</t>
  </si>
  <si>
    <t>마를 건 / 마를 조</t>
  </si>
  <si>
    <t>乾燥 (건조)</t>
  </si>
  <si>
    <t>( )婦</t>
  </si>
  <si>
    <t>(시어머니와 며느리)</t>
  </si>
  <si>
    <t>姑</t>
  </si>
  <si>
    <t>시어미 고</t>
  </si>
  <si>
    <t>(부부 사이가 좋음)</t>
  </si>
  <si>
    <t>잊을 망 / 물리칠 각</t>
  </si>
  <si>
    <t>浮( )</t>
  </si>
  <si>
    <t>沈</t>
  </si>
  <si>
    <t>잠길 침</t>
  </si>
  <si>
    <t>供給 ↔</t>
  </si>
  <si>
    <t>(공급)↔</t>
  </si>
  <si>
    <t>需要</t>
  </si>
  <si>
    <t>쓸 수 / 요긴할 요</t>
  </si>
  <si>
    <t>需要 (수요)</t>
  </si>
  <si>
    <t>送舊 ↔</t>
  </si>
  <si>
    <t>(송구)↔</t>
  </si>
  <si>
    <t>迎新</t>
  </si>
  <si>
    <t>맞을 영 / 새 신</t>
  </si>
  <si>
    <t>영신 (迎新)</t>
  </si>
  <si>
    <t>( )礙</t>
  </si>
  <si>
    <t>(가로막아 거치적거림)</t>
  </si>
  <si>
    <t>障</t>
  </si>
  <si>
    <t>막을 장</t>
  </si>
  <si>
    <t>장애 (障礙)</t>
  </si>
  <si>
    <t>(한쪽으로 치우침)</t>
  </si>
  <si>
    <t>( )此</t>
  </si>
  <si>
    <t>彼</t>
  </si>
  <si>
    <t>저 피</t>
  </si>
  <si>
    <t>愼重 ↔</t>
  </si>
  <si>
    <t>(신중)↔</t>
  </si>
  <si>
    <t>輕率</t>
  </si>
  <si>
    <t>가벼울 경 / 거느릴 솔</t>
  </si>
  <si>
    <t>輕率 (경솔)</t>
  </si>
  <si>
    <t>(나아가 적을 침)</t>
  </si>
  <si>
    <t>擊</t>
  </si>
  <si>
    <t>칠 격</t>
  </si>
  <si>
    <t>공격 (攻擊)</t>
  </si>
  <si>
    <t>緩慢 ↔</t>
  </si>
  <si>
    <t>(완만)↔</t>
  </si>
  <si>
    <t>急激</t>
  </si>
  <si>
    <t>급할 급 / 격할 격</t>
  </si>
  <si>
    <t>急激 (급격)</t>
  </si>
  <si>
    <t>( )曲</t>
  </si>
  <si>
    <t>(이리저리 꺾임, 사연이나 곡절)</t>
  </si>
  <si>
    <t>굴곡 (屈曲)</t>
  </si>
  <si>
    <t>外延 ↔</t>
  </si>
  <si>
    <t>(외연)↔</t>
  </si>
  <si>
    <t>內包</t>
  </si>
  <si>
    <t>안 내 / 쌀 포</t>
  </si>
  <si>
    <t>내포 (內包)</t>
  </si>
  <si>
    <t>獨創 ↔</t>
  </si>
  <si>
    <t>(독창)↔</t>
  </si>
  <si>
    <t>법 모 / 본받을 방</t>
  </si>
  <si>
    <t>嚴格 ↔</t>
  </si>
  <si>
    <t>仁慈</t>
  </si>
  <si>
    <t>어질 인 / 사랑할 자</t>
  </si>
  <si>
    <t>인자 (仁慈)</t>
  </si>
  <si>
    <t>縱( )</t>
  </si>
  <si>
    <t>세로와 가로</t>
  </si>
  <si>
    <t>橫</t>
  </si>
  <si>
    <t>가로 횡</t>
  </si>
  <si>
    <t>縱橫 (종횡)</t>
  </si>
  <si>
    <t>( )盜</t>
  </si>
  <si>
    <t>(남의 것을 몰래 훔침)</t>
  </si>
  <si>
    <t>절도 (竊盜)</t>
  </si>
  <si>
    <t>錯( )</t>
  </si>
  <si>
    <t>(생각이나 사실이 어긋남)</t>
  </si>
  <si>
    <t>誤</t>
  </si>
  <si>
    <t>그르칠 오</t>
  </si>
  <si>
    <t>착오 (錯誤)</t>
  </si>
  <si>
    <t>(사고 팖)</t>
  </si>
  <si>
    <t>販</t>
  </si>
  <si>
    <t>팔 판</t>
  </si>
  <si>
    <t>구판 (購販)</t>
  </si>
  <si>
    <t>喜悅 ↔</t>
  </si>
  <si>
    <t>(희열)↔</t>
  </si>
  <si>
    <t>憤怒</t>
  </si>
  <si>
    <t>결낼 분 / 성낼 노</t>
  </si>
  <si>
    <t>분노 (憤怒)</t>
  </si>
  <si>
    <t>飜( )</t>
  </si>
  <si>
    <t>(다른 말로 바꿈)</t>
  </si>
  <si>
    <t>譯</t>
  </si>
  <si>
    <t>통변할 역</t>
  </si>
  <si>
    <t>번역 (飜譯)</t>
  </si>
  <si>
    <t>紛失 ↔</t>
  </si>
  <si>
    <t>(분실)↔</t>
  </si>
  <si>
    <t>拾得</t>
  </si>
  <si>
    <t>주울 습 / 얻을 득</t>
  </si>
  <si>
    <t>습득 (拾得)</t>
  </si>
  <si>
    <t>伸( )</t>
  </si>
  <si>
    <t>縮</t>
  </si>
  <si>
    <t>줄일 축</t>
  </si>
  <si>
    <t>受禪 ↔</t>
  </si>
  <si>
    <t>왕위를 물려받음</t>
  </si>
  <si>
    <t>讓位</t>
  </si>
  <si>
    <t>사양할 양 / 자리 위</t>
  </si>
  <si>
    <t>양위 (讓位)</t>
  </si>
  <si>
    <t>戀( )</t>
  </si>
  <si>
    <t>(그리워하고 사모함)</t>
  </si>
  <si>
    <t>慕</t>
  </si>
  <si>
    <t>사모할 모</t>
  </si>
  <si>
    <t>연모 (戀慕)</t>
  </si>
  <si>
    <t>忍( )</t>
  </si>
  <si>
    <t>(참고 견딤)</t>
  </si>
  <si>
    <t>耐</t>
  </si>
  <si>
    <t>견딜 내</t>
  </si>
  <si>
    <t>인내 (忍耐)</t>
  </si>
  <si>
    <t>( )橫</t>
  </si>
  <si>
    <t>縱</t>
  </si>
  <si>
    <t>세로 종</t>
  </si>
  <si>
    <t>存續 ↔</t>
  </si>
  <si>
    <t>(존속)↔</t>
  </si>
  <si>
    <t>廢止</t>
  </si>
  <si>
    <t>폐할 폐 / 그칠 지</t>
  </si>
  <si>
    <t>폐지 (廢止)</t>
  </si>
  <si>
    <t>( )膚</t>
  </si>
  <si>
    <t>(몸을 싸고 있는 껍질)</t>
  </si>
  <si>
    <t>皮</t>
  </si>
  <si>
    <t>가죽 피</t>
  </si>
  <si>
    <t>피부 (皮膚)</t>
  </si>
  <si>
    <t>( )怠</t>
  </si>
  <si>
    <t>勤</t>
  </si>
  <si>
    <t>부지런할 근</t>
  </si>
  <si>
    <t>模倣 ↔</t>
  </si>
  <si>
    <t>(모방)↔</t>
  </si>
  <si>
    <t>獨創 (또는 創造)</t>
  </si>
  <si>
    <t>홀로 독 / 비롯할 창</t>
  </si>
  <si>
    <t>독창 (獨創)</t>
  </si>
  <si>
    <t>特殊 ↔</t>
  </si>
  <si>
    <t>(특수)↔</t>
  </si>
  <si>
    <t>普遍</t>
  </si>
  <si>
    <t>넓을 보 / 두루 편</t>
  </si>
  <si>
    <t>普遍 (보편)</t>
  </si>
  <si>
    <t>(보내고 맞아들임)</t>
  </si>
  <si>
    <t>맞을 영</t>
  </si>
  <si>
    <t>需( )</t>
  </si>
  <si>
    <t>(수요와 공급)</t>
  </si>
  <si>
    <t>給</t>
  </si>
  <si>
    <t>줄 급</t>
  </si>
  <si>
    <t>수급 (需給)</t>
  </si>
  <si>
    <t>( )減</t>
  </si>
  <si>
    <t>(깎아서 줄임)</t>
  </si>
  <si>
    <t>削減 (삭감)</t>
  </si>
  <si>
    <t>寬大 ↔</t>
  </si>
  <si>
    <t>매우 엄하고 철저함</t>
  </si>
  <si>
    <t>嚴格</t>
  </si>
  <si>
    <t>엄할 엄 / 격식 격</t>
  </si>
  <si>
    <t>엄격 (嚴格)</t>
  </si>
  <si>
    <t>近接 ↔</t>
  </si>
  <si>
    <t>(근접)↔</t>
  </si>
  <si>
    <t>遠隔</t>
  </si>
  <si>
    <t>멀 원 / 사이뜰 격</t>
  </si>
  <si>
    <t>원격 (遠隔)</t>
  </si>
  <si>
    <t>返濟 ↔</t>
  </si>
  <si>
    <t>(반제)↔</t>
  </si>
  <si>
    <t>借用</t>
  </si>
  <si>
    <t>빌 차 / 쓸 용</t>
  </si>
  <si>
    <t>차용 (借用)</t>
  </si>
  <si>
    <t>招( )</t>
  </si>
  <si>
    <t>(부탁하여 모셔 옴)</t>
  </si>
  <si>
    <t>聘</t>
  </si>
  <si>
    <t>부릴 빙</t>
  </si>
  <si>
    <t>招聘 (초빙)</t>
  </si>
  <si>
    <t>取( )</t>
  </si>
  <si>
    <t>취함과 버림</t>
  </si>
  <si>
    <t>捨</t>
  </si>
  <si>
    <t>버릴 사</t>
  </si>
  <si>
    <t>取捨 (취사)</t>
  </si>
  <si>
    <t>( )賣</t>
  </si>
  <si>
    <t>(물건을 팖)</t>
  </si>
  <si>
    <t>販賣 (판매)</t>
  </si>
  <si>
    <t>( )我</t>
  </si>
  <si>
    <t>( )喜</t>
  </si>
  <si>
    <t>(매우 기뻐함)</t>
  </si>
  <si>
    <t>歡喜 (환희)</t>
  </si>
  <si>
    <t>( )燥</t>
  </si>
  <si>
    <t>물기 없이 마름</t>
  </si>
  <si>
    <t>乾</t>
  </si>
  <si>
    <t>하늘 건/마를 건</t>
  </si>
  <si>
    <t>( )引</t>
  </si>
  <si>
    <t>끌어당김</t>
  </si>
  <si>
    <t>牽</t>
  </si>
  <si>
    <t>끌 견</t>
  </si>
  <si>
    <t>牽引 (견인)</t>
  </si>
  <si>
    <t>容易 ↔</t>
  </si>
  <si>
    <t>어려워서 풀기 힘듦</t>
  </si>
  <si>
    <t>難解</t>
  </si>
  <si>
    <t>어려울 난, 풀 해</t>
  </si>
  <si>
    <t>난해 (難解)</t>
  </si>
  <si>
    <t>謹( )</t>
  </si>
  <si>
    <t>삼가고 조심함</t>
  </si>
  <si>
    <t>愼</t>
  </si>
  <si>
    <t>삼갈 신</t>
  </si>
  <si>
    <t>근신 (謹愼)</t>
  </si>
  <si>
    <t>어떤 사실을 잊어버림</t>
  </si>
  <si>
    <t>잊을 망, 물리칠 각</t>
  </si>
  <si>
    <t>盟( )</t>
  </si>
  <si>
    <t>굳게 맹세함</t>
  </si>
  <si>
    <t>誓</t>
  </si>
  <si>
    <t>맹세할 서</t>
  </si>
  <si>
    <t>맹서 (盟誓)</t>
  </si>
  <si>
    <t>高雅 ↔</t>
  </si>
  <si>
    <t>격이 낮고 속됨</t>
  </si>
  <si>
    <t>卑俗</t>
  </si>
  <si>
    <t>낮을 비, 풍속 속</t>
  </si>
  <si>
    <t>卑俗 (비속)</t>
  </si>
  <si>
    <t>盛( )</t>
  </si>
  <si>
    <t>한창 성함과 쇠퇴함</t>
  </si>
  <si>
    <t>衰</t>
  </si>
  <si>
    <t>쇠할 쇠</t>
  </si>
  <si>
    <t>靜肅 ↔</t>
  </si>
  <si>
    <t>시끄럽고 어지러움</t>
  </si>
  <si>
    <t>騷亂</t>
  </si>
  <si>
    <t>떠들 소, 어지러울 란</t>
  </si>
  <si>
    <t>소란 (騷亂)</t>
  </si>
  <si>
    <t>愛( )</t>
  </si>
  <si>
    <t>사랑함과 미워함</t>
  </si>
  <si>
    <t>憎/惡</t>
  </si>
  <si>
    <t>미워할 증/미워할 오</t>
  </si>
  <si>
    <t>애증 (愛憎)/애오 (愛惡)</t>
  </si>
  <si>
    <t>누름과 높이 쳐듦</t>
  </si>
  <si>
    <t>공평하지 못하고 한쪽으로 치우침</t>
  </si>
  <si>
    <t>치우칠 편, 자못 파</t>
  </si>
  <si>
    <t>( )損</t>
  </si>
  <si>
    <t>헐거나 깨뜨려 못 쓰게 만듦</t>
  </si>
  <si>
    <t>훼손 (毁損)</t>
  </si>
  <si>
    <t>물기가 마름</t>
  </si>
  <si>
    <t>마를 건, 마를 조</t>
  </si>
  <si>
    <t>經( )</t>
  </si>
  <si>
    <t>날실과 씨실, 경도와 위도</t>
  </si>
  <si>
    <t>緯</t>
  </si>
  <si>
    <t>씨 위</t>
  </si>
  <si>
    <t>經緯 (경위)</t>
  </si>
  <si>
    <t>慶( )</t>
  </si>
  <si>
    <t>경사와 조사(애사)</t>
  </si>
  <si>
    <t>弔</t>
  </si>
  <si>
    <t>조상할 조</t>
  </si>
  <si>
    <t>( )篤</t>
  </si>
  <si>
    <t>인정이 두터움</t>
  </si>
  <si>
    <t>敦</t>
  </si>
  <si>
    <t>도타울 돈</t>
  </si>
  <si>
    <t>敦篤 (돈독)</t>
  </si>
  <si>
    <t>손해와 이익</t>
  </si>
  <si>
    <t>( )壞</t>
  </si>
  <si>
    <t>무너짐</t>
  </si>
  <si>
    <t>崩</t>
  </si>
  <si>
    <t>무너질 붕</t>
  </si>
  <si>
    <t>崩壞 (붕괴)</t>
  </si>
  <si>
    <t>필요하여 구함</t>
  </si>
  <si>
    <t>쓸 수, 요긴할 요</t>
  </si>
  <si>
    <t>洗( )</t>
  </si>
  <si>
    <t>빨아서 깨끗이 함</t>
  </si>
  <si>
    <t>濯</t>
  </si>
  <si>
    <t>씻을 탁</t>
  </si>
  <si>
    <t>洗濯 (세탁)</t>
  </si>
  <si>
    <t>( )歡</t>
  </si>
  <si>
    <t>掠( )</t>
  </si>
  <si>
    <t>재물 따위를 강제로 빼앗음</t>
  </si>
  <si>
    <t>奪</t>
  </si>
  <si>
    <t>빼앗을 탈</t>
  </si>
  <si>
    <t>약탈 (掠奪)</t>
  </si>
  <si>
    <t>이성을 그리워하며 사모함</t>
  </si>
  <si>
    <t>剛健 ↔</t>
  </si>
  <si>
    <t>부드럽고 약함</t>
  </si>
  <si>
    <t>柔弱</t>
  </si>
  <si>
    <t>부드러울 유, 약할 약</t>
  </si>
  <si>
    <t>유약 (柔弱)</t>
  </si>
  <si>
    <t>낡고 썩음 (진부함)</t>
  </si>
  <si>
    <t>베풀 진, 썩을 부</t>
  </si>
  <si>
    <t>普遍 ↔</t>
  </si>
  <si>
    <t>특별하고 다름</t>
  </si>
  <si>
    <t>特殊</t>
  </si>
  <si>
    <t>특별할 특, 다를 수</t>
  </si>
  <si>
    <t>特殊 (특수)</t>
  </si>
  <si>
    <t>貴( )</t>
  </si>
  <si>
    <t>귀함과 천함</t>
  </si>
  <si>
    <t>賤</t>
  </si>
  <si>
    <t>천할 천</t>
  </si>
  <si>
    <t>貴賤(귀천)</t>
  </si>
  <si>
    <t>外柔 ↔</t>
  </si>
  <si>
    <t>마음속은 굳셈</t>
  </si>
  <si>
    <t>內剛</t>
  </si>
  <si>
    <t>안 내, 굳셀 강</t>
  </si>
  <si>
    <t>內剛 (내강)</t>
  </si>
  <si>
    <t>( )隷</t>
  </si>
  <si>
    <t>남에게 부림을 당하는 사람</t>
  </si>
  <si>
    <t>奴</t>
  </si>
  <si>
    <t>종 노</t>
  </si>
  <si>
    <t>노예 (奴隷)</t>
  </si>
  <si>
    <t>본떠서 따름</t>
  </si>
  <si>
    <t>법 모, 본받을 방</t>
  </si>
  <si>
    <t>두루 미침</t>
  </si>
  <si>
    <t>넓을 보, 두루 편</t>
  </si>
  <si>
    <t>( )樂</t>
  </si>
  <si>
    <t>즐거움</t>
  </si>
  <si>
    <t>娛</t>
  </si>
  <si>
    <t>즐거워할 오</t>
  </si>
  <si>
    <t>오락 (娛樂)</t>
  </si>
  <si>
    <t>帳( )</t>
  </si>
  <si>
    <t>볕이나 비를 가리는 막</t>
  </si>
  <si>
    <t>장막 (帳幕)</t>
  </si>
  <si>
    <t>災( )</t>
  </si>
  <si>
    <t>재앙</t>
  </si>
  <si>
    <t>殃</t>
  </si>
  <si>
    <t>재앙 앙</t>
  </si>
  <si>
    <t>재앙 (災殃)</t>
  </si>
  <si>
    <t>榮轉 ↔</t>
  </si>
  <si>
    <t>낮은 지위로 떨어짐</t>
  </si>
  <si>
    <t>왼 좌, 옮길 천</t>
  </si>
  <si>
    <t>( )反</t>
  </si>
  <si>
    <t>찬성과 반대</t>
  </si>
  <si>
    <t>贊</t>
  </si>
  <si>
    <t>도울 찬</t>
  </si>
  <si>
    <t>贊反 (찬반)</t>
  </si>
  <si>
    <t>( )庫</t>
  </si>
  <si>
    <t>물건을 쌓아 두는 곳</t>
  </si>
  <si>
    <t>倉</t>
  </si>
  <si>
    <t>곳집 창</t>
  </si>
  <si>
    <t>창고 (倉庫)</t>
  </si>
  <si>
    <t>眞實 ↔</t>
  </si>
  <si>
    <t>거짓</t>
  </si>
  <si>
    <t>虛偽</t>
  </si>
  <si>
    <t>빌 허, 거짓 위</t>
  </si>
  <si>
    <t>虛偽 (허위)</t>
  </si>
  <si>
    <t>柔弱 ↔</t>
  </si>
  <si>
    <t>굳세고 건실함</t>
  </si>
  <si>
    <t>剛健</t>
  </si>
  <si>
    <t>굳셀 강, 굳셀 건</t>
  </si>
  <si>
    <t>강건 (剛健)</t>
  </si>
  <si>
    <t>牽( )</t>
  </si>
  <si>
    <t>끌어 당김</t>
  </si>
  <si>
    <t>引</t>
  </si>
  <si>
    <t>끌 인</t>
  </si>
  <si>
    <t>卑俗 ↔</t>
  </si>
  <si>
    <t>고상하고 우아함</t>
  </si>
  <si>
    <t>高雅</t>
  </si>
  <si>
    <t>높을 고, 맑을 아</t>
  </si>
  <si>
    <t>高雅 (고아)</t>
  </si>
  <si>
    <t>두려워함</t>
  </si>
  <si>
    <t>遲鈍 ↔</t>
  </si>
  <si>
    <t>재빠름</t>
  </si>
  <si>
    <t>敏速</t>
  </si>
  <si>
    <t>민첩할 민, 빠를 속</t>
  </si>
  <si>
    <t>민속 (敏速)</t>
  </si>
  <si>
    <t>죽은 이를 슬퍼함</t>
  </si>
  <si>
    <t>느림과 빠름</t>
  </si>
  <si>
    <t>聯( )</t>
  </si>
  <si>
    <t>서로 이어짐</t>
  </si>
  <si>
    <t>絡</t>
  </si>
  <si>
    <t>이을 락</t>
  </si>
  <si>
    <t>연락 (連絡)</t>
  </si>
  <si>
    <t>快勝 ↔</t>
  </si>
  <si>
    <t>비참하게 패함</t>
  </si>
  <si>
    <t>慘敗</t>
  </si>
  <si>
    <t>참혹할 참, 패할 패</t>
  </si>
  <si>
    <t>참패 (慘敗)</t>
  </si>
  <si>
    <t>한쪽으로 치우침</t>
  </si>
  <si>
    <t>물건을 팖</t>
  </si>
  <si>
    <t>呼( )</t>
  </si>
  <si>
    <t>숨을 내쉼과 들이마심</t>
  </si>
  <si>
    <t>吸</t>
  </si>
  <si>
    <t>마실 흡</t>
  </si>
  <si>
    <t>呼吸 (호흡)</t>
  </si>
  <si>
    <t>價( )</t>
  </si>
  <si>
    <t>값, 가치</t>
  </si>
  <si>
    <t>値</t>
  </si>
  <si>
    <t>값 치</t>
  </si>
  <si>
    <t>價値 (가치)</t>
  </si>
  <si>
    <t>( )私</t>
  </si>
  <si>
    <t>공과 사</t>
  </si>
  <si>
    <t>公</t>
  </si>
  <si>
    <t>공변될 공</t>
  </si>
  <si>
    <t>공사 (公私)</t>
  </si>
  <si>
    <t>放免 ↔</t>
  </si>
  <si>
    <t>잡아 가둠</t>
  </si>
  <si>
    <t>拘束</t>
  </si>
  <si>
    <t>잡을 구, 묶을 속</t>
  </si>
  <si>
    <t>拘束 (구속)</t>
  </si>
  <si>
    <t>賣( )</t>
  </si>
  <si>
    <t>팖과 삼</t>
  </si>
  <si>
    <t>매매 (賣買)</t>
  </si>
  <si>
    <t>消費 ↔</t>
  </si>
  <si>
    <t>생활에 필요한 물건을 만들어 냄</t>
  </si>
  <si>
    <t>生産</t>
  </si>
  <si>
    <t>날 생, 낳을 산</t>
  </si>
  <si>
    <t>생산 (生産)</t>
  </si>
  <si>
    <t>比( )</t>
  </si>
  <si>
    <t>견주어 봄</t>
  </si>
  <si>
    <t>較</t>
  </si>
  <si>
    <t>견줄 교</t>
  </si>
  <si>
    <t>비교 (比較)</t>
  </si>
  <si>
    <t>說( )</t>
  </si>
  <si>
    <t>이야기, 설화</t>
  </si>
  <si>
    <t>話</t>
  </si>
  <si>
    <t>말씀 화</t>
  </si>
  <si>
    <t>설화 (說話)</t>
  </si>
  <si>
    <t>壽( )</t>
  </si>
  <si>
    <t>목숨</t>
  </si>
  <si>
    <t>命</t>
  </si>
  <si>
    <t>목숨 명</t>
  </si>
  <si>
    <t>수명 (壽命)</t>
  </si>
  <si>
    <t>藝( )</t>
  </si>
  <si>
    <t>기예와 학술</t>
  </si>
  <si>
    <t>術</t>
  </si>
  <si>
    <t>재주 술</t>
  </si>
  <si>
    <t>예술 (藝術)</t>
  </si>
  <si>
    <t>怨恨 ↔</t>
  </si>
  <si>
    <t>은혜</t>
  </si>
  <si>
    <t>恩惠</t>
  </si>
  <si>
    <t>은혜 은, 은혜 혜</t>
  </si>
  <si>
    <t>은혜 (恩惠)</t>
  </si>
  <si>
    <t>現實 ↔</t>
  </si>
  <si>
    <t>생각할 수 있는 가장 완전한 상태</t>
  </si>
  <si>
    <t>理想</t>
  </si>
  <si>
    <t>다스릴 리, 생각 상</t>
  </si>
  <si>
    <t>이상 (理想)</t>
  </si>
  <si>
    <t>( )退</t>
  </si>
  <si>
    <t>나아감과 물러감</t>
  </si>
  <si>
    <t>進</t>
  </si>
  <si>
    <t>나아갈 진</t>
  </si>
  <si>
    <t>진퇴 (進退)</t>
  </si>
  <si>
    <t>平等 ↔</t>
  </si>
  <si>
    <t>차등을 두어 구별함</t>
  </si>
  <si>
    <t>差別</t>
  </si>
  <si>
    <t>다를 차, 나눌 별</t>
  </si>
  <si>
    <t>차별 (差別)</t>
  </si>
  <si>
    <t>겉과 속</t>
  </si>
  <si>
    <t>興( )</t>
  </si>
  <si>
    <t>흥함과 망함</t>
  </si>
  <si>
    <t>亡</t>
  </si>
  <si>
    <t>망할 망</t>
  </si>
  <si>
    <t>흥망 (興亡)</t>
  </si>
  <si>
    <t>加( )</t>
  </si>
  <si>
    <t>더함과 뺌</t>
  </si>
  <si>
    <t>가감 (加減)</t>
  </si>
  <si>
    <t>檢( )</t>
  </si>
  <si>
    <t>검사 (사실을 조사함)</t>
  </si>
  <si>
    <t>查</t>
  </si>
  <si>
    <t>조사할 사</t>
  </si>
  <si>
    <t>검사 (檢查)</t>
  </si>
  <si>
    <t>( )爭</t>
  </si>
  <si>
    <t>경쟁 (서로 겨룸)</t>
  </si>
  <si>
    <t>競</t>
  </si>
  <si>
    <t>다툴 경</t>
  </si>
  <si>
    <t>경쟁 (競爭)</t>
  </si>
  <si>
    <t>( )梁</t>
  </si>
  <si>
    <t>교량 (다리)</t>
  </si>
  <si>
    <t>橋</t>
  </si>
  <si>
    <t>다리 교</t>
  </si>
  <si>
    <t>교량 (橋梁)</t>
  </si>
  <si>
    <t>未熟 ↔</t>
  </si>
  <si>
    <t>능숙하고 노련함</t>
  </si>
  <si>
    <t>老鍊</t>
  </si>
  <si>
    <t>늙을 로, 단련할 련</t>
  </si>
  <si>
    <t>노련 (老鍊)</t>
  </si>
  <si>
    <t>本( )</t>
  </si>
  <si>
    <t>으뜸과 끝 (처음과 나중)</t>
  </si>
  <si>
    <t>末</t>
  </si>
  <si>
    <t>끝 말</t>
  </si>
  <si>
    <t>본말 (本末)</t>
  </si>
  <si>
    <t>奉( )</t>
  </si>
  <si>
    <t>봉사 (남을 위하여 일함)</t>
  </si>
  <si>
    <t>仕</t>
  </si>
  <si>
    <t>섬길 사</t>
  </si>
  <si>
    <t>봉사 (奉仕)</t>
  </si>
  <si>
    <t>損( )</t>
  </si>
  <si>
    <t>엄할 엄, 격식 격</t>
  </si>
  <si>
    <t>멀리 떨어져 있음</t>
  </si>
  <si>
    <t>멀 원, 사이뜰 격</t>
  </si>
  <si>
    <t>興奮 ↔</t>
  </si>
  <si>
    <t>가라앉아 조용함</t>
  </si>
  <si>
    <t>鎭靜</t>
  </si>
  <si>
    <t>진압할 진, 고요할 정</t>
  </si>
  <si>
    <t>鎭靜 (진정)</t>
  </si>
  <si>
    <t>( )聞</t>
  </si>
  <si>
    <t>청문 (자세히 들음)</t>
  </si>
  <si>
    <t>聽</t>
  </si>
  <si>
    <t>들을 청</t>
  </si>
  <si>
    <t>청문 (聽聞)</t>
  </si>
  <si>
    <t>抑制 ↔</t>
  </si>
  <si>
    <t>다그쳐 빨리 나아가게 함</t>
  </si>
  <si>
    <t>促進</t>
  </si>
  <si>
    <t>재촉할 촉, 나아갈 진</t>
  </si>
  <si>
    <t>促進 (촉진)</t>
  </si>
  <si>
    <t>昇天 ↔</t>
  </si>
  <si>
    <t>하늘에서 내려옴</t>
  </si>
  <si>
    <t>降臨</t>
  </si>
  <si>
    <t>내릴 강, 임할 림</t>
  </si>
  <si>
    <t>降臨 (강림)</t>
  </si>
  <si>
    <t>苦( )</t>
  </si>
  <si>
    <t>괴로움과 즐거움</t>
  </si>
  <si>
    <t>樂</t>
  </si>
  <si>
    <t>즐길 락</t>
  </si>
  <si>
    <t>고락 (苦樂)</t>
  </si>
  <si>
    <t>품격이 높고 우아함</t>
  </si>
  <si>
    <t>孤( )</t>
  </si>
  <si>
    <t>외로움</t>
  </si>
  <si>
    <t>고독 (孤獨)</t>
  </si>
  <si>
    <t>義務 ↔</t>
  </si>
  <si>
    <t>권세와 이익</t>
  </si>
  <si>
    <t>權利</t>
  </si>
  <si>
    <t>권세 권, 이로울 리</t>
  </si>
  <si>
    <t>權利 (권리)</t>
  </si>
  <si>
    <t>( )賤</t>
  </si>
  <si>
    <t>都( )</t>
  </si>
  <si>
    <t>도시와 농촌</t>
  </si>
  <si>
    <t>農</t>
  </si>
  <si>
    <t>농사 농</t>
  </si>
  <si>
    <t>도농 (都農)</t>
  </si>
  <si>
    <t>賞( )</t>
  </si>
  <si>
    <t>상과 벌</t>
  </si>
  <si>
    <t>罰</t>
  </si>
  <si>
    <t>벌할 벌</t>
  </si>
  <si>
    <t>賞罰 (상벌)</t>
  </si>
  <si>
    <t>새해를 맞이함</t>
  </si>
  <si>
    <t>맞을 영, 새 신</t>
  </si>
  <si>
    <t>遠( )</t>
  </si>
  <si>
    <t>멂과 가까움</t>
  </si>
  <si>
    <t>近</t>
  </si>
  <si>
    <t>가까울 근</t>
  </si>
  <si>
    <t>원근 (遠近)</t>
  </si>
  <si>
    <t>質疑 ↔</t>
  </si>
  <si>
    <t>물음에 응하여 대답함</t>
  </si>
  <si>
    <t>應答</t>
  </si>
  <si>
    <t>응할 응, 대답 답</t>
  </si>
  <si>
    <t>응답 (應答)</t>
  </si>
  <si>
    <t>宇( )</t>
  </si>
  <si>
    <t>우주, 집</t>
  </si>
  <si>
    <t>우주 (宇宙)</t>
  </si>
  <si>
    <t>참고 견딤</t>
  </si>
  <si>
    <t>祭( )</t>
  </si>
  <si>
    <t>제사</t>
  </si>
  <si>
    <t>祀</t>
  </si>
  <si>
    <t>제사 사</t>
  </si>
  <si>
    <t>祭祀 (제사)</t>
  </si>
  <si>
    <t>婚( )</t>
  </si>
  <si>
    <t>혼인</t>
  </si>
  <si>
    <t>姻</t>
  </si>
  <si>
    <t>혼인할 인</t>
  </si>
  <si>
    <t>婚姻 (혼인)</t>
  </si>
  <si>
    <t>속은 굳셈</t>
  </si>
  <si>
    <t>( )愼</t>
  </si>
  <si>
    <t>실수를 인정하고 삼가다</t>
  </si>
  <si>
    <t>謹</t>
  </si>
  <si>
    <t>삼갈 근</t>
  </si>
  <si>
    <t>( )續</t>
  </si>
  <si>
    <t>끊어짐과 이어짐</t>
  </si>
  <si>
    <t>斷</t>
  </si>
  <si>
    <t>끊을 단</t>
  </si>
  <si>
    <t>斷續 (단속)</t>
  </si>
  <si>
    <t>動( )</t>
  </si>
  <si>
    <t>움직임과 고요함</t>
  </si>
  <si>
    <t>靜</t>
  </si>
  <si>
    <t>고요할 정</t>
  </si>
  <si>
    <t>動靜 (동정)</t>
  </si>
  <si>
    <t>잊어버림</t>
  </si>
  <si>
    <t>跳( )</t>
  </si>
  <si>
    <t>경제가 뛰어오름</t>
  </si>
  <si>
    <t>躍</t>
  </si>
  <si>
    <t>뛸 약</t>
  </si>
  <si>
    <t>跳躍 (도약)</t>
  </si>
  <si>
    <t>干涉 ↔</t>
  </si>
  <si>
    <t>간섭하지 않고 내버려 둠</t>
  </si>
  <si>
    <t>放任</t>
  </si>
  <si>
    <t>놓을 방, 맡길 임</t>
  </si>
  <si>
    <t>放任 (방임)</t>
  </si>
  <si>
    <t>두루 널리 미침</t>
  </si>
  <si>
    <t>配( )</t>
  </si>
  <si>
    <t>천생의 짝</t>
  </si>
  <si>
    <t>배필 (配匹)</t>
  </si>
  <si>
    <t>보냄과 맞이함</t>
  </si>
  <si>
    <t>( )鈍</t>
  </si>
  <si>
    <t>날카로움과 무딤</t>
  </si>
  <si>
    <t>銳</t>
  </si>
  <si>
    <t>날카로울 예</t>
  </si>
  <si>
    <t>銳鈍 (예둔)</t>
  </si>
  <si>
    <t>( )端</t>
  </si>
  <si>
    <t>유행의 맨 앞</t>
  </si>
  <si>
    <t>尖端/尖銳 (첨단/첨예)</t>
  </si>
  <si>
    <t>討( )</t>
  </si>
  <si>
    <t>공비를 침</t>
  </si>
  <si>
    <t>伐</t>
  </si>
  <si>
    <t>칠 벌</t>
  </si>
  <si>
    <t>토벌 (討伐)</t>
  </si>
  <si>
    <t>( )滿</t>
  </si>
  <si>
    <t>썰물과 밀물</t>
  </si>
  <si>
    <t>방패 간(마를 건)</t>
  </si>
  <si>
    <t>간만 (干滿)</t>
  </si>
  <si>
    <t>承落 ↔</t>
  </si>
  <si>
    <t>거절함</t>
  </si>
  <si>
    <t>拒絶</t>
  </si>
  <si>
    <t>막을 거, 끊을 절</t>
  </si>
  <si>
    <t>거절 (拒絶)</t>
  </si>
  <si>
    <t>( )重</t>
  </si>
  <si>
    <t>가벼움과 무거움</t>
  </si>
  <si>
    <t>輕</t>
  </si>
  <si>
    <t>가벼울 경</t>
  </si>
  <si>
    <t>경중 (輕重)</t>
  </si>
  <si>
    <t>勝( )</t>
  </si>
  <si>
    <t>이김과 짐</t>
  </si>
  <si>
    <t>負</t>
  </si>
  <si>
    <t>질 부</t>
  </si>
  <si>
    <t>勝負 (승부)</t>
  </si>
  <si>
    <t>促進 ↔</t>
  </si>
  <si>
    <t>억눌러 제지함</t>
  </si>
  <si>
    <t>抑制</t>
  </si>
  <si>
    <t>누를 억, 절제할 제</t>
  </si>
  <si>
    <t>抑制 (억제)</t>
  </si>
  <si>
    <t>植( )</t>
  </si>
  <si>
    <t>나무를 심음</t>
  </si>
  <si>
    <t>식재 (植栽)</t>
  </si>
  <si>
    <t>研( )</t>
  </si>
  <si>
    <t>기술을 갈고 닦음</t>
  </si>
  <si>
    <t>磨</t>
  </si>
  <si>
    <t>갈 마</t>
  </si>
  <si>
    <t>연마 (研磨)</t>
  </si>
  <si>
    <t>물음에 대답함</t>
  </si>
  <si>
    <t>憂( )</t>
  </si>
  <si>
    <t>집안의 근심, 병</t>
  </si>
  <si>
    <t>患</t>
  </si>
  <si>
    <t>근심 환</t>
  </si>
  <si>
    <t>우환 (憂患)</t>
  </si>
  <si>
    <t>전문가를 부름 (모셔옴)</t>
  </si>
  <si>
    <t>親( )</t>
  </si>
  <si>
    <t>친함과 서먹함</t>
  </si>
  <si>
    <t>疏</t>
  </si>
  <si>
    <t>트일 소</t>
  </si>
  <si>
    <t>친소 (親疏)</t>
  </si>
  <si>
    <t>一般 ↔</t>
  </si>
  <si>
    <t>捕( )</t>
  </si>
  <si>
    <t>기회를 잡음</t>
  </si>
  <si>
    <t>捉</t>
  </si>
  <si>
    <t>잡을 착</t>
  </si>
  <si>
    <t>포착 (捕捉)</t>
  </si>
  <si>
    <t>묽고 엷음</t>
  </si>
  <si>
    <t>드물 희, 엷을 박</t>
  </si>
  <si>
    <t>柔和 ↔</t>
  </si>
  <si>
    <t>강력하고 단단함</t>
  </si>
  <si>
    <t>굳셀 강, 굳을 경</t>
  </si>
  <si>
    <t>가볍고 소홀함</t>
  </si>
  <si>
    <t>가벼울 경, 거느릴 솔</t>
  </si>
  <si>
    <t>도약 (뛰어오름)</t>
  </si>
  <si>
    <t>老鍊 ↔</t>
  </si>
  <si>
    <t>익숙하지 못함</t>
  </si>
  <si>
    <t>未熟</t>
  </si>
  <si>
    <t>아닐 미, 익을 숙</t>
  </si>
  <si>
    <t>未熟 (미숙)</t>
  </si>
  <si>
    <t>凉</t>
  </si>
  <si>
    <t>완급 (느림과 빠름)</t>
  </si>
  <si>
    <t>早( )</t>
  </si>
  <si>
    <t>조만간 (이름과 늦음)</t>
  </si>
  <si>
    <t>晩</t>
  </si>
  <si>
    <t>늦을 만</t>
  </si>
  <si>
    <t>裝( )</t>
  </si>
  <si>
    <t>장식 (꾸밈)</t>
  </si>
  <si>
    <t>飾</t>
  </si>
  <si>
    <t>꾸밀 식</t>
  </si>
  <si>
    <t>裝飾 (장식)</t>
  </si>
  <si>
    <t>가라앉아 고요함</t>
  </si>
  <si>
    <t>누를 진, 고요할 정</t>
  </si>
  <si>
    <t>( )骨</t>
  </si>
  <si>
    <t>가죽과 뼈</t>
  </si>
  <si>
    <t>皮骨 (피골)</t>
  </si>
  <si>
    <t>파악 (내용을 충분히 이해함)</t>
  </si>
  <si>
    <t>陷( )</t>
  </si>
  <si>
    <t>함몰 (물건이 빠져서 가라앉음)</t>
  </si>
  <si>
    <t>沒</t>
  </si>
  <si>
    <t>빠질 몰</t>
  </si>
  <si>
    <t>( )抱</t>
  </si>
  <si>
    <t>회포 (마음속에 품은 생각이나 정)</t>
  </si>
  <si>
    <t>懷</t>
  </si>
  <si>
    <t>품을 회</t>
  </si>
  <si>
    <t>懷抱 (회포)</t>
  </si>
  <si>
    <t>( )背</t>
  </si>
  <si>
    <t>흉배 (가슴과 등)</t>
  </si>
  <si>
    <t>胸</t>
  </si>
  <si>
    <t>가슴 흉</t>
  </si>
  <si>
    <t>胸背 (흉배)</t>
  </si>
  <si>
    <t>물건을 삼</t>
  </si>
  <si>
    <t>鍛( )</t>
  </si>
  <si>
    <t>몸을 튼튼하게 함</t>
  </si>
  <si>
    <t>鍊</t>
  </si>
  <si>
    <t>불릴 련</t>
  </si>
  <si>
    <t>鍛鍊 (단련)</t>
  </si>
  <si>
    <t>누름과 높임</t>
  </si>
  <si>
    <t>( )辱</t>
  </si>
  <si>
    <t>영광과 치욕</t>
  </si>
  <si>
    <t>榮</t>
  </si>
  <si>
    <t>영화 영</t>
  </si>
  <si>
    <t>內包 ↔</t>
  </si>
  <si>
    <t>밖으로 넒힘</t>
  </si>
  <si>
    <t>外延</t>
  </si>
  <si>
    <t>바깥 외, 늘일 연</t>
  </si>
  <si>
    <t>外延 (외연)</t>
  </si>
  <si>
    <t>엉겨서 굳음</t>
  </si>
  <si>
    <t>엉길 응, 굳을 고</t>
  </si>
  <si>
    <t>세계를 앞서감</t>
  </si>
  <si>
    <t>超( )</t>
  </si>
  <si>
    <t>국경을 넘음</t>
  </si>
  <si>
    <t>越</t>
  </si>
  <si>
    <t>넘을 월</t>
  </si>
  <si>
    <t>超越 (초월)</t>
  </si>
  <si>
    <t>建設 ↔</t>
  </si>
  <si>
    <t>무너뜨림</t>
  </si>
  <si>
    <t>破壞</t>
  </si>
  <si>
    <t>깨뜨릴 파, 무너질 괴</t>
  </si>
  <si>
    <t>破壞 (파괴)</t>
  </si>
  <si>
    <t>겉과 속 (다르게 행동함)</t>
  </si>
  <si>
    <t>심각성을 알아챔</t>
  </si>
  <si>
    <t>許可 ↔</t>
  </si>
  <si>
    <t>금지함</t>
  </si>
  <si>
    <t>禁止</t>
  </si>
  <si>
    <t>금할 금, 그칠 지</t>
  </si>
  <si>
    <t>禁止 (금지)</t>
  </si>
  <si>
    <t>形式 ↔</t>
  </si>
  <si>
    <t>실속 있는 안의 내용</t>
  </si>
  <si>
    <t>內容</t>
  </si>
  <si>
    <t>안 내, 얼굴 용</t>
  </si>
  <si>
    <t>내용 (內容)</t>
  </si>
  <si>
    <t>일반적이고 평범함</t>
  </si>
  <si>
    <t>普通</t>
  </si>
  <si>
    <t>넓을 보, 통할 통</t>
  </si>
  <si>
    <t>普通 (보통)</t>
  </si>
  <si>
    <t>貧( )</t>
  </si>
  <si>
    <t>가난함과 넉넉함</t>
  </si>
  <si>
    <t>富</t>
  </si>
  <si>
    <t>부자 부</t>
  </si>
  <si>
    <t>빈부 (貧富)</t>
  </si>
  <si>
    <t>架空 ↔</t>
  </si>
  <si>
    <t>실제로 존재함</t>
  </si>
  <si>
    <t>實在</t>
  </si>
  <si>
    <t>열매 실, 있을 재</t>
  </si>
  <si>
    <t>실재 (實在)</t>
  </si>
  <si>
    <t>結果 ↔</t>
  </si>
  <si>
    <t>직접적인 동기나 근거</t>
  </si>
  <si>
    <t>原因</t>
  </si>
  <si>
    <t>근원 원, 인할 인</t>
  </si>
  <si>
    <t>원인 (原因)</t>
  </si>
  <si>
    <t>陰( )</t>
  </si>
  <si>
    <t>어둠과 밝음 (우주의 원리)</t>
  </si>
  <si>
    <t>陽</t>
  </si>
  <si>
    <t>볕 양</t>
  </si>
  <si>
    <t>음양 (陰陽)</t>
  </si>
  <si>
    <t>거리가 아주 멂</t>
  </si>
  <si>
    <t>( )稚</t>
  </si>
  <si>
    <t>나이가 어리고 유치함</t>
  </si>
  <si>
    <t>幼</t>
  </si>
  <si>
    <t>어릴 유</t>
  </si>
  <si>
    <t>유치 (幼稚)</t>
  </si>
  <si>
    <t>智( )</t>
  </si>
  <si>
    <t>사물의 이치를 빨리 깨닫고 판단하는 능력</t>
  </si>
  <si>
    <t>慧</t>
  </si>
  <si>
    <t>지혜 혜</t>
  </si>
  <si>
    <t>지혜 (智慧)</t>
  </si>
  <si>
    <t>倉( )</t>
  </si>
  <si>
    <t>( )少</t>
  </si>
  <si>
    <t>매우 드물고 적음</t>
  </si>
  <si>
    <t>稀</t>
  </si>
  <si>
    <t>드물 희</t>
  </si>
  <si>
    <t>희소 (稀少)</t>
  </si>
  <si>
    <t>喜( )</t>
  </si>
  <si>
    <t>기쁨과 슬픔</t>
  </si>
  <si>
    <t>喜悲 (희비)</t>
  </si>
  <si>
    <t>枯( )</t>
  </si>
  <si>
    <t>물기가 다 말라 없어짐</t>
  </si>
  <si>
    <t>渴</t>
  </si>
  <si>
    <t>목마를 갈</t>
  </si>
  <si>
    <t>枯渴 (고갈)</t>
  </si>
  <si>
    <t>過( )</t>
  </si>
  <si>
    <t>잘못을 저지름</t>
  </si>
  <si>
    <t>과오 (過誤)</t>
  </si>
  <si>
    <t>이해하기 어려움</t>
  </si>
  <si>
    <t>익숙하고 노련함</t>
  </si>
  <si>
    <t>늙을 로, 불릴 련</t>
  </si>
  <si>
    <t>脈( )</t>
  </si>
  <si>
    <t>사물 현상 사이의 관계</t>
  </si>
  <si>
    <t>맥락 (脈絡)</t>
  </si>
  <si>
    <t>물 위에 뜸과 가라앉음</t>
  </si>
  <si>
    <t>업신여겨 깔봄</t>
  </si>
  <si>
    <t>필요한 것을 구함</t>
  </si>
  <si>
    <t>구할 수, 구할 요</t>
  </si>
  <si>
    <t>옷 따위를 빠는 산업</t>
  </si>
  <si>
    <t>爱好 ↔</t>
  </si>
  <si>
    <t>미워하고 싫어함</t>
  </si>
  <si>
    <t>싫어할 혐, 미워할 오</t>
  </si>
  <si>
    <t>需要 ↔</t>
  </si>
  <si>
    <t>물건을 만들어 내어줌</t>
  </si>
  <si>
    <t>供給</t>
  </si>
  <si>
    <t>이바지할 공, 줄 급</t>
  </si>
  <si>
    <t>공급 (供給)</t>
  </si>
  <si>
    <t>이해하기가 매우 어려움</t>
  </si>
  <si>
    <t>겉은 부드러우나 속은 강함</t>
  </si>
  <si>
    <t>부지런히 일함</t>
  </si>
  <si>
    <t>勉</t>
  </si>
  <si>
    <t>힘쓸 면</t>
  </si>
  <si>
    <t>근면 (勤勉)</t>
  </si>
  <si>
    <t>물 위에 뜸과 물속에 잠김</t>
  </si>
  <si>
    <t>( )縛</t>
  </si>
  <si>
    <t>단단히 묶음</t>
  </si>
  <si>
    <t>속박 (束縛)</t>
  </si>
  <si>
    <t>( )覽</t>
  </si>
  <si>
    <t>책이나 장부 따위를 들추어 봄</t>
  </si>
  <si>
    <t>閱</t>
  </si>
  <si>
    <t>검열할 열</t>
  </si>
  <si>
    <t>열람 (閱覽)</t>
  </si>
  <si>
    <t>( )遞</t>
  </si>
  <si>
    <t>우편물을 보냄</t>
  </si>
  <si>
    <t>郵</t>
  </si>
  <si>
    <t>우편 우</t>
  </si>
  <si>
    <t>우체 (郵遞)</t>
  </si>
  <si>
    <t>( )濁</t>
  </si>
  <si>
    <t>흐리고 깨끗하지 못함</t>
  </si>
  <si>
    <t>混</t>
  </si>
  <si>
    <t>섞을 혼</t>
  </si>
  <si>
    <t>混濁 (혼탁)</t>
  </si>
  <si>
    <t>破壞 ↔</t>
  </si>
  <si>
    <t>허물어뜨림과 세워 지음</t>
  </si>
  <si>
    <t>建設</t>
  </si>
  <si>
    <t>세울 건, 설 립</t>
  </si>
  <si>
    <t>建設 (건설)</t>
  </si>
  <si>
    <t>일의 경과와 결과</t>
  </si>
  <si>
    <t>巧( )</t>
  </si>
  <si>
    <t>정교함과 서투름</t>
  </si>
  <si>
    <t>서툴 졸</t>
  </si>
  <si>
    <t>巧拙 (교졸)</t>
  </si>
  <si>
    <t>잊지 않음과 잊어버림</t>
  </si>
  <si>
    <t>경제가 다시 뛰어오름</t>
  </si>
  <si>
    <t>인정이나 사이가 두터움</t>
  </si>
  <si>
    <t>憐( )</t>
  </si>
  <si>
    <t>가엾게 여겨 불쌍히 봄</t>
  </si>
  <si>
    <t>憫</t>
  </si>
  <si>
    <t>연민 (憐憫)</t>
  </si>
  <si>
    <t>녹음과 엉겨 굳음</t>
  </si>
  <si>
    <t>새롭고 산뜻함과 낡고 고리타분함</t>
  </si>
  <si>
    <t>늘어놓을 진, 썩을 부</t>
  </si>
  <si>
    <t>시대나 유행의 맨 앞</t>
  </si>
  <si>
    <t>공정함과 한쪽으로 치우침</t>
  </si>
  <si>
    <t>毁( )</t>
  </si>
  <si>
    <t>체면이나 명예를 깎아내림</t>
  </si>
  <si>
    <t>차를 끌어당김</t>
  </si>
  <si>
    <t>( )渴</t>
  </si>
  <si>
    <t>자원을 다 말려 버림</t>
  </si>
  <si>
    <t>枯</t>
  </si>
  <si>
    <t>마를 고</t>
  </si>
  <si>
    <t>선진국으로 뛰어오름</t>
  </si>
  <si>
    <t>( )富</t>
  </si>
  <si>
    <t>貧</t>
  </si>
  <si>
    <t>가난할 빈</t>
  </si>
  <si>
    <t>건물이 무너짐</t>
  </si>
  <si>
    <t>( )迎</t>
  </si>
  <si>
    <t>보내고 맞이함</t>
  </si>
  <si>
    <t>送</t>
  </si>
  <si>
    <t>보낼 송</t>
  </si>
  <si>
    <t>深( )</t>
  </si>
  <si>
    <t>깊음과 얕음</t>
  </si>
  <si>
    <t>深淺 (심천)</t>
  </si>
  <si>
    <t>緩( )</t>
  </si>
  <si>
    <t>急</t>
  </si>
  <si>
    <t>급할 급</t>
  </si>
  <si>
    <t>自( )</t>
  </si>
  <si>
    <t>자신과 남</t>
  </si>
  <si>
    <t>他</t>
  </si>
  <si>
    <t>다를 타</t>
  </si>
  <si>
    <t>자타 (自他)</t>
  </si>
  <si>
    <t>( )晩</t>
  </si>
  <si>
    <t>이름과 늦음</t>
  </si>
  <si>
    <t>獲( )</t>
  </si>
  <si>
    <t>메달을 얻음</t>
  </si>
  <si>
    <t>得</t>
  </si>
  <si>
    <t>얻을 득</t>
  </si>
  <si>
    <t>獲得 (획득)</t>
  </si>
  <si>
    <t>( )坤</t>
  </si>
  <si>
    <t>하늘과 땅</t>
  </si>
  <si>
    <t>하늘 건</t>
  </si>
  <si>
    <t>맑을 담</t>
  </si>
  <si>
    <t>새로 만듦 ↔ 본떠서 만듦</t>
  </si>
  <si>
    <t>본뜰 모, 본뜰 방</t>
  </si>
  <si>
    <t>和解 ↔</t>
  </si>
  <si>
    <t>싸움을 멈춤 ↔ 말썽을 일으켜 싸움</t>
  </si>
  <si>
    <t>紛爭</t>
  </si>
  <si>
    <t>어지러울 분, 다툴 쟁</t>
  </si>
  <si>
    <t>분쟁 (紛爭)</t>
  </si>
  <si>
    <t>고상하고 우아함 ↔ 낮고 속됨</t>
  </si>
  <si>
    <t>낮을 비, 속될 속</t>
  </si>
  <si>
    <t>( )略</t>
  </si>
  <si>
    <t>상세함과 간략함</t>
  </si>
  <si>
    <t>詳</t>
  </si>
  <si>
    <t>자세할 상</t>
  </si>
  <si>
    <t>상략 (詳略)</t>
  </si>
  <si>
    <t>영광과 욕됨</t>
  </si>
  <si>
    <t>相逢 ↔</t>
  </si>
  <si>
    <t>서로 만남 ↔ 서로 헤어짐</t>
  </si>
  <si>
    <t>離別</t>
  </si>
  <si>
    <t>떠날 리, 나눌 별</t>
  </si>
  <si>
    <t>이별 (離別)</t>
  </si>
  <si>
    <t>具體 ↔</t>
  </si>
  <si>
    <t>형체를 갖춤 ↔ 추상적임</t>
  </si>
  <si>
    <t>抽象</t>
  </si>
  <si>
    <t>뽑을 추, 코끼리 상</t>
  </si>
  <si>
    <t>추상 (抽象)</t>
  </si>
  <si>
    <t>覺( )</t>
  </si>
  <si>
    <t>잘못이나 도리를 깨달음</t>
  </si>
  <si>
    <t>悟</t>
  </si>
  <si>
    <t>깨달을 오</t>
  </si>
  <si>
    <t>각오 (覺悟)</t>
  </si>
  <si>
    <t>차 따위를 끌어서 당김</t>
  </si>
  <si>
    <t>龜( )</t>
  </si>
  <si>
    <t>거북 등처럼 갈라져 터짐</t>
  </si>
  <si>
    <t>裂</t>
  </si>
  <si>
    <t>찢어질 렬</t>
  </si>
  <si>
    <t>균열 (龜裂)</t>
  </si>
  <si>
    <t>안 내, 강할 강</t>
  </si>
  <si>
    <t>( )易</t>
  </si>
  <si>
    <t>나라 사이에 물건을 사고파는 일</t>
  </si>
  <si>
    <t>貿</t>
  </si>
  <si>
    <t>무역할 무</t>
  </si>
  <si>
    <t>무역 (貿易)</t>
  </si>
  <si>
    <t>富裕 ↔</t>
  </si>
  <si>
    <t>넉넉함과 가난함</t>
  </si>
  <si>
    <t>貧窮</t>
  </si>
  <si>
    <t>가난할 빈, 다할 궁</t>
  </si>
  <si>
    <t>貧窮 (빈궁)</t>
  </si>
  <si>
    <t>성함과 쇠함</t>
  </si>
  <si>
    <t>옷 따위를 빠는 일</t>
  </si>
  <si>
    <t>( )順</t>
  </si>
  <si>
    <t>거꾸로 된 차례</t>
  </si>
  <si>
    <t>逆</t>
  </si>
  <si>
    <t>거스를 역</t>
  </si>
  <si>
    <t>역순 (逆順)</t>
  </si>
  <si>
    <t>넉넉함과 모자람(우수함과 열등함)</t>
  </si>
  <si>
    <t>近海 ↔</t>
  </si>
  <si>
    <t>가까운 바다와 먼 바다</t>
  </si>
  <si>
    <t>遠洋</t>
  </si>
  <si>
    <t>멀 원, 큰 바다 양</t>
  </si>
  <si>
    <t>遠洋 (원양)</t>
  </si>
  <si>
    <t>向上 ↔</t>
  </si>
  <si>
    <t>실력 등이 좋아짐과 낮아짐</t>
  </si>
  <si>
    <t>低下</t>
  </si>
  <si>
    <t>낮을 저, 아래 하</t>
  </si>
  <si>
    <t>저하 (低下)</t>
  </si>
  <si>
    <t>減少 ↔</t>
  </si>
  <si>
    <t>줄어듦과 늘어남</t>
  </si>
  <si>
    <t>增加</t>
  </si>
  <si>
    <t>더할 증, 더할 가</t>
  </si>
  <si>
    <t>증가 (增加)</t>
  </si>
  <si>
    <t>( )打</t>
  </si>
  <si>
    <t>던지는 일과 치는 일</t>
  </si>
  <si>
    <t>投</t>
  </si>
  <si>
    <t>던질 투</t>
  </si>
  <si>
    <t>투타 (投打)</t>
  </si>
  <si>
    <t>重厚 ↔</t>
  </si>
  <si>
    <t>정중하고 중후함 ↔ 경솔하고 천박함</t>
  </si>
  <si>
    <t>輕薄</t>
  </si>
  <si>
    <t>가벼울 경, 엷을 박</t>
  </si>
  <si>
    <t>輕薄 (경박)</t>
  </si>
  <si>
    <t>추상적임 ↔ 구체적임</t>
  </si>
  <si>
    <t>갖출 구, 몸 체</t>
  </si>
  <si>
    <t>端( )</t>
  </si>
  <si>
    <t>사물의 실마리</t>
  </si>
  <si>
    <t>初</t>
  </si>
  <si>
    <t>처음 초</t>
  </si>
  <si>
    <t>단초 (端初)</t>
  </si>
  <si>
    <t>뜨는 것과 가라앉는 것</t>
  </si>
  <si>
    <t>茂( )</t>
  </si>
  <si>
    <t>풀이나 나무가 우거짐</t>
  </si>
  <si>
    <t>茂盛 (무성)</t>
  </si>
  <si>
    <t>굳세고 튼튼함 ↔ 부드럽고 약함</t>
  </si>
  <si>
    <t>물건을 드림</t>
  </si>
  <si>
    <t>줄 증</t>
  </si>
  <si>
    <t>陳( )</t>
  </si>
  <si>
    <t>물건을 죽 벌여 놓음</t>
  </si>
  <si>
    <t>列</t>
  </si>
  <si>
    <t>벌릴 렬</t>
  </si>
  <si>
    <t>진열 (陳列)</t>
  </si>
  <si>
    <t>착각하여 잘못함</t>
  </si>
  <si>
    <t>그를 오</t>
  </si>
  <si>
    <t>눌러 멈추게 함 ↔ 다그쳐 나아가게 함</t>
  </si>
  <si>
    <t>재촉할 촉, 나아가게 할 진</t>
  </si>
  <si>
    <t>騰貴 ↔</t>
  </si>
  <si>
    <t>물가가 오름 ↔ 물가가 떨어짐</t>
  </si>
  <si>
    <t>下落</t>
  </si>
  <si>
    <t>아래 하, 떨어질 락</t>
  </si>
  <si>
    <t>하락 (下落)</t>
  </si>
  <si>
    <t>酷( )</t>
  </si>
  <si>
    <t>아주 심함</t>
  </si>
  <si>
    <t>甚 / 毒</t>
  </si>
  <si>
    <t>심할 심 / 독할 독</t>
  </si>
  <si>
    <t>혹심 / 혹독 (酷甚 / 酷毒)</t>
  </si>
  <si>
    <t>( )應</t>
  </si>
  <si>
    <t>부름에 답함</t>
  </si>
  <si>
    <t>呼</t>
  </si>
  <si>
    <t>呼應 (호응)</t>
  </si>
  <si>
    <t>허물어 뜨림 ↔ 새로 세움</t>
  </si>
  <si>
    <t>세울 건, 베풀 설</t>
  </si>
  <si>
    <t>필요한 양 ↔ 공급하는 양</t>
  </si>
  <si>
    <t>줄 공, 줄 급</t>
  </si>
  <si>
    <t>暗黑 ↔</t>
  </si>
  <si>
    <t>어두움 ↔ 밝음</t>
  </si>
  <si>
    <t>光明</t>
  </si>
  <si>
    <t>빛 광, 밝을 명</t>
  </si>
  <si>
    <t>광명 (光明)</t>
  </si>
  <si>
    <t>頭( )</t>
  </si>
  <si>
    <t>머리와 꼬리</t>
  </si>
  <si>
    <t>두미 (頭尾)</t>
  </si>
  <si>
    <t>朋( )</t>
  </si>
  <si>
    <t>벗 사이의 도리</t>
  </si>
  <si>
    <t>友</t>
  </si>
  <si>
    <t>벗 우</t>
  </si>
  <si>
    <t>朋友 (붕우)</t>
  </si>
  <si>
    <t>拒否 ↔</t>
  </si>
  <si>
    <t>거절함 ↔ 수락함</t>
  </si>
  <si>
    <t>承諾</t>
  </si>
  <si>
    <t>이을 승, 허락할 낙</t>
  </si>
  <si>
    <t>承諾 (승낙)</t>
  </si>
  <si>
    <t>느림과 급함</t>
  </si>
  <si>
    <t>( )壓</t>
  </si>
  <si>
    <t>자유를 억누름</t>
  </si>
  <si>
    <t>억압 (抑壓)</t>
  </si>
  <si>
    <t>閱( )</t>
  </si>
  <si>
    <t>토지 대장을 대조하여 봄</t>
  </si>
  <si>
    <t>覽</t>
  </si>
  <si>
    <t>볼 람</t>
  </si>
  <si>
    <t>( )謬</t>
  </si>
  <si>
    <t>인식의 그릇됨</t>
  </si>
  <si>
    <t>誤謬 (오류)</t>
  </si>
  <si>
    <t>줄어듦 ↔ 늘어남</t>
  </si>
  <si>
    <t>글을 덧붙이거나 깎아서 고침</t>
  </si>
  <si>
    <t>毫( )</t>
  </si>
  <si>
    <t>아주 잔털</t>
  </si>
  <si>
    <t>髮</t>
  </si>
  <si>
    <t>터럭 발</t>
  </si>
  <si>
    <t>毫髮 (호발)</t>
  </si>
  <si>
    <t>( )薄</t>
  </si>
  <si>
    <t>인정이 두터움과 엷음</t>
  </si>
  <si>
    <t>厚薄 (후박)</t>
  </si>
  <si>
    <t>시어머니와 며느리</t>
  </si>
  <si>
    <t>시어머니 고</t>
  </si>
  <si>
    <t>익숙하지 못함 ↔ 익숙하고 능란함</t>
  </si>
  <si>
    <t>借用 ↔</t>
  </si>
  <si>
    <t>빌려 씀 ↔ 빌린 것을 갚음</t>
  </si>
  <si>
    <t>返濟</t>
  </si>
  <si>
    <t>돌이킬 반, 건널 제</t>
  </si>
  <si>
    <t>返濟 (반제)</t>
  </si>
  <si>
    <t>특별하고 다름 ↔ 일반적이고 보편적임</t>
  </si>
  <si>
    <t>번성함과 쇠락함</t>
  </si>
  <si>
    <t>年頭 ↔</t>
  </si>
  <si>
    <t>연초 ↔ 연말</t>
  </si>
  <si>
    <t>歲暮</t>
  </si>
  <si>
    <t>해 세, 저물 모</t>
  </si>
  <si>
    <t>歲暮 (세모)</t>
  </si>
  <si>
    <t>( )走</t>
  </si>
  <si>
    <t>일을 하느라 바쁘게 돌아다님</t>
  </si>
  <si>
    <t>奔走 (분주)</t>
  </si>
  <si>
    <t>( )傷</t>
  </si>
  <si>
    <t>물건이 깨지거나 상함</t>
  </si>
  <si>
    <t>손상 (損傷)</t>
  </si>
  <si>
    <t>영화로움과 욕됨</t>
  </si>
  <si>
    <t>진부하고 오래되어 새롭지 못함</t>
  </si>
  <si>
    <t>보태거나 깎아 고침</t>
  </si>
  <si>
    <t>( )捨</t>
  </si>
  <si>
    <t>取</t>
  </si>
  <si>
    <t>( )聘</t>
  </si>
  <si>
    <t>예의를 갖추어 불러 들임</t>
  </si>
  <si>
    <t>招</t>
  </si>
  <si>
    <t>부를 초</t>
  </si>
  <si>
    <t>棄( )</t>
  </si>
  <si>
    <t>보존 기한이 지난 문서를 버림</t>
  </si>
  <si>
    <t>폐기 (廢棄)</t>
  </si>
  <si>
    <t>졸할 졸</t>
  </si>
  <si>
    <t>官( )</t>
  </si>
  <si>
    <t>관직과 작위</t>
  </si>
  <si>
    <t>爵</t>
  </si>
  <si>
    <t>벼슬 작</t>
  </si>
  <si>
    <t>관작 (官爵)</t>
  </si>
  <si>
    <t>廣( )</t>
  </si>
  <si>
    <t>넓고 멀어서 아득함</t>
  </si>
  <si>
    <t>漠</t>
  </si>
  <si>
    <t>넓을 막</t>
  </si>
  <si>
    <t>광막 (廣漠)</t>
  </si>
  <si>
    <t>窟( )</t>
  </si>
  <si>
    <t>구멍이나 동굴</t>
  </si>
  <si>
    <t>굴혈 (窟穴)</t>
  </si>
  <si>
    <t>飢( )</t>
  </si>
  <si>
    <t>배고픔과 굶주림</t>
  </si>
  <si>
    <t>餓</t>
  </si>
  <si>
    <t>주릴 아</t>
  </si>
  <si>
    <t>기억함 ↔ 잊어버림</t>
  </si>
  <si>
    <t>세력의 성함과 쇠함(뜨고 가라앉음)</t>
  </si>
  <si>
    <t>마름 ↔ 젖어 축축함</t>
  </si>
  <si>
    <t>축축할 습, 불을 윤</t>
  </si>
  <si>
    <t>공평함 ↔ 한쪽으로 치우침</t>
  </si>
  <si>
    <t>치우칠 편, 치우칠 파</t>
  </si>
  <si>
    <t>높게 솟음 ↔ 아래로 빠짐</t>
  </si>
  <si>
    <t>빠질 함, 빠질 몰</t>
  </si>
  <si>
    <t>사랑하고 좋아함 ↔ 미워하고 싫어함</t>
  </si>
  <si>
    <t>싫어할 혐, 악할 악</t>
  </si>
  <si>
    <t>鴻( )</t>
  </si>
  <si>
    <t>큰 기러기와 작은 기러기</t>
  </si>
  <si>
    <t>雁</t>
  </si>
  <si>
    <t>기러기 안</t>
  </si>
  <si>
    <t>홍안 (鴻雁)</t>
  </si>
  <si>
    <t>부드러움 ↔ 강하고 단단함</t>
  </si>
  <si>
    <t>강할 강, 굳을 경</t>
  </si>
  <si>
    <t>( )獎</t>
  </si>
  <si>
    <t>권하여 장려함</t>
  </si>
  <si>
    <t>勸</t>
  </si>
  <si>
    <t>권할 권</t>
  </si>
  <si>
    <t>권장 (勸獎)</t>
  </si>
  <si>
    <t>( ) 篤</t>
  </si>
  <si>
    <t>도터운 우정</t>
  </si>
  <si>
    <t>공급 ↔ 필요로 함</t>
  </si>
  <si>
    <t>쓰일 수, 요긴할 요</t>
  </si>
  <si>
    <t>乘( )</t>
  </si>
  <si>
    <t>타고 내림</t>
  </si>
  <si>
    <t>降</t>
  </si>
  <si>
    <t>내릴 강</t>
  </si>
  <si>
    <t>昇降 (승강)</t>
  </si>
  <si>
    <t>想( )</t>
  </si>
  <si>
    <t>깊은 생각에 잠김</t>
  </si>
  <si>
    <t>念</t>
  </si>
  <si>
    <t>생각 념</t>
  </si>
  <si>
    <t>상념 (想念)</t>
  </si>
  <si>
    <t>용해 ↔ 엉기어 굳음</t>
  </si>
  <si>
    <t>( )僞</t>
  </si>
  <si>
    <t>참과 거짓</t>
  </si>
  <si>
    <t>眞僞 (진위)</t>
  </si>
  <si>
    <t>보편 ↔ 특별하고 다름</t>
  </si>
  <si>
    <t>손에 쥠(업무를 파악함)</t>
  </si>
  <si>
    <t>아주 심한 가뭄</t>
  </si>
  <si>
    <t>禁止 ↔</t>
  </si>
  <si>
    <t>금지 ↔ 허락함</t>
  </si>
  <si>
    <t>許可</t>
  </si>
  <si>
    <t>허락할 허, 옳을 가</t>
  </si>
  <si>
    <t>허가 (許可)</t>
  </si>
  <si>
    <t>축축함</t>
  </si>
  <si>
    <t>필요한 양</t>
  </si>
  <si>
    <t>歸( )</t>
  </si>
  <si>
    <t>고국으로 돌아옴</t>
  </si>
  <si>
    <t>還</t>
  </si>
  <si>
    <t>돌아올 환</t>
  </si>
  <si>
    <t>歸還 (귀환)</t>
  </si>
  <si>
    <t>深夜 ↔</t>
  </si>
  <si>
    <t>깊은 밤</t>
  </si>
  <si>
    <t>白晝</t>
  </si>
  <si>
    <t>흰 백, 낮 주</t>
  </si>
  <si>
    <t>白晝 (백주)</t>
  </si>
  <si>
    <t>세력의 성함과 쇠함</t>
  </si>
  <si>
    <t>添加 ↔</t>
  </si>
  <si>
    <t>더하여 보탬</t>
  </si>
  <si>
    <t>削減</t>
  </si>
  <si>
    <t>깎을 삭, 덜 감</t>
  </si>
  <si>
    <t>열매/맺음</t>
  </si>
  <si>
    <t>( )慢</t>
  </si>
  <si>
    <t>거만하고 방자함</t>
  </si>
  <si>
    <t>傲</t>
  </si>
  <si>
    <t>거만할 오</t>
  </si>
  <si>
    <t>傲慢 (오만)</t>
  </si>
  <si>
    <t>( )飾</t>
  </si>
  <si>
    <t>겉모양을 꾸밈</t>
  </si>
  <si>
    <t>시대의 맨 앞</t>
  </si>
  <si>
    <t>쳐서 없앰</t>
  </si>
  <si>
    <t>契( )</t>
  </si>
  <si>
    <t>임대 계약을 마침</t>
  </si>
  <si>
    <t>約</t>
  </si>
  <si>
    <t>맺을 약</t>
  </si>
  <si>
    <t>계약 (契約)</t>
  </si>
  <si>
    <t>형체가 없음 ↔ 구체적인 형상을 갖춤</t>
  </si>
  <si>
    <t>( )昔</t>
  </si>
  <si>
    <t>今</t>
  </si>
  <si>
    <t>이제 금</t>
  </si>
  <si>
    <t>白晝 ↔</t>
  </si>
  <si>
    <t>대낮 ↔ 깊은 밤</t>
  </si>
  <si>
    <t>深夜</t>
  </si>
  <si>
    <t>깊을 심, 밤 야</t>
  </si>
  <si>
    <t>심야 (深夜)</t>
  </si>
  <si>
    <t>左遷 ↔</t>
  </si>
  <si>
    <t>낮은 관직으로 밀려남 ↔ 좋은 관직으로 옮김</t>
  </si>
  <si>
    <t>榮轉</t>
  </si>
  <si>
    <t>영화 영, 구를 전</t>
  </si>
  <si>
    <t>榮轉 (영전)</t>
  </si>
  <si>
    <t>참고 서적을 살펴 봄</t>
  </si>
  <si>
    <t>굳세고 건실함 ↔ 부드럽고 약함</t>
  </si>
  <si>
    <t>기릴 찬</t>
  </si>
  <si>
    <t>외부 인사를 불러 들임</t>
  </si>
  <si>
    <t>( )索</t>
  </si>
  <si>
    <t>달 표면을 찾아 조사함</t>
  </si>
  <si>
    <t>탐색 (探索)</t>
  </si>
  <si>
    <t>騰貴  ↔</t>
  </si>
  <si>
    <t>물가가 오름 ↔ 물가가 내림</t>
  </si>
  <si>
    <t>( )得</t>
  </si>
  <si>
    <t>본선 진출권을 얻음</t>
  </si>
  <si>
    <t>얻을 획</t>
  </si>
  <si>
    <t>마름과 젖음</t>
  </si>
  <si>
    <t>乾濕 (건습)</t>
  </si>
  <si>
    <t>( )軟</t>
  </si>
  <si>
    <t>단단함과 부드러움</t>
  </si>
  <si>
    <t>硬</t>
  </si>
  <si>
    <t>굳을 경</t>
  </si>
  <si>
    <t>硬軟 (경연)</t>
  </si>
  <si>
    <t>높을 고, 우아할 아</t>
  </si>
  <si>
    <t>교묘함과 서투름</t>
  </si>
  <si>
    <t>빌린 것을 도로 갚음</t>
  </si>
  <si>
    <t>돌려줄 반, 건널 제</t>
  </si>
  <si>
    <t>( )簡</t>
  </si>
  <si>
    <t>번거로움과 간략함</t>
  </si>
  <si>
    <t>煩</t>
  </si>
  <si>
    <t>번거로울 번</t>
  </si>
  <si>
    <t>煩簡 (번간)</t>
  </si>
  <si>
    <t>이리저리 바쁘게 돌아다님</t>
  </si>
  <si>
    <t>느릿하고 완만함</t>
  </si>
  <si>
    <t>느릴 완, 거스를 만</t>
  </si>
  <si>
    <t>( )愁</t>
  </si>
  <si>
    <t>근심스럽고 시름겨운 마음</t>
  </si>
  <si>
    <t>憂</t>
  </si>
  <si>
    <t>근심 우</t>
  </si>
  <si>
    <t>憂愁 (우수)</t>
  </si>
  <si>
    <t>흥분을 가라앉혀 평온해짐</t>
  </si>
  <si>
    <t>깨뜨려 헐어 버림</t>
  </si>
  <si>
    <t>깨뜨릴 파, 헐 훼</t>
  </si>
  <si>
    <t>( )納</t>
  </si>
  <si>
    <t>물건을 바침</t>
  </si>
  <si>
    <t>獻納 (헌납)</t>
  </si>
  <si>
    <t>매우 심함</t>
  </si>
  <si>
    <t>懷( )</t>
  </si>
  <si>
    <t>마음속에 품은 생각</t>
  </si>
  <si>
    <t>抱</t>
  </si>
  <si>
    <t>품을 포</t>
  </si>
  <si>
    <t>고장 차량 등을 끌어당김</t>
  </si>
  <si>
    <t xml:space="preserve">偏頗 ↔  </t>
  </si>
  <si>
    <t>어느 한쪽으로 치우치지 않고 정당함</t>
  </si>
  <si>
    <t>公平</t>
  </si>
  <si>
    <t>공평할 공, 평평할 평</t>
  </si>
  <si>
    <t>公平 (공평)</t>
  </si>
  <si>
    <t>( )溫</t>
  </si>
  <si>
    <t>차가움과 따뜻함</t>
  </si>
  <si>
    <t>冷</t>
  </si>
  <si>
    <t>찰 랭</t>
  </si>
  <si>
    <t>冷溫 (냉온)</t>
  </si>
  <si>
    <t>返( )</t>
  </si>
  <si>
    <t>빌리거나 받은 것을 돌려줌</t>
  </si>
  <si>
    <t>돌려줄 환</t>
  </si>
  <si>
    <t>返還 (반환)</t>
  </si>
  <si>
    <t>稱讚 ↔</t>
  </si>
  <si>
    <t>허물을 들어 나쁘게 말함</t>
  </si>
  <si>
    <t>非難</t>
  </si>
  <si>
    <t>아닐 비, 어려울 난</t>
  </si>
  <si>
    <t>非難 (비난)</t>
  </si>
  <si>
    <t xml:space="preserve">稚拙 ↔  </t>
  </si>
  <si>
    <t>서투르지 않고 세련됨</t>
  </si>
  <si>
    <t>洗練</t>
  </si>
  <si>
    <t>씻을 세, 익힐 련</t>
  </si>
  <si>
    <t>洗練 (세련)</t>
  </si>
  <si>
    <t>( )燒</t>
  </si>
  <si>
    <t>불에 타서 사라짐</t>
  </si>
  <si>
    <t>燃</t>
  </si>
  <si>
    <t>불탈 연</t>
  </si>
  <si>
    <t>燃燒 (연소)</t>
  </si>
  <si>
    <t>濫用 ↔</t>
  </si>
  <si>
    <t>아껴서 씀</t>
  </si>
  <si>
    <t>節約</t>
  </si>
  <si>
    <t>마디 절, 맺을 약</t>
  </si>
  <si>
    <t>節約 (절약)</t>
  </si>
  <si>
    <t>眞( )</t>
  </si>
  <si>
    <t>僞</t>
  </si>
  <si>
    <t>거짓 위</t>
  </si>
  <si>
    <t>懲( )</t>
  </si>
  <si>
    <t>잘못을 징계하고 경계함</t>
  </si>
  <si>
    <t>戒</t>
  </si>
  <si>
    <t>경계할 계</t>
  </si>
  <si>
    <t>懲戒 (징계)</t>
  </si>
  <si>
    <t>淸( )</t>
  </si>
  <si>
    <t>맑음과 흐림</t>
  </si>
  <si>
    <t>濁</t>
  </si>
  <si>
    <t>흐릴 탁</t>
  </si>
  <si>
    <t>淸濁 (청탁)</t>
  </si>
  <si>
    <t>큰 기쁨</t>
  </si>
  <si>
    <t>농도가 낮고 묽음</t>
  </si>
  <si>
    <t>물 등이 말라 없어짐</t>
  </si>
  <si>
    <t>너그럽고 큼</t>
  </si>
  <si>
    <t>寬大</t>
  </si>
  <si>
    <t>너그러울 관, 클 대</t>
  </si>
  <si>
    <t>寬大 (관대)</t>
  </si>
  <si>
    <t>銳利 ↔</t>
  </si>
  <si>
    <t>무디고 흐림</t>
  </si>
  <si>
    <t>鈍濁</t>
  </si>
  <si>
    <t>둔할 둔, 흐릴 탁</t>
  </si>
  <si>
    <t>鈍濁 (둔탁)</t>
  </si>
  <si>
    <t>본을 따름</t>
  </si>
  <si>
    <t>법 모, 본뜰 방</t>
  </si>
  <si>
    <t>傲( )</t>
  </si>
  <si>
    <t>잘난 체하고 뽐냄</t>
  </si>
  <si>
    <t>慢</t>
  </si>
  <si>
    <t>거만할 만</t>
  </si>
  <si>
    <t>저것과 이것</t>
  </si>
  <si>
    <t>( )福</t>
  </si>
  <si>
    <t>재앙과 복</t>
  </si>
  <si>
    <t>禍</t>
  </si>
  <si>
    <t>재앙 화</t>
  </si>
  <si>
    <t>禍福 (화복)</t>
  </si>
  <si>
    <t>노력하여 얻음</t>
  </si>
  <si>
    <t>( )固</t>
  </si>
  <si>
    <t>벽돌로 견고하게 지은 집</t>
  </si>
  <si>
    <t>堅</t>
  </si>
  <si>
    <t>굳을 견</t>
  </si>
  <si>
    <t>堅固 (견고)</t>
  </si>
  <si>
    <t>놓아줌과 잡아 가둠</t>
  </si>
  <si>
    <t>겉은 부드럽고 속은 단단함</t>
  </si>
  <si>
    <t>한밤중의 반대인 대낮</t>
  </si>
  <si>
    <t>숲이 우거지고 번성함</t>
  </si>
  <si>
    <t>師( )</t>
  </si>
  <si>
    <t>스승과 제자</t>
  </si>
  <si>
    <t>弟</t>
  </si>
  <si>
    <t>아우/제자 제</t>
  </si>
  <si>
    <t>師弟 (사제)</t>
  </si>
  <si>
    <t>紅塵 ↔</t>
  </si>
  <si>
    <t>속세와 신선이 사는 세계</t>
  </si>
  <si>
    <t>仙界</t>
  </si>
  <si>
    <t>신선 선, 세계 계</t>
  </si>
  <si>
    <t>仙界 (선계)</t>
  </si>
  <si>
    <t>( )廻</t>
  </si>
  <si>
    <t>전국을 돌아다니며 공연함</t>
  </si>
  <si>
    <t>巡</t>
  </si>
  <si>
    <t>巡廻 (순회)</t>
  </si>
  <si>
    <t>넉넉함과 모자람</t>
  </si>
  <si>
    <t>( )鋪</t>
  </si>
  <si>
    <t>물건을 파는 가게</t>
  </si>
  <si>
    <t>店</t>
  </si>
  <si>
    <t>가게 점</t>
  </si>
  <si>
    <t>店鋪 (점포)</t>
  </si>
  <si>
    <t>처음과 끝</t>
  </si>
  <si>
    <t>初端 (초단)</t>
  </si>
  <si>
    <t>皮( )</t>
  </si>
  <si>
    <t>骨</t>
  </si>
  <si>
    <t>뼈 골</t>
  </si>
  <si>
    <t>惡化 ↔</t>
  </si>
  <si>
    <t>상태가 나빠졌다가 좋아짐</t>
  </si>
  <si>
    <t>好轉</t>
  </si>
  <si>
    <t>좋을 호, 굴릴 전</t>
  </si>
  <si>
    <t>好轉 (호전)</t>
  </si>
  <si>
    <t>胸( )</t>
  </si>
  <si>
    <t>가슴과 등</t>
  </si>
  <si>
    <t>背</t>
  </si>
  <si>
    <t>등 배</t>
  </si>
  <si>
    <t>물건이 가지는 값어치</t>
  </si>
  <si>
    <t>말이나 행동이 가볍고 실없음</t>
  </si>
  <si>
    <t>굽힘과 폄</t>
  </si>
  <si>
    <t>정당하게 주장할 수 있는 힘</t>
  </si>
  <si>
    <t>법적으로 금하여 막음</t>
  </si>
  <si>
    <t>同( )</t>
  </si>
  <si>
    <t>등급이나 정도가 같음</t>
  </si>
  <si>
    <t>等</t>
  </si>
  <si>
    <t>무리 등</t>
  </si>
  <si>
    <t>同等 (동등)</t>
  </si>
  <si>
    <t>폭력을 써서 남의 것을 빼앗음</t>
  </si>
  <si>
    <t>掠奪 (약탈)</t>
  </si>
  <si>
    <t>昇( )</t>
  </si>
  <si>
    <t>오르고 내림</t>
  </si>
  <si>
    <t>崇( )</t>
  </si>
  <si>
    <t>뜻이 높고 깨끗함</t>
  </si>
  <si>
    <t>高</t>
  </si>
  <si>
    <t>높을 고</t>
  </si>
  <si>
    <t>崇高 (숭고)</t>
  </si>
  <si>
    <t>遙( )</t>
  </si>
  <si>
    <t>거리가 멀거나 시간이 오래 남음</t>
  </si>
  <si>
    <t>贈( )</t>
  </si>
  <si>
    <t>물건을 주고 답함</t>
  </si>
  <si>
    <t>答</t>
  </si>
  <si>
    <t>대답할 답</t>
  </si>
  <si>
    <t>贈答 (증답)</t>
  </si>
  <si>
    <t>보태거나 깎아서 고침</t>
  </si>
  <si>
    <t>集合 ↔</t>
  </si>
  <si>
    <t>모였던 사람들이 흩어짐</t>
  </si>
  <si>
    <t>解散</t>
  </si>
  <si>
    <t>풀 해, 흩어질 산</t>
  </si>
  <si>
    <t>解散 (해산)</t>
  </si>
  <si>
    <t>訣( )</t>
  </si>
  <si>
    <t>알고 지내던 사람과 헤어짐</t>
  </si>
  <si>
    <t>別</t>
  </si>
  <si>
    <t>나눌/이별할 별</t>
  </si>
  <si>
    <t>訣別 (결별)</t>
  </si>
  <si>
    <t>柔軟 ↔</t>
  </si>
  <si>
    <t>단단하게 굳음</t>
  </si>
  <si>
    <t>硬直</t>
  </si>
  <si>
    <t>굳을 경, 곧을 직</t>
  </si>
  <si>
    <t>硬直 (경직)</t>
  </si>
  <si>
    <t>( )今</t>
  </si>
  <si>
    <t>예전과 지금</t>
  </si>
  <si>
    <t>古</t>
  </si>
  <si>
    <t>옛 고</t>
  </si>
  <si>
    <t>古今 (고금)</t>
  </si>
  <si>
    <t>極( )</t>
  </si>
  <si>
    <t>정성이나 대접이 더할 나위 없음</t>
  </si>
  <si>
    <t>極盡 (극진)</t>
  </si>
  <si>
    <t>무디고 흐릿함</t>
  </si>
  <si>
    <t>官尊 ↔</t>
  </si>
  <si>
    <t>관리는 높고 백성은 낮음</t>
  </si>
  <si>
    <t>民卑</t>
  </si>
  <si>
    <t>백성 민, 낮을 비</t>
  </si>
  <si>
    <t>民卑 (민비)</t>
  </si>
  <si>
    <t>기운차게 일어남과 약하여짐</t>
  </si>
  <si>
    <t>느림과 빠름 또는 일의 완급</t>
  </si>
  <si>
    <t>公開 ↔</t>
  </si>
  <si>
    <t>덮어 가리거나 숨김</t>
  </si>
  <si>
    <t>隱蔽</t>
  </si>
  <si>
    <t>숨을 은, 가릴 폐</t>
  </si>
  <si>
    <t>隱蔽 (은폐)</t>
  </si>
  <si>
    <t>거리나 시간이 아주 멀고 아득함</t>
  </si>
  <si>
    <t>매우 찬양하며 칭찬함</t>
  </si>
  <si>
    <t>끊을 절, 기릴 찬</t>
  </si>
  <si>
    <t>물체의 끝 또는 시대의 가장 앞선 곳</t>
  </si>
  <si>
    <t>마음속에 품고 있는 생각이나 포부</t>
  </si>
  <si>
    <t>앞장서서 이끌어 당김</t>
  </si>
  <si>
    <t>일의 진행이 매우 급하고 빠름</t>
  </si>
  <si>
    <t>급할 급, 심할 격</t>
  </si>
  <si>
    <t>남자 종과 여자 종</t>
  </si>
  <si>
    <t>陷沒 ↔</t>
  </si>
  <si>
    <t>땅이 높이 솟아오름</t>
  </si>
  <si>
    <t>隆起</t>
  </si>
  <si>
    <t>높을 륭, 일어날 기</t>
  </si>
  <si>
    <t>隆起 (융기)</t>
  </si>
  <si>
    <t>참견하지 않고 내버려 둠</t>
  </si>
  <si>
    <t>한 해가 저물어 가는 때</t>
  </si>
  <si>
    <t>覆( )</t>
  </si>
  <si>
    <t>고가도로로 덮여 있음</t>
  </si>
  <si>
    <t>覆蓋 (복개)</t>
  </si>
  <si>
    <t>散( )</t>
  </si>
  <si>
    <t>주의가 집중되지 못하고 흩어짐</t>
  </si>
  <si>
    <t>漫</t>
  </si>
  <si>
    <t>흩어질 만</t>
  </si>
  <si>
    <t>散漫 (산만)</t>
  </si>
  <si>
    <t>늘이고 줄임</t>
  </si>
  <si>
    <t>더하고 깎음</t>
  </si>
  <si>
    <t>脅( )</t>
  </si>
  <si>
    <t>위력으로 남을 위협함</t>
  </si>
  <si>
    <t>迫</t>
  </si>
  <si>
    <t>핍박할 박</t>
  </si>
  <si>
    <t>脅迫 (협박)</t>
  </si>
  <si>
    <t>確( )</t>
  </si>
  <si>
    <t>신념이나 의지가 확실하고 굳음</t>
  </si>
  <si>
    <t>固</t>
  </si>
  <si>
    <t>굳을 고</t>
  </si>
  <si>
    <t>確固 (확고)</t>
  </si>
  <si>
    <t>合意 ↔</t>
  </si>
  <si>
    <t>의견이 일치하지 않고 깨짐</t>
  </si>
  <si>
    <t>決裂</t>
  </si>
  <si>
    <t>결단할 결, 찢을 렬</t>
  </si>
  <si>
    <t>決裂 (결렬)</t>
  </si>
  <si>
    <t>세로로 난 줄과 가로로 난 줄</t>
  </si>
  <si>
    <t>포위망을 교묘히 빠져나가다</t>
  </si>
  <si>
    <t>妙</t>
  </si>
  <si>
    <t>묘할 묘</t>
  </si>
  <si>
    <t>巧妙 (교묘)</t>
  </si>
  <si>
    <t>전쟁터에서 무사히 돌아오다</t>
  </si>
  <si>
    <t>冒頭 ↔</t>
  </si>
  <si>
    <t>말의 끝부분</t>
  </si>
  <si>
    <t>末尾</t>
  </si>
  <si>
    <t>끝 말, 꼬리 미</t>
  </si>
  <si>
    <t>末尾 (말미)</t>
  </si>
  <si>
    <t>歡喜 ↔</t>
  </si>
  <si>
    <t>슬픔과 서러움</t>
  </si>
  <si>
    <t>悲哀</t>
  </si>
  <si>
    <t>슬플 비, 슬플 애</t>
  </si>
  <si>
    <t>悲哀 (비애)</t>
  </si>
  <si>
    <t>( )害</t>
  </si>
  <si>
    <t>소음이 공부하는 데 방해가 되다</t>
  </si>
  <si>
    <t>妨</t>
  </si>
  <si>
    <t>방해할 방</t>
  </si>
  <si>
    <t>妨害 (방해)</t>
  </si>
  <si>
    <t>( )憎</t>
  </si>
  <si>
    <t>愛</t>
  </si>
  <si>
    <t>사랑 애</t>
  </si>
  <si>
    <t>愛憎 (애증)</t>
  </si>
  <si>
    <t>開始 ↔</t>
  </si>
  <si>
    <t>일이나 현상이 끝남</t>
  </si>
  <si>
    <t>終了</t>
  </si>
  <si>
    <t>마칠 종, 마칠 료</t>
  </si>
  <si>
    <t>終了 (종료)</t>
  </si>
  <si>
    <t>( )祀</t>
  </si>
  <si>
    <t>할아버지 제사가 오늘 밤이다</t>
  </si>
  <si>
    <t>기능사 자격을 획득하다</t>
  </si>
  <si>
    <t>말이나 행동이 가볍고 조심성이 없음</t>
  </si>
  <si>
    <t>偏頗 ↔</t>
  </si>
  <si>
    <t>어느 한쪽으로 치우치지 않고 공평함</t>
  </si>
  <si>
    <t>困( )</t>
  </si>
  <si>
    <t>형편이 몹시 어렵고 궁함</t>
  </si>
  <si>
    <t>궁할 궁</t>
  </si>
  <si>
    <t>困窮 (곤궁)</t>
  </si>
  <si>
    <t>吉( )</t>
  </si>
  <si>
    <t>길함과 흉함</t>
  </si>
  <si>
    <t>吉凶 (길흉)</t>
  </si>
  <si>
    <t>마음이나 상황이 흔들림</t>
  </si>
  <si>
    <t>動搖 (동요)</t>
  </si>
  <si>
    <t>( )放</t>
  </si>
  <si>
    <t>구속되었던 사람을 풀어 줌</t>
  </si>
  <si>
    <t>釋放 (석방)</t>
  </si>
  <si>
    <t>육지에서 멀리 떨어진 넓은 바다</t>
  </si>
  <si>
    <t>姉( )</t>
  </si>
  <si>
    <t>언니와 여동생</t>
  </si>
  <si>
    <t>妹</t>
  </si>
  <si>
    <t>누이 매</t>
  </si>
  <si>
    <t>姉妹 (자매)</t>
  </si>
  <si>
    <t>偵( )</t>
  </si>
  <si>
    <t>몰래 살펴서 찾아냄</t>
  </si>
  <si>
    <t>偵探 (정탐)</t>
  </si>
  <si>
    <t>범위를 훨씬 넘어섬</t>
  </si>
  <si>
    <t>떠다닐 표, 흐를 류</t>
  </si>
  <si>
    <t>可( )</t>
  </si>
  <si>
    <t>否</t>
  </si>
  <si>
    <t>아닐 부</t>
  </si>
  <si>
    <t>可否 (가부)</t>
  </si>
  <si>
    <t>태도가 완고하고 강함</t>
  </si>
  <si>
    <t>强硬</t>
  </si>
  <si>
    <t>구속된 사람을 풀어줌</t>
  </si>
  <si>
    <t>( )凶</t>
  </si>
  <si>
    <t>吉</t>
  </si>
  <si>
    <t>길할 길</t>
  </si>
  <si>
    <t>( )附</t>
  </si>
  <si>
    <t>돈이나 물건을 대가 없이 내놓음</t>
  </si>
  <si>
    <t>寄</t>
  </si>
  <si>
    <t>부칠 기</t>
  </si>
  <si>
    <t>寄附 (기부)</t>
  </si>
  <si>
    <t>밝고 명랑함</t>
  </si>
  <si>
    <t>밝을 명, 밝을 랑</t>
  </si>
  <si>
    <t>불쌍히 여겨 가엽게 여김</t>
  </si>
  <si>
    <t>憐憫 (연민)</t>
  </si>
  <si>
    <t>억눌러서 멈추게 함</t>
  </si>
  <si>
    <t>누를 억, 제어할 제</t>
  </si>
  <si>
    <t>여러 곳을 차례로 돌아다님</t>
  </si>
  <si>
    <t>거만하고 태만함</t>
  </si>
  <si>
    <t>액체가 엉겨서 굳어짐</t>
  </si>
  <si>
    <t>덧붙이거나 깎아서 고침</t>
  </si>
  <si>
    <t>경도와 위도</t>
  </si>
  <si>
    <t>경사와 조사</t>
  </si>
  <si>
    <t>忘却 ↔</t>
  </si>
  <si>
    <t>사물을 잊지 않고 기억함</t>
  </si>
  <si>
    <t>記憶</t>
  </si>
  <si>
    <t>기록할 기, 생각할 억</t>
  </si>
  <si>
    <t>記憶 (기억)</t>
  </si>
  <si>
    <t>救( )</t>
  </si>
  <si>
    <t>빈민 구제 기관</t>
  </si>
  <si>
    <t>濟</t>
  </si>
  <si>
    <t>건널 제</t>
  </si>
  <si>
    <t>救濟 (구제)</t>
  </si>
  <si>
    <t>남의 것을 그대로 본뜸</t>
  </si>
  <si>
    <t>뜨고 가라앉음</t>
  </si>
  <si>
    <t>필요한 물건을 사려고 함</t>
  </si>
  <si>
    <t>기다릴 수, 요긴할 요</t>
  </si>
  <si>
    <t>( )繼</t>
  </si>
  <si>
    <t>권력 승계</t>
  </si>
  <si>
    <t>承</t>
  </si>
  <si>
    <t>이을 승</t>
  </si>
  <si>
    <t>承繼 (승계)</t>
  </si>
  <si>
    <t>개념이 적용되는 범위</t>
  </si>
  <si>
    <t>( )態</t>
  </si>
  <si>
    <t>고운 자태</t>
  </si>
  <si>
    <t>姿</t>
  </si>
  <si>
    <t>모양 자</t>
  </si>
  <si>
    <t>姿態 (자태)</t>
  </si>
  <si>
    <t>加入 ↔</t>
  </si>
  <si>
    <t>단체에서 물러나거나 빠짐</t>
  </si>
  <si>
    <t>脫退</t>
  </si>
  <si>
    <t>벗을 탈, 물러날 퇴</t>
  </si>
  <si>
    <t>脫退 (탈퇴)</t>
  </si>
  <si>
    <t>打( )</t>
  </si>
  <si>
    <t>결정적인 타격</t>
  </si>
  <si>
    <t>打擊 (타격)</t>
  </si>
  <si>
    <t>나의 투쟁</t>
  </si>
  <si>
    <t>鬪</t>
  </si>
  <si>
    <t>싸울 투</t>
  </si>
  <si>
    <t>鬪爭 (투쟁)</t>
  </si>
  <si>
    <t>寒( )</t>
  </si>
  <si>
    <t>추위와 더위</t>
  </si>
  <si>
    <t>暑</t>
  </si>
  <si>
    <t>더울 서</t>
  </si>
  <si>
    <t>寒暑 (한서)</t>
  </si>
  <si>
    <t>放任 ↔</t>
  </si>
  <si>
    <t>어떤 일에 끼어들어 참견함</t>
  </si>
  <si>
    <t>干涉</t>
  </si>
  <si>
    <t>방패 간, 건널 섭</t>
  </si>
  <si>
    <t>干涉 (간섭)</t>
  </si>
  <si>
    <t>( )躍</t>
  </si>
  <si>
    <t>跳</t>
  </si>
  <si>
    <t>뛸 도</t>
  </si>
  <si>
    <t>모든 것에 두루 통함</t>
  </si>
  <si>
    <t>널리 보, 두루 편</t>
  </si>
  <si>
    <t>일의 진행이 느릿하고 완만함</t>
  </si>
  <si>
    <t>느릴 완, 거를 만</t>
  </si>
  <si>
    <t>컴퓨터 등의 잘못이나 오류</t>
  </si>
  <si>
    <t>사건의 진상을 파악함</t>
  </si>
  <si>
    <t>混( )</t>
  </si>
  <si>
    <t>강물 등이 흐려짐</t>
  </si>
  <si>
    <t>상태가 매우 묽음</t>
  </si>
  <si>
    <t>하늘에서 땅으로 내려옴</t>
  </si>
  <si>
    <t>( )蔽</t>
  </si>
  <si>
    <t>덮어 가림</t>
  </si>
  <si>
    <t>蓋蔽 (개폐)</t>
  </si>
  <si>
    <t>格( )</t>
  </si>
  <si>
    <t>격식과 법식</t>
  </si>
  <si>
    <t>格式 (격식)</t>
  </si>
  <si>
    <t>( )備</t>
  </si>
  <si>
    <t>있어야 할 것을 다 갖춤</t>
  </si>
  <si>
    <t>具</t>
  </si>
  <si>
    <t>갖출 구</t>
  </si>
  <si>
    <t>具備 (구비)</t>
  </si>
  <si>
    <t>액체의 농도가 짙음</t>
  </si>
  <si>
    <t>拘束 ↔</t>
  </si>
  <si>
    <t>자유롭게 풀어 줌</t>
  </si>
  <si>
    <t>放免</t>
  </si>
  <si>
    <t>놓을 방, 면할 면</t>
  </si>
  <si>
    <t>放免 (방면)</t>
  </si>
  <si>
    <t>모든 것에 두루 해당됨</t>
  </si>
  <si>
    <t>남편과 아내 / 시어머니와 며느리</t>
  </si>
  <si>
    <t>夫 / 姑</t>
  </si>
  <si>
    <t>지아비 부 / 시어머니 고</t>
  </si>
  <si>
    <t>夫婦 (부부) / 姑婦 (고부)</t>
  </si>
  <si>
    <t>이익과 손해</t>
  </si>
  <si>
    <t>좋은 관직으로 옮김</t>
  </si>
  <si>
    <t>嚴( )</t>
  </si>
  <si>
    <t>위엄 있고 정숙함</t>
  </si>
  <si>
    <t>嚴肅 (엄숙)</t>
  </si>
  <si>
    <t>개념이 적용되는 사물의 범위</t>
  </si>
  <si>
    <t>바깥 외, 끌 연</t>
  </si>
  <si>
    <t>間( )</t>
  </si>
  <si>
    <t>대화로 간격을 좁힘</t>
  </si>
  <si>
    <t>隔</t>
  </si>
  <si>
    <t>사이 뜰 격</t>
  </si>
  <si>
    <t>間隔 (간격)</t>
  </si>
  <si>
    <t>강함과 부드러움</t>
  </si>
  <si>
    <t>( )鐵</t>
  </si>
  <si>
    <t>강철로 만든 다리</t>
  </si>
  <si>
    <t>鋼</t>
  </si>
  <si>
    <t>강철 강</t>
  </si>
  <si>
    <t>鋼鐵 (강철)</t>
  </si>
  <si>
    <t>깨뜨려 부숨과 새로 세움</t>
  </si>
  <si>
    <t>석유자원의 고갈</t>
  </si>
  <si>
    <t>供( )</t>
  </si>
  <si>
    <t>공급과 수요</t>
  </si>
  <si>
    <t>需</t>
  </si>
  <si>
    <t>구할 수</t>
  </si>
  <si>
    <t>供需 (공수)</t>
  </si>
  <si>
    <t>( )拙</t>
  </si>
  <si>
    <t>기교와 서투름</t>
  </si>
  <si>
    <t>巧</t>
  </si>
  <si>
    <t>공교할 교</t>
  </si>
  <si>
    <t>배불리 먹음과 굶주림</t>
  </si>
  <si>
    <t>주릴 기, 주릴 아</t>
  </si>
  <si>
    <t>다시 한번 도약함</t>
  </si>
  <si>
    <t>흥분을 가라앉히고 진정함</t>
  </si>
  <si>
    <t>진정시킬 진, 고요할 정</t>
  </si>
  <si>
    <t>종파를 초월함</t>
  </si>
  <si>
    <t>진실과 거짓</t>
  </si>
  <si>
    <t>縮小 ↔</t>
  </si>
  <si>
    <t>줄어듦과 넓혀 커짐</t>
  </si>
  <si>
    <t>擴大</t>
  </si>
  <si>
    <t>넓힐 확, 클 대</t>
  </si>
  <si>
    <t>擴大 (확대)</t>
  </si>
  <si>
    <t>( )視</t>
  </si>
  <si>
    <t>감시가 소홀한 틈을 타서 빠져나갔다.</t>
  </si>
  <si>
    <t>監視 (감시)</t>
  </si>
  <si>
    <t>距( )</t>
  </si>
  <si>
    <t>가까운 거리를 재다.</t>
  </si>
  <si>
    <t>離</t>
  </si>
  <si>
    <t>떠날 리</t>
  </si>
  <si>
    <t>距離 (거리)</t>
  </si>
  <si>
    <t>解放↔</t>
  </si>
  <si>
    <t>자유를 구속함</t>
  </si>
  <si>
    <t>( )勳</t>
  </si>
  <si>
    <t>나라에 공훈을 세워 상을 탔다.</t>
  </si>
  <si>
    <t>功</t>
  </si>
  <si>
    <t>공 공</t>
  </si>
  <si>
    <t>功勳 (공훈)</t>
  </si>
  <si>
    <t xml:space="preserve"> 統合 ↔ </t>
  </si>
  <si>
    <t>사물을 나누어 분석함</t>
  </si>
  <si>
    <t>나눌 분, 쪼갤 석</t>
  </si>
  <si>
    <t>그 일이 이뤄지지 못하게 방해를 했다.</t>
  </si>
  <si>
    <t>( )助</t>
  </si>
  <si>
    <t>결혼식에 가서 부조를 하다.</t>
  </si>
  <si>
    <t>扶</t>
  </si>
  <si>
    <t>도울 부</t>
  </si>
  <si>
    <t>扶助 (부조)</t>
  </si>
  <si>
    <t>片道 ↔</t>
  </si>
  <si>
    <t>가고 오는 왕복</t>
  </si>
  <si>
    <t>往復</t>
  </si>
  <si>
    <t>갈 왕, 돌아올 복</t>
  </si>
  <si>
    <t>往復 (왕복)</t>
  </si>
  <si>
    <t>內包↔</t>
  </si>
  <si>
    <t>논리학의 내포와 외연</t>
  </si>
  <si>
    <t>田( )</t>
  </si>
  <si>
    <t>논과 밭</t>
  </si>
  <si>
    <t>田畓 (전답)</t>
  </si>
  <si>
    <t>( )從</t>
  </si>
  <si>
    <t>주종 관계</t>
  </si>
  <si>
    <t>主</t>
  </si>
  <si>
    <t>주인 주</t>
  </si>
  <si>
    <t>主從 (주종)</t>
  </si>
  <si>
    <t>興奮↔</t>
  </si>
  <si>
    <t>( )配</t>
  </si>
  <si>
    <t>우편물 집배</t>
  </si>
  <si>
    <t>集</t>
  </si>
  <si>
    <t>모을 집</t>
  </si>
  <si>
    <t>集配 (집배)</t>
  </si>
  <si>
    <t>글을 고치고 다듬음</t>
  </si>
  <si>
    <t>空( )</t>
  </si>
  <si>
    <t>아무것도 없이 빎</t>
  </si>
  <si>
    <t>虛</t>
  </si>
  <si>
    <t>빌 허</t>
  </si>
  <si>
    <t>空虛 (공허)</t>
  </si>
  <si>
    <t>( )借</t>
  </si>
  <si>
    <t>빌려줌과 빌림</t>
  </si>
  <si>
    <t>貸</t>
  </si>
  <si>
    <t>빌릴 대</t>
  </si>
  <si>
    <t>貸借 (대차)</t>
  </si>
  <si>
    <t>敦( )</t>
  </si>
  <si>
    <t>정이 두터움</t>
  </si>
  <si>
    <t>篤</t>
  </si>
  <si>
    <t>도터울 독</t>
  </si>
  <si>
    <t>( )尾</t>
  </si>
  <si>
    <t>首</t>
  </si>
  <si>
    <t>머리 수</t>
  </si>
  <si>
    <t>首尾 (수미)</t>
  </si>
  <si>
    <t>詐( )</t>
  </si>
  <si>
    <t>남을 속임</t>
  </si>
  <si>
    <t>欺</t>
  </si>
  <si>
    <t>속일 기</t>
  </si>
  <si>
    <t>詐欺 (사기)</t>
  </si>
  <si>
    <t>오름과 내림</t>
  </si>
  <si>
    <t>배</t>
  </si>
  <si>
    <t>( )淺</t>
  </si>
  <si>
    <t>深</t>
  </si>
  <si>
    <t>깊을 심</t>
  </si>
  <si>
    <t>억눌러 제압함</t>
  </si>
  <si>
    <t>抑壓 (억압)</t>
  </si>
  <si>
    <t>가로와 세로 / 사물의 도리</t>
  </si>
  <si>
    <t>잊지 않고 생각함과 잊어버림</t>
  </si>
  <si>
    <t>祥瑞 ↔</t>
  </si>
  <si>
    <t>길조와 불길한 일</t>
  </si>
  <si>
    <t>不吉</t>
  </si>
  <si>
    <t>아니 불, 길할 길</t>
  </si>
  <si>
    <t>不吉 (불길)</t>
  </si>
  <si>
    <t>( )惑</t>
  </si>
  <si>
    <t>무엇에 홀려 정신을 못 차림</t>
  </si>
  <si>
    <t>迷</t>
  </si>
  <si>
    <t>미혹할 미</t>
  </si>
  <si>
    <t>迷惑 (미혹)</t>
  </si>
  <si>
    <t>( )墓</t>
  </si>
  <si>
    <t>죽은 사람의 무덤</t>
  </si>
  <si>
    <t>墳</t>
  </si>
  <si>
    <t>무덤 분</t>
  </si>
  <si>
    <t>墳墓 (분묘)</t>
  </si>
  <si>
    <t>무너져서 깨어짐</t>
  </si>
  <si>
    <t>美談 ↔</t>
  </si>
  <si>
    <t>아름다운 이야기와 더러운 소문</t>
  </si>
  <si>
    <t>醜聞</t>
  </si>
  <si>
    <t>더러울 추, 들을 문</t>
  </si>
  <si>
    <t>醜聞 (추문)</t>
  </si>
  <si>
    <t>예의를 갖추어 부름</t>
  </si>
  <si>
    <t>부를 빙</t>
  </si>
  <si>
    <t>勤勉 ↔</t>
  </si>
  <si>
    <t>怠慢</t>
  </si>
  <si>
    <t>게으를 태, 게으를 만</t>
  </si>
  <si>
    <t>怠慢 (태만)</t>
  </si>
  <si>
    <t>태도가 무겁고 두터움</t>
  </si>
  <si>
    <t>吉凶</t>
  </si>
  <si>
    <t>운이 좋음과 나쁨</t>
  </si>
  <si>
    <t>慶弔</t>
  </si>
  <si>
    <t>경사 경, 조상할 조</t>
  </si>
  <si>
    <t>경조 (慶弔)</t>
  </si>
  <si>
    <t>貢獻</t>
  </si>
  <si>
    <t>힘을 써서 이바지함</t>
  </si>
  <si>
    <t>寄與</t>
  </si>
  <si>
    <t>부칠 기, 줄 여</t>
  </si>
  <si>
    <t>기여 (寄與)</t>
  </si>
  <si>
    <t>파냄</t>
  </si>
  <si>
    <t>묻을 매, 잠길 몰</t>
  </si>
  <si>
    <t>마음이 답답하고 침울함</t>
  </si>
  <si>
    <t>目讀</t>
  </si>
  <si>
    <t>눈으로 읽음</t>
  </si>
  <si>
    <t>默讀</t>
  </si>
  <si>
    <t>잠잠할 묵, 읽을 독</t>
  </si>
  <si>
    <t>묵독 (默讀)</t>
  </si>
  <si>
    <t>敷衍 ↔</t>
  </si>
  <si>
    <t>설명을 덧붙여 자세히 풀이함</t>
  </si>
  <si>
    <t>省略</t>
  </si>
  <si>
    <t>덜 성, 다스릴 략</t>
  </si>
  <si>
    <t>생략 (省略)</t>
  </si>
  <si>
    <t>融通性</t>
  </si>
  <si>
    <t>그때그때 맞추어 처리하는 성질</t>
  </si>
  <si>
    <t>伸縮性</t>
  </si>
  <si>
    <t>펼 신, 줄어들 축, 성품 성</t>
  </si>
  <si>
    <t>신축성 (伸縮性)</t>
  </si>
  <si>
    <t>揭示板</t>
  </si>
  <si>
    <t>알리는 글을 붙이는 판</t>
  </si>
  <si>
    <t>案內板</t>
  </si>
  <si>
    <t>책상 안, 안 내, 판판할 판</t>
  </si>
  <si>
    <t>안내판 (案內板)</t>
  </si>
  <si>
    <t>속에 포함함</t>
  </si>
  <si>
    <t>굳세고 건강함</t>
  </si>
  <si>
    <t>녹아서 풀림</t>
  </si>
  <si>
    <t>진정할 진, 고요할 정</t>
  </si>
  <si>
    <t>均等 ↔</t>
  </si>
  <si>
    <t>고르고 똑같음</t>
  </si>
  <si>
    <t>差等</t>
  </si>
  <si>
    <t>어긋날 차, 무리 등</t>
  </si>
  <si>
    <t>차등 (差等)</t>
  </si>
  <si>
    <t>맛이나 빛깔이 짙음</t>
  </si>
  <si>
    <t>습기가 많고 젖어 있음</t>
  </si>
  <si>
    <t>조심스럽고 정중함</t>
  </si>
  <si>
    <t>천하고 속됨</t>
  </si>
  <si>
    <t>故意 ↔</t>
  </si>
  <si>
    <t>일부러 하는 마음</t>
  </si>
  <si>
    <t>過失</t>
  </si>
  <si>
    <t>지날 과, 잃을 실</t>
  </si>
  <si>
    <t>과실 (過失)</t>
  </si>
  <si>
    <t>( )買</t>
  </si>
  <si>
    <t>물건을 사들임</t>
  </si>
  <si>
    <t>購</t>
  </si>
  <si>
    <t>살 구</t>
  </si>
  <si>
    <t>액체의 농도가 진함</t>
  </si>
  <si>
    <t>미개하고 거칠음</t>
  </si>
  <si>
    <t>글월 문, 밝을 명</t>
  </si>
  <si>
    <t>좋은 점을 기리고 칭송함</t>
  </si>
  <si>
    <t>( )託</t>
  </si>
  <si>
    <t>일을 남에게 맡김</t>
  </si>
  <si>
    <t>委</t>
  </si>
  <si>
    <t>맡길 위</t>
  </si>
  <si>
    <t>위탁 (委託)</t>
  </si>
  <si>
    <t>締( )</t>
  </si>
  <si>
    <t>조약을 맺음</t>
  </si>
  <si>
    <t>結</t>
  </si>
  <si>
    <t>맺을 결</t>
  </si>
  <si>
    <t>체결 (締結)</t>
  </si>
  <si>
    <t>洗練 ↔</t>
  </si>
  <si>
    <t>유치하고 졸렬함</t>
  </si>
  <si>
    <t>稚拙</t>
  </si>
  <si>
    <t>어릴 치, 옹졸할 졸</t>
  </si>
  <si>
    <t>치졸 (稚拙)</t>
  </si>
  <si>
    <t>단체나 조직에 들어감</t>
  </si>
  <si>
    <t>모든 것에 두루 해당함</t>
  </si>
  <si>
    <t>건물이나 시설 등을 만듦</t>
  </si>
  <si>
    <t>깨뜨릴 파, 무너뜨릴 괴</t>
  </si>
  <si>
    <t>헐거나 깨뜨려 손해를 입힘</t>
  </si>
  <si>
    <t>땅과 하늘</t>
  </si>
  <si>
    <t>운이 좋고 나쁨</t>
  </si>
  <si>
    <t>( )單</t>
  </si>
  <si>
    <t>단수와 복수</t>
  </si>
  <si>
    <t>複</t>
  </si>
  <si>
    <t>겹칠 복</t>
  </si>
  <si>
    <t>단복 (單複)</t>
  </si>
  <si>
    <t>아름답고 추함</t>
  </si>
  <si>
    <t>성하고 쇠함</t>
  </si>
  <si>
    <t>가게</t>
  </si>
  <si>
    <t>늘리거나 줄임</t>
  </si>
  <si>
    <t>增</t>
  </si>
  <si>
    <t>더할 증</t>
  </si>
  <si>
    <t>( )沒</t>
  </si>
  <si>
    <t>물속에 가라앉음</t>
  </si>
  <si>
    <t>침몰 (沈沒)</t>
  </si>
  <si>
    <t>怠( )</t>
  </si>
  <si>
    <t>게으르고 느림</t>
  </si>
  <si>
    <t>게으를 만</t>
  </si>
  <si>
    <t>태만 (怠慢)</t>
  </si>
  <si>
    <t>뒤섞여 어지러움</t>
  </si>
  <si>
    <t>혼란 (混亂)</t>
  </si>
  <si>
    <t>굳고 단단함</t>
  </si>
  <si>
    <t>確</t>
  </si>
  <si>
    <t>굳을 확</t>
  </si>
  <si>
    <t>가로와 세로 (일의 내막)</t>
  </si>
  <si>
    <t>말과 행동을 삼감</t>
  </si>
  <si>
    <t>거문고와 비파 (부부의 화합)</t>
  </si>
  <si>
    <t>새로 만듦과 남을 본뜸</t>
  </si>
  <si>
    <t>巨視 ↔</t>
  </si>
  <si>
    <t>크게 봄과 작게 봄</t>
  </si>
  <si>
    <t>微視</t>
  </si>
  <si>
    <t>작을 미, 볼 시</t>
  </si>
  <si>
    <t>미시 (微視)</t>
  </si>
  <si>
    <t>( )給</t>
  </si>
  <si>
    <t>필요와 공급</t>
  </si>
  <si>
    <t>기운이나 줄거리가 어수선함</t>
  </si>
  <si>
    <t>억누름과 높임 (말의 가락)</t>
  </si>
  <si>
    <t>녹는 것과 엉겨 굳는 것</t>
  </si>
  <si>
    <t>傑作 ↔</t>
  </si>
  <si>
    <t>훌륭한 작품과 서투른 작품</t>
  </si>
  <si>
    <t>拙作</t>
  </si>
  <si>
    <t>옹졸할 졸, 지을 작</t>
  </si>
  <si>
    <t>졸작 (拙作)</t>
  </si>
  <si>
    <t>( )酷</t>
  </si>
  <si>
    <t>몹시 무서우며 독하고 모짐</t>
  </si>
  <si>
    <t>참혹 (慘酷)</t>
  </si>
  <si>
    <t>공평함과 한쪽으로 치우침</t>
  </si>
  <si>
    <t>주의하여 자세히 살펴봄</t>
  </si>
  <si>
    <t>감시 (監視)</t>
  </si>
  <si>
    <t>( )防</t>
  </si>
  <si>
    <t>공격과 방어</t>
  </si>
  <si>
    <t>攻</t>
  </si>
  <si>
    <t>칠 공</t>
  </si>
  <si>
    <t>물건을 내줌과 필요로 함</t>
  </si>
  <si>
    <t>( )陵</t>
  </si>
  <si>
    <t>언덕과 큰 무덤</t>
  </si>
  <si>
    <t>丘</t>
  </si>
  <si>
    <t>언덕 구</t>
  </si>
  <si>
    <t>구릉 (丘陵)</t>
  </si>
  <si>
    <t>孔( )</t>
  </si>
  <si>
    <t>구멍</t>
  </si>
  <si>
    <t>공혈 (孔穴)</t>
  </si>
  <si>
    <t>( )使</t>
  </si>
  <si>
    <t>노동자와 사용자</t>
  </si>
  <si>
    <t>勞</t>
  </si>
  <si>
    <t>일할 로</t>
  </si>
  <si>
    <t>노사 (勞使)</t>
  </si>
  <si>
    <t>선거 등에서의 당선과 낙선</t>
  </si>
  <si>
    <t>當</t>
  </si>
  <si>
    <t>마땅 당</t>
  </si>
  <si>
    <t>당락 (當落)</t>
  </si>
  <si>
    <t>사물의 끝부분</t>
  </si>
  <si>
    <t>말단 (末端)</t>
  </si>
  <si>
    <t>( )負</t>
  </si>
  <si>
    <t>勝</t>
  </si>
  <si>
    <t>이길 승</t>
  </si>
  <si>
    <t>( )逸</t>
  </si>
  <si>
    <t>편안하고 한가로움</t>
  </si>
  <si>
    <t>영일 (寧逸)</t>
  </si>
  <si>
    <t>높음과 낮음</t>
  </si>
  <si>
    <t>숨을 내쉼과 들이쉼</t>
  </si>
  <si>
    <t>完了</t>
  </si>
  <si>
    <t>일을 다 마침</t>
  </si>
  <si>
    <t>皆濟</t>
  </si>
  <si>
    <t>다 개, 건널 제</t>
  </si>
  <si>
    <t>개제 (皆濟)</t>
  </si>
  <si>
    <t>折衷</t>
  </si>
  <si>
    <t>서로 다른 의견을 조절함</t>
  </si>
  <si>
    <t>交涉</t>
  </si>
  <si>
    <t>사귈 교, 건널 섭</t>
  </si>
  <si>
    <t>交渉 (교섭)</t>
  </si>
  <si>
    <t>땅을 파서 찾아냄</t>
  </si>
  <si>
    <t>물건을 잃어버림</t>
  </si>
  <si>
    <t>줍을 습, 얻을 득</t>
  </si>
  <si>
    <t>冒名</t>
  </si>
  <si>
    <t>이름을 거짓으로 사칭함</t>
  </si>
  <si>
    <t>詐稱</t>
  </si>
  <si>
    <t>속일 사, 일컬을 칭</t>
  </si>
  <si>
    <t>사칭 (詐稱)</t>
  </si>
  <si>
    <t>散鬱</t>
  </si>
  <si>
    <t>답답한 마음을 풀어버림</t>
  </si>
  <si>
    <t>消暢</t>
  </si>
  <si>
    <t>사라질 소, 화창할 창</t>
  </si>
  <si>
    <t>소창 (消暢)</t>
  </si>
  <si>
    <t>사양할 양, 자리 위</t>
  </si>
  <si>
    <t>僻幽</t>
  </si>
  <si>
    <t>외지고 그윽함</t>
  </si>
  <si>
    <t>深巷</t>
  </si>
  <si>
    <t>깊을 심, 거리 항</t>
  </si>
  <si>
    <t>深巷 (심항)</t>
  </si>
  <si>
    <t>몸과 마음이 굳세고 건강함</t>
  </si>
  <si>
    <t>優柔</t>
  </si>
  <si>
    <t>넉넉할 우, 부드러울 유</t>
  </si>
  <si>
    <t>우유 (優柔)</t>
  </si>
  <si>
    <t>滅亡 ↔</t>
  </si>
  <si>
    <t>망하여 없어짐</t>
  </si>
  <si>
    <t>隆興</t>
  </si>
  <si>
    <t>높을 륭, 일어날 흥</t>
  </si>
  <si>
    <t>융흥 (隆興)</t>
  </si>
  <si>
    <t>憐憫 ↔</t>
  </si>
  <si>
    <t>憎惡</t>
  </si>
  <si>
    <t>미울 증, 악할 악</t>
  </si>
  <si>
    <t>증악 (憎惡)</t>
  </si>
  <si>
    <t>두루 널리 퍼짐</t>
  </si>
  <si>
    <t>釋放 ↔</t>
  </si>
  <si>
    <t>가두어 둔 사람을 풀어줌</t>
  </si>
  <si>
    <t>抱禁</t>
  </si>
  <si>
    <t>안을 포, 금할 금</t>
  </si>
  <si>
    <t>포금 (抱禁)</t>
  </si>
  <si>
    <t>飢餓 ↔</t>
  </si>
  <si>
    <t>굶주림</t>
  </si>
  <si>
    <t>飽食</t>
  </si>
  <si>
    <t>배부를 포, 먹을 식</t>
  </si>
  <si>
    <t>飽食 (포식)</t>
  </si>
  <si>
    <t>깃발 등을 높이 올림</t>
  </si>
  <si>
    <t>아래 하, 기 기</t>
  </si>
  <si>
    <t>( )柔</t>
  </si>
  <si>
    <t>굳셈과 부드러움</t>
  </si>
  <si>
    <t>剛</t>
  </si>
  <si>
    <t>굳셀 강</t>
  </si>
  <si>
    <t>굶주림과 배부름</t>
  </si>
  <si>
    <t>飽</t>
  </si>
  <si>
    <t>배부를 포</t>
  </si>
  <si>
    <t>기포 (飢飽)</t>
  </si>
  <si>
    <t>배와 등 (앞뒤)</t>
  </si>
  <si>
    <t>腹</t>
  </si>
  <si>
    <t>배 복</t>
  </si>
  <si>
    <t>복배 (腹背)</t>
  </si>
  <si>
    <t>뜸과 가라앉음</t>
  </si>
  <si>
    <t>돌아서 돌아다님</t>
  </si>
  <si>
    <t>( )姑</t>
  </si>
  <si>
    <t>시아버지와 시어머니</t>
  </si>
  <si>
    <t>翁</t>
  </si>
  <si>
    <t>어르신 옹</t>
  </si>
  <si>
    <t>옹고 (翁姑)</t>
  </si>
  <si>
    <t>任( )</t>
  </si>
  <si>
    <t>임용과 파면</t>
  </si>
  <si>
    <t>임면 (任免)</t>
  </si>
  <si>
    <t>燥( )</t>
  </si>
  <si>
    <t>조습 (燥濕)</t>
  </si>
  <si>
    <t>衆( )</t>
  </si>
  <si>
    <t>많음과 적음</t>
  </si>
  <si>
    <t>寡</t>
  </si>
  <si>
    <t>적을 과</t>
  </si>
  <si>
    <t>중과 (衆寡)</t>
  </si>
  <si>
    <t>( )映</t>
  </si>
  <si>
    <t>비추어 비침</t>
  </si>
  <si>
    <t>조영 (照映)</t>
  </si>
  <si>
    <t>窒( )</t>
  </si>
  <si>
    <t>막아서 통하지 못함</t>
  </si>
  <si>
    <t>塞</t>
  </si>
  <si>
    <t>막을 색</t>
  </si>
  <si>
    <t>질색 (窒塞)</t>
  </si>
  <si>
    <t>( )促</t>
  </si>
  <si>
    <t>일을 빨리 하도록 재촉함</t>
  </si>
  <si>
    <t>催</t>
  </si>
  <si>
    <t>재촉할 최</t>
  </si>
  <si>
    <t>催促 (최촉)</t>
  </si>
  <si>
    <t>( )晨</t>
  </si>
  <si>
    <t>새벽</t>
  </si>
  <si>
    <t>효신 (曉晨)</t>
  </si>
  <si>
    <t>마르다</t>
  </si>
  <si>
    <t>아름다움과 추함</t>
  </si>
  <si>
    <t>더러울 추</t>
  </si>
  <si>
    <t>벗</t>
  </si>
  <si>
    <t>順( )</t>
  </si>
  <si>
    <t>순종과 거스름</t>
  </si>
  <si>
    <t>順逆 (순역)</t>
  </si>
  <si>
    <t>( )刹</t>
  </si>
  <si>
    <t>절</t>
  </si>
  <si>
    <t>寺</t>
  </si>
  <si>
    <t>절 사</t>
  </si>
  <si>
    <t>寺刹 (사찰)</t>
  </si>
  <si>
    <t>( )眠</t>
  </si>
  <si>
    <t>잠자다</t>
  </si>
  <si>
    <t>睡</t>
  </si>
  <si>
    <t>잘 수</t>
  </si>
  <si>
    <t>睡眠 (수면)</t>
  </si>
  <si>
    <t>銳( )</t>
  </si>
  <si>
    <t>무딜 둔</t>
  </si>
  <si>
    <t>( )速</t>
  </si>
  <si>
    <t>遲</t>
  </si>
  <si>
    <t>늦을 지</t>
  </si>
  <si>
    <t>遲速 (지속)</t>
  </si>
  <si>
    <t>털</t>
  </si>
  <si>
    <t>젖음과 마름</t>
  </si>
  <si>
    <t>절충하여 합의함</t>
  </si>
  <si>
    <t>交渉</t>
  </si>
  <si>
    <t>虐待</t>
  </si>
  <si>
    <t>모질게 대우함</t>
  </si>
  <si>
    <t>驅迫</t>
  </si>
  <si>
    <t>몰 구, 핍박할 박</t>
  </si>
  <si>
    <t>驅迫 (구박)</t>
  </si>
  <si>
    <t>망함과 흥함</t>
  </si>
  <si>
    <t>隆盛</t>
  </si>
  <si>
    <t>높을 륭, 성할 성</t>
  </si>
  <si>
    <t>隆盛 (융성)</t>
  </si>
  <si>
    <t>기억과 잊음</t>
  </si>
  <si>
    <t>末尾 ↔</t>
  </si>
  <si>
    <t>끝과 머리</t>
  </si>
  <si>
    <t>冒頭</t>
  </si>
  <si>
    <t>무릅쓸 모, 머리 두</t>
  </si>
  <si>
    <t>冒頭 (모두)</t>
  </si>
  <si>
    <t>익숙함과 서툶</t>
  </si>
  <si>
    <t>革新 ↔</t>
  </si>
  <si>
    <t>고침과 지킴</t>
  </si>
  <si>
    <t>保守</t>
  </si>
  <si>
    <t>지킬 보, 지킬 수</t>
  </si>
  <si>
    <t>保守 (보수)</t>
  </si>
  <si>
    <t>類似 ↔</t>
  </si>
  <si>
    <t>비슷함과 다름</t>
  </si>
  <si>
    <t>相違</t>
  </si>
  <si>
    <t>서로 상, 어긋날 위</t>
  </si>
  <si>
    <t>相違 (상위)</t>
  </si>
  <si>
    <t>讓位 ↔</t>
  </si>
  <si>
    <t>위를 물려줌과 이어받음</t>
  </si>
  <si>
    <t>受禪</t>
  </si>
  <si>
    <t>받을 수, 선위할 선</t>
  </si>
  <si>
    <t>受禪 (수선)</t>
  </si>
  <si>
    <t>구석지고 그윽함</t>
  </si>
  <si>
    <t>蠻地</t>
  </si>
  <si>
    <t>야만스러운 땅</t>
  </si>
  <si>
    <t>夷界</t>
  </si>
  <si>
    <t>오랑캐 이, 지경 계</t>
  </si>
  <si>
    <t>夷界 (이계)</t>
  </si>
  <si>
    <t>悼詞</t>
  </si>
  <si>
    <t>죽은 이를 슬퍼하는 글</t>
  </si>
  <si>
    <t>弔辭</t>
  </si>
  <si>
    <t>조상할 조, 말씀 사</t>
  </si>
  <si>
    <t>弔辭 (조사)</t>
  </si>
  <si>
    <t>억누름과 북돋움</t>
  </si>
  <si>
    <t>扶桑 ↔</t>
  </si>
  <si>
    <t>해가 뜨는 곳과 지는 곳</t>
  </si>
  <si>
    <t>咸池</t>
  </si>
  <si>
    <t>다 함, 못 지</t>
  </si>
  <si>
    <t>咸池 (함지)</t>
  </si>
  <si>
    <t>굳세고 튼튼함</t>
  </si>
  <si>
    <t>健</t>
  </si>
  <si>
    <t>굳셀 건</t>
  </si>
  <si>
    <t>剛健 (강건)</t>
  </si>
  <si>
    <t>경사와 불행한 일</t>
  </si>
  <si>
    <t>( )劍</t>
  </si>
  <si>
    <t>칼의 총칭</t>
  </si>
  <si>
    <t>刀劍 (도검)</t>
  </si>
  <si>
    <t>( )姪</t>
  </si>
  <si>
    <t>叔</t>
  </si>
  <si>
    <t>아저씨 숙</t>
  </si>
  <si>
    <t>( )降</t>
  </si>
  <si>
    <t>昇</t>
  </si>
  <si>
    <t>오를 승</t>
  </si>
  <si>
    <t>( )夜</t>
  </si>
  <si>
    <t>낮과 밤</t>
  </si>
  <si>
    <t>晝</t>
  </si>
  <si>
    <t>낮 주</t>
  </si>
  <si>
    <t>晝夜 (주야)</t>
  </si>
  <si>
    <t>진짜와 가짜</t>
  </si>
  <si>
    <t>集( )</t>
  </si>
  <si>
    <t>모임과 흩어짐</t>
  </si>
  <si>
    <t>散</t>
  </si>
  <si>
    <t>흩어질 산</t>
  </si>
  <si>
    <t>集散 (집산)</t>
  </si>
  <si>
    <t>보태거나 뺌</t>
  </si>
  <si>
    <t>催( )</t>
  </si>
  <si>
    <t>促</t>
  </si>
  <si>
    <t>재촉할 촉</t>
  </si>
  <si>
    <t>무딜 둔, 흐릴 탁</t>
  </si>
  <si>
    <t>憎惡 ↔</t>
  </si>
  <si>
    <t>미워함과 불쌍히 여김</t>
  </si>
  <si>
    <t>憐憫</t>
  </si>
  <si>
    <t>불쌍히 여길 련, 민망할 민</t>
  </si>
  <si>
    <t>빌려 씀과 되갚음</t>
  </si>
  <si>
    <t>특별함과 평범함</t>
  </si>
  <si>
    <t>이름을 속여 일컬음</t>
  </si>
  <si>
    <t>冒名詐稱 (모명사칭)</t>
  </si>
  <si>
    <t>높고 우아함과 낮고 속됨</t>
  </si>
  <si>
    <t>더함과 깎음</t>
  </si>
  <si>
    <t>僻地</t>
  </si>
  <si>
    <t>외진 곳</t>
  </si>
  <si>
    <t>別乾坤</t>
  </si>
  <si>
    <t>아주 딴판인 세상</t>
  </si>
  <si>
    <t>桃源境</t>
  </si>
  <si>
    <t>복숭아 도, 근원 원, 지경 경</t>
  </si>
  <si>
    <t>桃源境 (도원경)</t>
  </si>
  <si>
    <t>宿患</t>
  </si>
  <si>
    <t>오래된 병</t>
  </si>
  <si>
    <t>久疾</t>
  </si>
  <si>
    <t>오랠 구, 병 질</t>
  </si>
  <si>
    <t>久疾 (구질)</t>
  </si>
  <si>
    <t>內剛 ↔</t>
  </si>
  <si>
    <t>안으로 강하고 겉으로 부드러움</t>
  </si>
  <si>
    <t>外柔</t>
  </si>
  <si>
    <t>바깥 외, 부드러울 유</t>
  </si>
  <si>
    <t>外柔 (외유)</t>
  </si>
  <si>
    <t>巧妙 ↔</t>
  </si>
  <si>
    <t>拙劣</t>
  </si>
  <si>
    <t>서툴 졸, 못날 렬</t>
  </si>
  <si>
    <t>拙劣 (졸렬)</t>
  </si>
  <si>
    <t>一刹那</t>
  </si>
  <si>
    <t>아주 짧은 시간</t>
  </si>
  <si>
    <t>瞬息(間)</t>
  </si>
  <si>
    <t>눈깜짝일 순, 숨쉴 식</t>
  </si>
  <si>
    <t>瞬息間 (순식간)</t>
  </si>
  <si>
    <t>배고픔과 배부름</t>
  </si>
  <si>
    <t>喪失 ↔</t>
  </si>
  <si>
    <t>잃음과 얻음</t>
  </si>
  <si>
    <t>獲得</t>
  </si>
  <si>
    <t>얻을 확, 얻을 득</t>
  </si>
  <si>
    <t>結草報恩 -( )( )難忘</t>
  </si>
  <si>
    <t>刻骨</t>
  </si>
  <si>
    <t>새길 각, 뼈 골</t>
  </si>
  <si>
    <t>刻骨難忘 (각골난망)</t>
  </si>
  <si>
    <t>四面楚歌 - 孤立( )( )</t>
  </si>
  <si>
    <t>無援</t>
  </si>
  <si>
    <t>없을 무, 도울 원</t>
  </si>
  <si>
    <t>孤立無援 (고립무원)</t>
  </si>
  <si>
    <t>紀( )</t>
  </si>
  <si>
    <t>법도와 규율</t>
  </si>
  <si>
    <t>綱</t>
  </si>
  <si>
    <t>벼리 강</t>
  </si>
  <si>
    <t>紀綱 (기강)</t>
  </si>
  <si>
    <t>복되고 길한 조짐</t>
  </si>
  <si>
    <t>복 상</t>
  </si>
  <si>
    <t>吉祥 (길상)</t>
  </si>
  <si>
    <t>類類相從 - 同病( )( )</t>
  </si>
  <si>
    <t>相憐</t>
  </si>
  <si>
    <t>서로 상, 불쌍히 여길 련</t>
  </si>
  <si>
    <t>同病相憐 (동병상련)</t>
  </si>
  <si>
    <t>물 위에 뜨는 것과 물속에 잠기는 것</t>
  </si>
  <si>
    <t>報( )</t>
  </si>
  <si>
    <t>남에게 입은 은혜나 입힌 손해를 갚음</t>
  </si>
  <si>
    <t>償</t>
  </si>
  <si>
    <t>갚을 상</t>
  </si>
  <si>
    <t>報償 (보상)</t>
  </si>
  <si>
    <t>轉禍爲福 -( )( )之馬</t>
  </si>
  <si>
    <t>塞翁</t>
  </si>
  <si>
    <t>변방 새, 늙은이 옹</t>
  </si>
  <si>
    <t>塞翁之馬 (새옹지마)</t>
  </si>
  <si>
    <t>( )顯</t>
  </si>
  <si>
    <t>숨음과 나타남</t>
  </si>
  <si>
    <t>隱</t>
  </si>
  <si>
    <t>숨을 은</t>
  </si>
  <si>
    <t>隱顯 (은현)</t>
  </si>
  <si>
    <t>將( )</t>
  </si>
  <si>
    <t>군대를 거느리고 지휘하는 우두머리</t>
  </si>
  <si>
    <t>將帥 (장수)</t>
  </si>
  <si>
    <t>陟( )</t>
  </si>
  <si>
    <t>벼슬이 오름과 내림</t>
  </si>
  <si>
    <t>陟降 (척강)</t>
  </si>
  <si>
    <t>덧붙이거나 깎아 냄</t>
  </si>
  <si>
    <t>상품을 팖</t>
  </si>
  <si>
    <t>靑山流水-( )( )之辯</t>
  </si>
  <si>
    <t>흐르는 물처럼 거침없이 잘하는 말</t>
  </si>
  <si>
    <t>懸河</t>
  </si>
  <si>
    <t>매달 현, 물 하</t>
  </si>
  <si>
    <t>懸河之辯 (현하지변)</t>
  </si>
  <si>
    <t>旦( )</t>
  </si>
  <si>
    <t>아침과 저녁</t>
  </si>
  <si>
    <t>暮</t>
  </si>
  <si>
    <t>저물 모</t>
  </si>
  <si>
    <t>旦暮 (단모)</t>
  </si>
  <si>
    <t>貸( )</t>
  </si>
  <si>
    <t>借</t>
  </si>
  <si>
    <t>빌릴 차</t>
  </si>
  <si>
    <t>몸이나 마음을 단련함</t>
  </si>
  <si>
    <t>山海珍味 - 龍味( )( )</t>
  </si>
  <si>
    <t>매우 맛있는 진귀한 음식</t>
  </si>
  <si>
    <t>鳳, 湯</t>
  </si>
  <si>
    <t>봉황 봉, 끓일 탕</t>
  </si>
  <si>
    <t>龍味鳳湯 (용미봉탕)</t>
  </si>
  <si>
    <t>類類( )( ) - 草綠同色</t>
  </si>
  <si>
    <t>끼리끼리 서로 모이고 어울림</t>
  </si>
  <si>
    <t>相, 從</t>
  </si>
  <si>
    <t>서로 상, 좇을 종</t>
  </si>
  <si>
    <t>類類相從 (유유상종)</t>
  </si>
  <si>
    <t>( )欺</t>
  </si>
  <si>
    <t>詐</t>
  </si>
  <si>
    <t>속일 사</t>
  </si>
  <si>
    <t>刻舟求劍 - 守株( )( )</t>
  </si>
  <si>
    <t>융통성 없이 낡은 관습만 고집함</t>
  </si>
  <si>
    <t>待, 兔</t>
  </si>
  <si>
    <t>기다릴 대, 토끼 토</t>
  </si>
  <si>
    <t>守株待兔 (수주대토)</t>
  </si>
  <si>
    <t>盈( )</t>
  </si>
  <si>
    <t>차고 비움</t>
  </si>
  <si>
    <t>비었을 허</t>
  </si>
  <si>
    <t>盈虛 (영허)</t>
  </si>
  <si>
    <t>( ) 鈍</t>
  </si>
  <si>
    <t>畏( )</t>
  </si>
  <si>
    <t>懼</t>
  </si>
  <si>
    <t>두려워할 구</t>
  </si>
  <si>
    <t>畏懼 (외구)</t>
  </si>
  <si>
    <t>聚( )</t>
  </si>
  <si>
    <t>벼슬이 오르고 내림</t>
  </si>
  <si>
    <t>羊頭狗肉 -( )( )不同</t>
  </si>
  <si>
    <t>겉과 속이 서로 다름</t>
  </si>
  <si>
    <t>表, 裏</t>
  </si>
  <si>
    <t>겉 표, 속 리</t>
  </si>
  <si>
    <t>表裏不同 (표리부동)</t>
  </si>
  <si>
    <t>咸興( )( ) - 終無消息</t>
  </si>
  <si>
    <t>심부름 간 사람이 소식이 없거나 늦음</t>
  </si>
  <si>
    <t>差, 使</t>
  </si>
  <si>
    <t>보낼 차, 하여금 사</t>
  </si>
  <si>
    <t>咸興差使 (함흥차사)</t>
  </si>
  <si>
    <t>( )姻</t>
  </si>
  <si>
    <t>혼인하여 맺어짐</t>
  </si>
  <si>
    <t>婚</t>
  </si>
  <si>
    <t>혼인할 혼</t>
  </si>
  <si>
    <t>값어치</t>
  </si>
  <si>
    <t>結草報恩-刻骨( )( )</t>
  </si>
  <si>
    <t>입은 은혜가 뼈에 사무쳐 잊히지 않음</t>
  </si>
  <si>
    <t>難忘</t>
  </si>
  <si>
    <t>어려울 난, 잊을 망</t>
  </si>
  <si>
    <t>孤立( )( )-四面楚歌</t>
  </si>
  <si>
    <t>고립되어 구원해 줄 사람이 없음</t>
  </si>
  <si>
    <t>꾸어줌과 꾸어옴</t>
  </si>
  <si>
    <t>( )綱</t>
  </si>
  <si>
    <t>기강과 법도</t>
  </si>
  <si>
    <t>紀</t>
  </si>
  <si>
    <t>벼리 기</t>
  </si>
  <si>
    <t>同病( )( )-類類相從</t>
  </si>
  <si>
    <t>같은 처지에 있는 사람끼리 서로 동정함</t>
  </si>
  <si>
    <t>蠻( )</t>
  </si>
  <si>
    <t>오랑캐</t>
  </si>
  <si>
    <t>夷</t>
  </si>
  <si>
    <t>오랑캐 이</t>
  </si>
  <si>
    <t>蠻夷 (만이)</t>
  </si>
  <si>
    <t>轉禍爲福-( )( )之馬</t>
  </si>
  <si>
    <t>인생의 길흉화복은 변화가 많아 예측 불가함</t>
  </si>
  <si>
    <t>깨끗이 씻음</t>
  </si>
  <si>
    <t>抑( )</t>
  </si>
  <si>
    <t>누름과 추킴 (억양)</t>
  </si>
  <si>
    <t>揚</t>
  </si>
  <si>
    <t>날릴 양</t>
  </si>
  <si>
    <t>迎( )</t>
  </si>
  <si>
    <t>맞이함과 보냄</t>
  </si>
  <si>
    <t>迎送 (영송)</t>
  </si>
  <si>
    <t>( )潔</t>
  </si>
  <si>
    <t>깨끗하고 맑음</t>
  </si>
  <si>
    <t>淨</t>
  </si>
  <si>
    <t>깨끗할 정</t>
  </si>
  <si>
    <t>淨潔 (정결)</t>
  </si>
  <si>
    <t>菜( )</t>
  </si>
  <si>
    <t>채소</t>
  </si>
  <si>
    <t>蔬</t>
  </si>
  <si>
    <t>나물 소</t>
  </si>
  <si>
    <t>菜蔬 (채소)</t>
  </si>
  <si>
    <t>사람을 불러 청함</t>
  </si>
  <si>
    <t>물건을 파는 일</t>
  </si>
  <si>
    <t>( )( )之辯-青山流水</t>
  </si>
  <si>
    <t>숨을 내쉬고 들이마심</t>
  </si>
  <si>
    <t>기뻐하고 즐거워함</t>
  </si>
  <si>
    <t>두꺼움과 얇음</t>
  </si>
  <si>
    <t>勤慢 (근만)</t>
  </si>
  <si>
    <t>( )寒</t>
  </si>
  <si>
    <t>더위와 추위</t>
  </si>
  <si>
    <t>暑寒 (서한)</t>
  </si>
  <si>
    <t>무너져 파괴됨</t>
  </si>
  <si>
    <t>( )昏</t>
  </si>
  <si>
    <t>새벽과 저녁</t>
  </si>
  <si>
    <t>晨</t>
  </si>
  <si>
    <t>새벽 신</t>
  </si>
  <si>
    <t>晨昏 (신혼)</t>
  </si>
  <si>
    <t>( )越</t>
  </si>
  <si>
    <t>뛰어넘음</t>
  </si>
  <si>
    <t>超</t>
  </si>
  <si>
    <t>넘을 초</t>
  </si>
  <si>
    <t>( )旨</t>
  </si>
  <si>
    <t>말이나 글의 취지</t>
  </si>
  <si>
    <t>趣</t>
  </si>
  <si>
    <t>뜻 취</t>
  </si>
  <si>
    <t>趣旨 (취지)</t>
  </si>
  <si>
    <t>沈( )</t>
  </si>
  <si>
    <t>속 깊이 잠김</t>
  </si>
  <si>
    <t>潛</t>
  </si>
  <si>
    <t>잠길 잠</t>
  </si>
  <si>
    <t>沈潛 (침잠)</t>
  </si>
  <si>
    <t>兌( )</t>
  </si>
  <si>
    <t>돈을 바꿈</t>
  </si>
  <si>
    <t>換</t>
  </si>
  <si>
    <t>바꿀 환</t>
  </si>
  <si>
    <t>兌換 (태환)</t>
  </si>
  <si>
    <t>閑( )</t>
  </si>
  <si>
    <t>한가함과 바쁨</t>
  </si>
  <si>
    <t>忙</t>
  </si>
  <si>
    <t>바쁠 망</t>
  </si>
  <si>
    <t>閑忙 (한망)</t>
  </si>
  <si>
    <t>厚( )</t>
  </si>
  <si>
    <t>薄</t>
  </si>
  <si>
    <t>엷을 박</t>
  </si>
  <si>
    <t>妍( )</t>
  </si>
  <si>
    <t>예쁨과 추함</t>
  </si>
  <si>
    <t>妍醜 (연추)</t>
  </si>
  <si>
    <t>開( )</t>
  </si>
  <si>
    <t>열고 닫음</t>
  </si>
  <si>
    <t>閉</t>
  </si>
  <si>
    <t>닫을 폐</t>
  </si>
  <si>
    <t>徒( )</t>
  </si>
  <si>
    <t>같은 무리</t>
  </si>
  <si>
    <t>徒黨 (도당)</t>
  </si>
  <si>
    <t>( )還</t>
  </si>
  <si>
    <t>도로 돌려줌</t>
  </si>
  <si>
    <t>返</t>
  </si>
  <si>
    <t>돌려줄 반</t>
  </si>
  <si>
    <t>은혜나 손해를 갚음</t>
  </si>
  <si>
    <t>덜어냄과 더함</t>
  </si>
  <si>
    <t>상서로운 조짐</t>
  </si>
  <si>
    <t>힘으로 억누름</t>
  </si>
  <si>
    <t>晚</t>
  </si>
  <si>
    <t>早晚 (조만)</t>
  </si>
  <si>
    <t>踐( )</t>
  </si>
  <si>
    <t>실제로 밟아 행함</t>
  </si>
  <si>
    <t>踏</t>
  </si>
  <si>
    <t>밟을 답</t>
  </si>
  <si>
    <t>踐踏 (천답)</t>
  </si>
  <si>
    <t>범위를 뛰어넘음</t>
  </si>
  <si>
    <t>嫌( )</t>
  </si>
  <si>
    <t>싫어하고 미워함</t>
  </si>
  <si>
    <t>惡</t>
  </si>
  <si>
    <t>악할 악</t>
  </si>
  <si>
    <t>嫌惡 (혐악)</t>
  </si>
  <si>
    <t>( )悲</t>
  </si>
  <si>
    <t>喜</t>
  </si>
  <si>
    <t>기쁠 희</t>
  </si>
  <si>
    <t>彊( )</t>
  </si>
  <si>
    <t>굳세고 강함</t>
  </si>
  <si>
    <t>彊剛 (강강)</t>
  </si>
  <si>
    <t>마르고 건조함</t>
  </si>
  <si>
    <t>燥</t>
  </si>
  <si>
    <t>마를 조</t>
  </si>
  <si>
    <t>굶주릴 기, 굶주릴 아</t>
  </si>
  <si>
    <t>敏( )</t>
  </si>
  <si>
    <t>민첩함과 느림</t>
  </si>
  <si>
    <t>敏緩 (민완)</t>
  </si>
  <si>
    <t>線( )</t>
  </si>
  <si>
    <t>선과 나눔</t>
  </si>
  <si>
    <t>分</t>
  </si>
  <si>
    <t>나눌 분</t>
  </si>
  <si>
    <t>線分 (선분)</t>
  </si>
  <si>
    <t>稚拙 ↔</t>
  </si>
  <si>
    <t>어수룩함과 세련됨</t>
  </si>
  <si>
    <t>洗鍊</t>
  </si>
  <si>
    <t>씻을 세, 불릴 련</t>
  </si>
  <si>
    <t>洗鍊 (세련)</t>
  </si>
  <si>
    <t>拒絶 ↔</t>
  </si>
  <si>
    <t>거절과 승낙</t>
  </si>
  <si>
    <t>碩( )</t>
  </si>
  <si>
    <t>크고 큼</t>
  </si>
  <si>
    <t>碩巨 (석거)</t>
  </si>
  <si>
    <t>穩( )</t>
  </si>
  <si>
    <t>평온하고 편안함</t>
  </si>
  <si>
    <t>康</t>
  </si>
  <si>
    <t>편안할 강</t>
  </si>
  <si>
    <t>穩康 (온강)</t>
  </si>
  <si>
    <t>諮( )</t>
  </si>
  <si>
    <t>묻고 답함</t>
  </si>
  <si>
    <t>諮答 (자답)</t>
  </si>
  <si>
    <t>擴大 ↔</t>
  </si>
  <si>
    <t>넓힘과 줄임</t>
  </si>
  <si>
    <t>縮小</t>
  </si>
  <si>
    <t>줄일 축, 작을 소</t>
  </si>
  <si>
    <t>縮小 (축소)</t>
  </si>
  <si>
    <t>皓( )</t>
  </si>
  <si>
    <t>밝음과 검음</t>
  </si>
  <si>
    <t>皓玄 (호현)</t>
  </si>
  <si>
    <t>鎭靜 ↔</t>
  </si>
  <si>
    <t>가라앉음과 흥분함</t>
  </si>
  <si>
    <t>興奮</t>
  </si>
  <si>
    <t>일어날 흥, 떨칠 분</t>
  </si>
  <si>
    <t>興奮 (흥분)</t>
  </si>
  <si>
    <t>欽( )</t>
  </si>
  <si>
    <t>공경하고 존경함</t>
  </si>
  <si>
    <t>敬</t>
  </si>
  <si>
    <t>공경할 경</t>
  </si>
  <si>
    <t>欽敬 (흠경)</t>
  </si>
  <si>
    <t>오르거나 떨어짐</t>
  </si>
  <si>
    <t>오를 등 / 오를 등</t>
  </si>
  <si>
    <t>( )黨</t>
  </si>
  <si>
    <t>무리</t>
  </si>
  <si>
    <t>徒</t>
  </si>
  <si>
    <t>무리 도</t>
  </si>
  <si>
    <t>賓( )</t>
  </si>
  <si>
    <t>손님</t>
  </si>
  <si>
    <t>客</t>
  </si>
  <si>
    <t>손 객</t>
  </si>
  <si>
    <t>賓客 (빈객)</t>
  </si>
  <si>
    <t>억눌러 강제로 제압함</t>
  </si>
  <si>
    <t>壓</t>
  </si>
  <si>
    <t>누를 압</t>
  </si>
  <si>
    <t>태도나 행동이 건방짐</t>
  </si>
  <si>
    <t>認( )</t>
  </si>
  <si>
    <t>알고 분별함</t>
  </si>
  <si>
    <t>識</t>
  </si>
  <si>
    <t>알 식</t>
  </si>
  <si>
    <t>認識 (인식)</t>
  </si>
  <si>
    <t>朝( )</t>
  </si>
  <si>
    <t>朝夕 (조석)</t>
  </si>
  <si>
    <t>( )踏</t>
  </si>
  <si>
    <t>짓밟음</t>
  </si>
  <si>
    <t>尖( )</t>
  </si>
  <si>
    <t>물체의 끝이나 시대의 선두</t>
  </si>
  <si>
    <t>端/銳</t>
  </si>
  <si>
    <t>끝 단 / 날카로울 예</t>
  </si>
  <si>
    <t>어떠한 한계를 넘음</t>
  </si>
  <si>
    <t>甘( )</t>
  </si>
  <si>
    <t>달고 씀</t>
  </si>
  <si>
    <t>苦</t>
  </si>
  <si>
    <t>쓸 고</t>
  </si>
  <si>
    <t>甘苦 (감고)</t>
  </si>
  <si>
    <t>懇( )</t>
  </si>
  <si>
    <t>정성이 지극함</t>
  </si>
  <si>
    <t>誠</t>
  </si>
  <si>
    <t>정성 성</t>
  </si>
  <si>
    <t>懇誠 (간성)</t>
  </si>
  <si>
    <t>깨뜨림과 세움</t>
  </si>
  <si>
    <t>세울 건, 설 설</t>
  </si>
  <si>
    <t>建設(건설)</t>
  </si>
  <si>
    <t>부드러움과 딱딱함</t>
  </si>
  <si>
    <t>硬直(경직)</t>
  </si>
  <si>
    <t>告( )</t>
  </si>
  <si>
    <t>숨김없이 말함</t>
  </si>
  <si>
    <t>告白 (고백)</t>
  </si>
  <si>
    <t>親近 ↔</t>
  </si>
  <si>
    <t>가깝고 멂</t>
  </si>
  <si>
    <t>疏遠</t>
  </si>
  <si>
    <t>트일 소, 멀 원</t>
  </si>
  <si>
    <t>疏遠(소원)</t>
  </si>
  <si>
    <t>削( )</t>
  </si>
  <si>
    <t>깎아서 줄임</t>
  </si>
  <si>
    <t>祥( )</t>
  </si>
  <si>
    <t>복되고 길한 징조</t>
  </si>
  <si>
    <t>瑞</t>
  </si>
  <si>
    <t>상서 서</t>
  </si>
  <si>
    <t>陳腐(진부)</t>
  </si>
  <si>
    <t>僞/假</t>
  </si>
  <si>
    <t>거짓 위/거짓 가</t>
  </si>
  <si>
    <t>모여서 집합함</t>
  </si>
  <si>
    <t>聚集 (취집)</t>
  </si>
  <si>
    <t>差別 ↔</t>
  </si>
  <si>
    <t>차별과 평등</t>
  </si>
  <si>
    <t>平等</t>
  </si>
  <si>
    <t>평평할 평, 등급 등</t>
  </si>
  <si>
    <t>平等 (평등)</t>
  </si>
  <si>
    <t>부르고 대답함</t>
  </si>
  <si>
    <t>부부 사이의 정</t>
  </si>
  <si>
    <t>琴瑟 (금슬)</t>
  </si>
  <si>
    <t>오고 간 편지</t>
  </si>
  <si>
    <t>簡札 (간찰)</t>
  </si>
  <si>
    <t>나이 많은 신하</t>
  </si>
  <si>
    <t>耆老 (기로)</t>
  </si>
  <si>
    <t>승패의 결정적인 부분</t>
  </si>
  <si>
    <t>關鍵 (관건)</t>
  </si>
  <si>
    <t>冀( )</t>
  </si>
  <si>
    <t>간절히 바람</t>
  </si>
  <si>
    <t>望</t>
  </si>
  <si>
    <t>바랄 망</t>
  </si>
  <si>
    <t>冀望 (기망)</t>
  </si>
  <si>
    <t>騰( )</t>
  </si>
  <si>
    <t>落</t>
  </si>
  <si>
    <t>떨어질 락</t>
  </si>
  <si>
    <t>騰落 (등락)</t>
  </si>
  <si>
    <t>( )裏</t>
  </si>
  <si>
    <t>表</t>
  </si>
  <si>
    <t>겉 표</t>
  </si>
  <si>
    <t>보태고 깎음</t>
  </si>
  <si>
    <t>태도가 부드러움 ↔ 격렬함</t>
  </si>
  <si>
    <t>過激</t>
  </si>
  <si>
    <t>지나칠 과, 격할 격</t>
  </si>
  <si>
    <t>過激 (과격)</t>
  </si>
  <si>
    <t>隸屬 ↔</t>
  </si>
  <si>
    <t>남에게 달림 ↔ 스스로 섬</t>
  </si>
  <si>
    <t>自立</t>
  </si>
  <si>
    <t>스스로 자, 설 립</t>
  </si>
  <si>
    <t>自立 (자립)</t>
  </si>
  <si>
    <t>지위가 오름 ↔ 지위가 떨어짐</t>
  </si>
  <si>
    <t>左遷 (좌천)</t>
  </si>
  <si>
    <t>매우 새로움 ↔ 낡고 평범함</t>
  </si>
  <si>
    <t>鈍濁 ↔</t>
  </si>
  <si>
    <t>둔하고 흐림 ↔ 날카롭고 이로움</t>
  </si>
  <si>
    <t>銳利</t>
  </si>
  <si>
    <t>날카로울 예, 이로울 리</t>
  </si>
  <si>
    <t>銳利 (예리)</t>
  </si>
  <si>
    <t>정답 (뜻 풀이)</t>
  </si>
  <si>
    <t>振舒</t>
  </si>
  <si>
    <t>진서</t>
  </si>
  <si>
    <t>위세나 명성 따위를 떨쳐서 폄</t>
  </si>
  <si>
    <t>岐路</t>
  </si>
  <si>
    <t>기로</t>
  </si>
  <si>
    <t>갈림길 (어느 한쪽을 선택해야 하는 상황)</t>
  </si>
  <si>
    <t>熟眠</t>
  </si>
  <si>
    <t>숙면</t>
  </si>
  <si>
    <t>잠이 깊이 듦 / 깊은 잠</t>
  </si>
  <si>
    <t>遮光</t>
  </si>
  <si>
    <t>차광</t>
  </si>
  <si>
    <t>빛을 막아 가림</t>
  </si>
  <si>
    <t>旁通</t>
  </si>
  <si>
    <t>방통</t>
  </si>
  <si>
    <t>자세하고 분명하게 앎 (두루 통함)</t>
  </si>
  <si>
    <t>歸巢</t>
  </si>
  <si>
    <t>귀소</t>
  </si>
  <si>
    <t>집이나 둥지로 돌아감</t>
  </si>
  <si>
    <t>漣波</t>
  </si>
  <si>
    <t>연파</t>
  </si>
  <si>
    <t>잔물결</t>
  </si>
  <si>
    <t>激湍</t>
  </si>
  <si>
    <t>격단</t>
  </si>
  <si>
    <t>몹시 빠르게 흐르는 여울</t>
  </si>
  <si>
    <t>製艦</t>
  </si>
  <si>
    <t>제함</t>
  </si>
  <si>
    <t>군함을 만듦</t>
  </si>
  <si>
    <t>갈림길.</t>
  </si>
  <si>
    <t>위세나 명성 따위를 떨쳐서 폄.</t>
  </si>
  <si>
    <t>柴戶</t>
  </si>
  <si>
    <t>시호</t>
  </si>
  <si>
    <t>사립문, 가난한 집.</t>
  </si>
  <si>
    <t>肥沃</t>
  </si>
  <si>
    <t>비옥</t>
  </si>
  <si>
    <t>땅이 걸고 기름짐.</t>
  </si>
  <si>
    <t>盈月</t>
  </si>
  <si>
    <t>영월</t>
  </si>
  <si>
    <t>보름달.</t>
  </si>
  <si>
    <t>杏仁</t>
  </si>
  <si>
    <t>행인</t>
  </si>
  <si>
    <t>살구 씨</t>
  </si>
  <si>
    <t>食鼎</t>
  </si>
  <si>
    <t>식정</t>
  </si>
  <si>
    <t>밥솥</t>
  </si>
  <si>
    <t>富賈</t>
  </si>
  <si>
    <t>부가</t>
  </si>
  <si>
    <t>밑천이 넉넉한 상인</t>
  </si>
  <si>
    <t>遮陽</t>
  </si>
  <si>
    <t>차양</t>
  </si>
  <si>
    <t>햇빛을 가림</t>
  </si>
  <si>
    <t>吸塵</t>
  </si>
  <si>
    <t>흡진</t>
  </si>
  <si>
    <t>먼지를 빨아들임</t>
  </si>
  <si>
    <t>騎哨</t>
  </si>
  <si>
    <t>기초</t>
  </si>
  <si>
    <t>말을 타고 보초를 서는 병사</t>
  </si>
  <si>
    <t>隻影</t>
  </si>
  <si>
    <t>척영</t>
  </si>
  <si>
    <t>그림자. 오직 한 사람. 외따로 있는 물건의 그림자</t>
  </si>
  <si>
    <t>裝飾</t>
  </si>
  <si>
    <t>장식</t>
  </si>
  <si>
    <t>꾸밈</t>
  </si>
  <si>
    <t>池苑</t>
  </si>
  <si>
    <t>지원</t>
  </si>
  <si>
    <t>연못과 동산</t>
  </si>
  <si>
    <t>渡渉</t>
  </si>
  <si>
    <t>도섭</t>
  </si>
  <si>
    <t>물을 건넘</t>
  </si>
  <si>
    <t>甘酸</t>
  </si>
  <si>
    <t>감산</t>
  </si>
  <si>
    <t>맛이 달고 심 / 즐거움과 괴로움</t>
  </si>
  <si>
    <t>雇錢</t>
  </si>
  <si>
    <t>고전</t>
  </si>
  <si>
    <t>품삯</t>
  </si>
  <si>
    <t>갈림길</t>
  </si>
  <si>
    <t>沙灘</t>
  </si>
  <si>
    <t>사탄</t>
  </si>
  <si>
    <t>모래톱 가의 여울</t>
  </si>
  <si>
    <t>獐血</t>
  </si>
  <si>
    <t>장혈</t>
  </si>
  <si>
    <t>노루의 피</t>
  </si>
  <si>
    <t>結繩</t>
  </si>
  <si>
    <t>결승</t>
  </si>
  <si>
    <t>끈이나 새끼 따위로 매듭을 지음</t>
  </si>
  <si>
    <t>駿驥</t>
  </si>
  <si>
    <t>준기</t>
  </si>
  <si>
    <t>뛰어나게 좋은 말</t>
  </si>
  <si>
    <t>艾湯</t>
  </si>
  <si>
    <t>애탕</t>
  </si>
  <si>
    <t>쑥국, 쑥탕</t>
  </si>
  <si>
    <t>皓雪</t>
  </si>
  <si>
    <t>호설</t>
  </si>
  <si>
    <t>흰 눈</t>
  </si>
  <si>
    <t>敷衍</t>
  </si>
  <si>
    <t>부연</t>
  </si>
  <si>
    <t>설명을 덧붙여 자세히 말함</t>
  </si>
  <si>
    <t>耽溺</t>
  </si>
  <si>
    <t>탐닉</t>
  </si>
  <si>
    <t>어떤 일을 몹시 즐겨서 거기에 빠짐</t>
  </si>
  <si>
    <t>聚合</t>
  </si>
  <si>
    <t>취합</t>
  </si>
  <si>
    <t>모아서 합침</t>
  </si>
  <si>
    <t>杜門</t>
  </si>
  <si>
    <t>두문</t>
  </si>
  <si>
    <t>방문을 닫아 막음</t>
  </si>
  <si>
    <t>焦土</t>
  </si>
  <si>
    <t>초토</t>
  </si>
  <si>
    <t>불에 타서 검게 그을린 땅</t>
  </si>
  <si>
    <t>類聚</t>
  </si>
  <si>
    <t>유취</t>
  </si>
  <si>
    <t>종류에 따라 모음</t>
  </si>
  <si>
    <t>隻身</t>
  </si>
  <si>
    <t>척신</t>
  </si>
  <si>
    <t>홀몸</t>
  </si>
  <si>
    <t>製繩</t>
  </si>
  <si>
    <t>제승</t>
  </si>
  <si>
    <t>새끼를 꼼</t>
  </si>
  <si>
    <t>不溶</t>
  </si>
  <si>
    <t>불용</t>
  </si>
  <si>
    <t>액체에 녹지 않음</t>
  </si>
  <si>
    <t>賈舶</t>
  </si>
  <si>
    <t>고박</t>
  </si>
  <si>
    <t>장삿배/상선</t>
  </si>
  <si>
    <t>잔물결. 자잘하게 이는 물결</t>
  </si>
  <si>
    <t>偉彦</t>
  </si>
  <si>
    <t>위언</t>
  </si>
  <si>
    <t>도량과 재간이 크고 뛰어난 사람</t>
  </si>
  <si>
    <t>嫌厭</t>
  </si>
  <si>
    <t>혐염</t>
  </si>
  <si>
    <t>謄載</t>
  </si>
  <si>
    <t>등재</t>
  </si>
  <si>
    <t>베껴 적음</t>
  </si>
  <si>
    <t>搬送</t>
  </si>
  <si>
    <t>반송</t>
  </si>
  <si>
    <t>물건 따위를 운반하여 보냄</t>
  </si>
  <si>
    <t>細塵</t>
  </si>
  <si>
    <t>세진</t>
  </si>
  <si>
    <t>자디잔 먼지나 티</t>
  </si>
  <si>
    <t>憩泊</t>
  </si>
  <si>
    <t>게박</t>
  </si>
  <si>
    <t>쉬며 머무름</t>
  </si>
  <si>
    <t>浸潤</t>
  </si>
  <si>
    <t>침윤</t>
  </si>
  <si>
    <t>스며들어 젖음</t>
  </si>
  <si>
    <t>舊址</t>
  </si>
  <si>
    <t>구지</t>
  </si>
  <si>
    <t>옛터</t>
  </si>
  <si>
    <t>贈與</t>
  </si>
  <si>
    <t>증여</t>
  </si>
  <si>
    <t>물건 따위를 줌</t>
  </si>
  <si>
    <t>駿馬</t>
  </si>
  <si>
    <t>준마</t>
  </si>
  <si>
    <t>잘 달리는 말</t>
  </si>
  <si>
    <t>搖動</t>
  </si>
  <si>
    <t>요동</t>
  </si>
  <si>
    <t>흔들림</t>
  </si>
  <si>
    <t>燒却</t>
  </si>
  <si>
    <t>소각</t>
  </si>
  <si>
    <t>불에 태워 없애 버림</t>
  </si>
  <si>
    <t>牽引</t>
  </si>
  <si>
    <t>견인</t>
  </si>
  <si>
    <t>끌어서 당김</t>
  </si>
  <si>
    <t>斬殺</t>
  </si>
  <si>
    <t>참살</t>
  </si>
  <si>
    <t>칼로 목을 베어 죽임</t>
  </si>
  <si>
    <t>返送</t>
  </si>
  <si>
    <t>도로 돌려보냄</t>
  </si>
  <si>
    <t>厭症</t>
  </si>
  <si>
    <t>염증</t>
  </si>
  <si>
    <t>싫은 생각이나 느낌. 또는 그런 반응</t>
  </si>
  <si>
    <t>但只</t>
  </si>
  <si>
    <t>단지</t>
  </si>
  <si>
    <t>다른 것이 아니라 오로지 / 다만</t>
  </si>
  <si>
    <t>碑銘</t>
  </si>
  <si>
    <t>비명</t>
  </si>
  <si>
    <t>비석에 새긴 글자</t>
  </si>
  <si>
    <t>療飢</t>
  </si>
  <si>
    <t>요기</t>
  </si>
  <si>
    <t>시장기를 겨우 면할 정도로 조금 먹음</t>
  </si>
  <si>
    <t>薄俸</t>
  </si>
  <si>
    <t>박봉</t>
  </si>
  <si>
    <t>적은 봉급</t>
  </si>
  <si>
    <t>保佑</t>
  </si>
  <si>
    <t>보우</t>
  </si>
  <si>
    <t>보호하고 도와줌</t>
  </si>
  <si>
    <t>築城</t>
  </si>
  <si>
    <t>축성</t>
  </si>
  <si>
    <t>성을 쌓음</t>
  </si>
  <si>
    <t>暴暑</t>
  </si>
  <si>
    <t>폭서</t>
  </si>
  <si>
    <t>무더위</t>
  </si>
  <si>
    <t>窒息</t>
  </si>
  <si>
    <t>질식</t>
  </si>
  <si>
    <t>숨이 막힘</t>
  </si>
  <si>
    <t>鎮痛</t>
  </si>
  <si>
    <t>진통</t>
  </si>
  <si>
    <t>아픔을 진정시킴</t>
  </si>
  <si>
    <t>悔改</t>
  </si>
  <si>
    <t>회개</t>
  </si>
  <si>
    <t>뉘우치고 고침</t>
  </si>
  <si>
    <t>爐邊</t>
  </si>
  <si>
    <t>노변</t>
  </si>
  <si>
    <t>난롯가. 화롯가</t>
  </si>
  <si>
    <t>긴축</t>
  </si>
  <si>
    <t>바짝 줄임</t>
  </si>
  <si>
    <t>踏步</t>
  </si>
  <si>
    <t>답보</t>
  </si>
  <si>
    <t>제자리걸음</t>
  </si>
  <si>
    <t>酷評</t>
  </si>
  <si>
    <t>혹평</t>
  </si>
  <si>
    <t>가혹하게 비평함</t>
  </si>
  <si>
    <t>誘惑</t>
  </si>
  <si>
    <t>유혹</t>
  </si>
  <si>
    <t>꾀어서 미혹하게 함</t>
  </si>
  <si>
    <t>白鷗</t>
  </si>
  <si>
    <t>백구</t>
  </si>
  <si>
    <t>흰 갈매기</t>
  </si>
  <si>
    <t>獵銃</t>
  </si>
  <si>
    <t>엽총</t>
  </si>
  <si>
    <t>사냥총</t>
  </si>
  <si>
    <t>巨艦</t>
  </si>
  <si>
    <t>거함</t>
  </si>
  <si>
    <t>큰 군함</t>
  </si>
  <si>
    <t>船舶</t>
  </si>
  <si>
    <t>선박</t>
  </si>
  <si>
    <t>城址</t>
  </si>
  <si>
    <t>성지</t>
  </si>
  <si>
    <t>성터</t>
  </si>
  <si>
    <t>艦艇</t>
  </si>
  <si>
    <t>함정</t>
  </si>
  <si>
    <t>군사용 배</t>
  </si>
  <si>
    <t>脫帽</t>
  </si>
  <si>
    <t>탈모</t>
  </si>
  <si>
    <t>모자 따위를 벗음</t>
  </si>
  <si>
    <t>紡織</t>
  </si>
  <si>
    <t>방직</t>
  </si>
  <si>
    <t>실을 뽑아서 천을 짬</t>
  </si>
  <si>
    <t>巡廻</t>
  </si>
  <si>
    <t>순회</t>
  </si>
  <si>
    <t>여러 곳을 돌아다님</t>
  </si>
  <si>
    <t>輔佐</t>
  </si>
  <si>
    <t>보좌</t>
  </si>
  <si>
    <t>상관이나 윗사람을 도와 일을 처리함</t>
  </si>
  <si>
    <t>田畓</t>
  </si>
  <si>
    <t>전답</t>
  </si>
  <si>
    <t>밭과 논</t>
  </si>
  <si>
    <t>承繼</t>
  </si>
  <si>
    <t>승계</t>
  </si>
  <si>
    <t>뒤를 이어 받음</t>
  </si>
  <si>
    <t>超越</t>
  </si>
  <si>
    <t>초월</t>
  </si>
  <si>
    <t>뛰어 넘음</t>
  </si>
  <si>
    <t>配匹</t>
  </si>
  <si>
    <t>배필</t>
  </si>
  <si>
    <t>부부(짝)</t>
  </si>
  <si>
    <t>禽獸</t>
  </si>
  <si>
    <t>금수</t>
  </si>
  <si>
    <t>짐승</t>
  </si>
  <si>
    <t>欺罔</t>
  </si>
  <si>
    <t>기망</t>
  </si>
  <si>
    <t>남을 속여 넘김</t>
  </si>
  <si>
    <t>勞役</t>
  </si>
  <si>
    <t>노역</t>
  </si>
  <si>
    <t>괴롭고 힘든 노동</t>
  </si>
  <si>
    <t>眉間</t>
  </si>
  <si>
    <t>미간</t>
  </si>
  <si>
    <t>눈썹 사이</t>
  </si>
  <si>
    <t>汚水</t>
  </si>
  <si>
    <t>오수</t>
  </si>
  <si>
    <t>더러운 물, 구정물</t>
  </si>
  <si>
    <t>稀壽</t>
  </si>
  <si>
    <t>희수</t>
  </si>
  <si>
    <t>일흔 살 (70세)</t>
  </si>
  <si>
    <t>乾坤</t>
  </si>
  <si>
    <t>건곤</t>
  </si>
  <si>
    <t>하늘과 땅, 천지</t>
  </si>
  <si>
    <t>異蹟</t>
  </si>
  <si>
    <t>이적</t>
  </si>
  <si>
    <t>기이한 행적, 기적</t>
  </si>
  <si>
    <t>길흉</t>
  </si>
  <si>
    <t>길한 일과 흉한 일</t>
  </si>
  <si>
    <t>看過</t>
  </si>
  <si>
    <t>간과</t>
  </si>
  <si>
    <t>대강 보아 넘기다</t>
  </si>
  <si>
    <t>街道</t>
  </si>
  <si>
    <t>가도</t>
  </si>
  <si>
    <t>시가지의 도로</t>
  </si>
  <si>
    <t>敬畏</t>
  </si>
  <si>
    <t>경외</t>
  </si>
  <si>
    <t>공경하고 두려워함</t>
  </si>
  <si>
    <t>叛徒</t>
  </si>
  <si>
    <t>반도</t>
  </si>
  <si>
    <t>반란을 꾀하는 무리</t>
  </si>
  <si>
    <t>隣邦</t>
  </si>
  <si>
    <t>인방</t>
  </si>
  <si>
    <t>이웃 나라</t>
  </si>
  <si>
    <t>餘談</t>
  </si>
  <si>
    <t>여담</t>
  </si>
  <si>
    <t>용건 밖의 이야기</t>
  </si>
  <si>
    <t>妥協</t>
  </si>
  <si>
    <t>타협</t>
  </si>
  <si>
    <t>두 편이 서로 좋도록 협의함</t>
  </si>
  <si>
    <t>偏僻</t>
  </si>
  <si>
    <t>편벽</t>
  </si>
  <si>
    <t>한 쪽으로 치우침</t>
  </si>
  <si>
    <t>疆土</t>
  </si>
  <si>
    <t>강토</t>
  </si>
  <si>
    <t>국경 안에 있는 땅</t>
  </si>
  <si>
    <t>匹夫</t>
  </si>
  <si>
    <t>필부</t>
  </si>
  <si>
    <t>한 사람의 남자</t>
  </si>
  <si>
    <t>棟樑</t>
  </si>
  <si>
    <t>동량</t>
  </si>
  <si>
    <t>기둥과 들보 (큰 인재)</t>
  </si>
  <si>
    <t>吉兆</t>
  </si>
  <si>
    <t>길조</t>
  </si>
  <si>
    <t>좋은 일이 있을 낌새</t>
  </si>
  <si>
    <t>預置</t>
  </si>
  <si>
    <t>예치</t>
  </si>
  <si>
    <t>맡기어 둠</t>
  </si>
  <si>
    <t>撤廢</t>
  </si>
  <si>
    <t>철폐</t>
  </si>
  <si>
    <t>거두어 없앰</t>
  </si>
  <si>
    <t>蠻行</t>
  </si>
  <si>
    <t>만행</t>
  </si>
  <si>
    <t>야만스러운 행동</t>
  </si>
  <si>
    <t>유약</t>
  </si>
  <si>
    <t>泣訴</t>
  </si>
  <si>
    <t>읍소</t>
  </si>
  <si>
    <t>눈물로 호소함</t>
  </si>
  <si>
    <t>浸濕</t>
  </si>
  <si>
    <t>침습</t>
  </si>
  <si>
    <t>물이 스며들어 젖음</t>
  </si>
  <si>
    <t>還給</t>
  </si>
  <si>
    <t>환급</t>
  </si>
  <si>
    <t>持參</t>
  </si>
  <si>
    <t>지참</t>
  </si>
  <si>
    <t>무엇을 가지고 가서 참석함</t>
  </si>
  <si>
    <t>국토. 국경 안에 있는 땅</t>
  </si>
  <si>
    <t>僑胞</t>
  </si>
  <si>
    <t>교포</t>
  </si>
  <si>
    <t>외국에 살고 있는 동포</t>
  </si>
  <si>
    <t>宣揚</t>
  </si>
  <si>
    <t>선양</t>
  </si>
  <si>
    <t>드러내어 널리 떨침</t>
  </si>
  <si>
    <t>焦眉</t>
  </si>
  <si>
    <t>초미</t>
  </si>
  <si>
    <t>눈썹에 불이 붙음 (매우 위급한 상황)</t>
  </si>
  <si>
    <t>刹那</t>
  </si>
  <si>
    <t>찰나</t>
  </si>
  <si>
    <t>극히 짧은 시간</t>
  </si>
  <si>
    <t>享年</t>
  </si>
  <si>
    <t>향년</t>
  </si>
  <si>
    <t>한평생 살아 누린 나이</t>
  </si>
  <si>
    <t>炊事</t>
  </si>
  <si>
    <t>취사</t>
  </si>
  <si>
    <t>음식을 장만하는 일</t>
  </si>
  <si>
    <t>養蠶</t>
  </si>
  <si>
    <t>양잠</t>
  </si>
  <si>
    <t>누에를 침</t>
  </si>
  <si>
    <t>歪曲</t>
  </si>
  <si>
    <t>왜곡</t>
  </si>
  <si>
    <t>사실과 다르게 해석하거나 그릇되게 함</t>
  </si>
  <si>
    <t>惹起</t>
  </si>
  <si>
    <t>야기</t>
  </si>
  <si>
    <t>일이나 사건 따위를 끌어 일으킴</t>
  </si>
  <si>
    <t>洗淨</t>
  </si>
  <si>
    <t>세정</t>
  </si>
  <si>
    <t>비석에 새긴 글</t>
  </si>
  <si>
    <t>奮起</t>
  </si>
  <si>
    <t>분기</t>
  </si>
  <si>
    <t>떨쳐 일어남</t>
  </si>
  <si>
    <t>搜査</t>
  </si>
  <si>
    <t>수사</t>
  </si>
  <si>
    <t>범죄 사건을 조사함</t>
  </si>
  <si>
    <t>遞信</t>
  </si>
  <si>
    <t>체신</t>
  </si>
  <si>
    <t>우편과 통신 업무</t>
  </si>
  <si>
    <t>猛爆</t>
  </si>
  <si>
    <t>맹폭</t>
  </si>
  <si>
    <t>맹렬한 폭격</t>
  </si>
  <si>
    <t>免侮</t>
  </si>
  <si>
    <t>면모</t>
  </si>
  <si>
    <t>모욕을 면함</t>
  </si>
  <si>
    <t>防弊</t>
  </si>
  <si>
    <t>방폐</t>
  </si>
  <si>
    <t>폐단을 막음</t>
  </si>
  <si>
    <t>爛熟</t>
  </si>
  <si>
    <t>란숙</t>
  </si>
  <si>
    <t>열매가 충분히 익거나 수준이 매우 높아짐</t>
  </si>
  <si>
    <t>滯空</t>
  </si>
  <si>
    <t>체공</t>
  </si>
  <si>
    <t>공중에 머물러 있음</t>
  </si>
  <si>
    <t>沃土</t>
  </si>
  <si>
    <t>옥토</t>
  </si>
  <si>
    <t>기름진 땅</t>
  </si>
  <si>
    <t>拙稿</t>
  </si>
  <si>
    <t>졸고</t>
  </si>
  <si>
    <t>자기의 원고를 겸손하게 이르는 말</t>
  </si>
  <si>
    <t>表裏</t>
  </si>
  <si>
    <t>표리</t>
  </si>
  <si>
    <t>愚僧</t>
  </si>
  <si>
    <t>우승</t>
  </si>
  <si>
    <t>어리석은 중 (자신을 낮추어 부르는 말)</t>
  </si>
  <si>
    <t>雲霧</t>
  </si>
  <si>
    <t>운무</t>
  </si>
  <si>
    <t>구름과 안개</t>
  </si>
  <si>
    <t>閨秀</t>
  </si>
  <si>
    <t>규수</t>
  </si>
  <si>
    <t>혼기에 이른 처녀</t>
  </si>
  <si>
    <t>補闕</t>
  </si>
  <si>
    <t>보궐</t>
  </si>
  <si>
    <t>빈자리를 채움</t>
  </si>
  <si>
    <t>哀悼</t>
  </si>
  <si>
    <t>애도</t>
  </si>
  <si>
    <t>사람의 죽음을 슬퍼함</t>
  </si>
  <si>
    <t>誤謬</t>
  </si>
  <si>
    <t>오류</t>
  </si>
  <si>
    <t>그릇되어 이치에 어긋남</t>
  </si>
  <si>
    <t>遮斷</t>
  </si>
  <si>
    <t>차단</t>
  </si>
  <si>
    <t>통하지 못하게 막거나 끊음</t>
  </si>
  <si>
    <t>紅裳</t>
  </si>
  <si>
    <t>홍상</t>
  </si>
  <si>
    <t>붉은 치마</t>
  </si>
  <si>
    <t>淡味</t>
  </si>
  <si>
    <t>담미</t>
  </si>
  <si>
    <t>심심한 맛</t>
  </si>
  <si>
    <t>꾸밈, 치장함</t>
  </si>
  <si>
    <t>訣別</t>
  </si>
  <si>
    <t>결별</t>
  </si>
  <si>
    <t>기약 없는 작별</t>
  </si>
  <si>
    <t>星霜</t>
  </si>
  <si>
    <t>성상</t>
  </si>
  <si>
    <t>세월(별과 서리)</t>
  </si>
  <si>
    <t>脫稿</t>
  </si>
  <si>
    <t>탈고</t>
  </si>
  <si>
    <t>원고 쓰기를 마침</t>
  </si>
  <si>
    <t>佳節</t>
  </si>
  <si>
    <t>가절</t>
  </si>
  <si>
    <t>좋은 시절이나 계절, 또는 좋은 명절</t>
  </si>
  <si>
    <t>돌려 보냄</t>
  </si>
  <si>
    <t>잠이 깊이 듦</t>
  </si>
  <si>
    <t>類似</t>
  </si>
  <si>
    <t>유사</t>
  </si>
  <si>
    <t>서로 비슷함</t>
  </si>
  <si>
    <t>본 줄기와 별 관계가 없는 이야기</t>
  </si>
  <si>
    <t>常綠樹</t>
  </si>
  <si>
    <t>상록수</t>
  </si>
  <si>
    <t>잎이 사철 푸른 나무</t>
  </si>
  <si>
    <t>遺志</t>
  </si>
  <si>
    <t>유지</t>
  </si>
  <si>
    <t>생전에 이루지 못하고 남긴 뜻</t>
  </si>
  <si>
    <t>추문</t>
  </si>
  <si>
    <t>좋지 못한 소문</t>
  </si>
  <si>
    <t>暴炎</t>
  </si>
  <si>
    <t>폭염</t>
  </si>
  <si>
    <t>심한 더위</t>
  </si>
  <si>
    <t>放牧</t>
  </si>
  <si>
    <t>방목</t>
  </si>
  <si>
    <t>가축을 넓은 터에 놓아 기름</t>
  </si>
  <si>
    <t>旅路</t>
  </si>
  <si>
    <t>여로</t>
  </si>
  <si>
    <t>여행길 또는 나그네 길</t>
  </si>
  <si>
    <t>周遊</t>
  </si>
  <si>
    <t>주유</t>
  </si>
  <si>
    <t>여기 저기 두루 다니며 구경함</t>
  </si>
  <si>
    <t>花粉</t>
  </si>
  <si>
    <t>화분</t>
  </si>
  <si>
    <t>꽃의 가루</t>
  </si>
  <si>
    <t>飛上</t>
  </si>
  <si>
    <t>비상</t>
  </si>
  <si>
    <t>공중으로 날아 오름</t>
  </si>
  <si>
    <t>彫琢</t>
  </si>
  <si>
    <t>조탁</t>
  </si>
  <si>
    <t>매끄럽게 다듬음</t>
  </si>
  <si>
    <t>干戈</t>
  </si>
  <si>
    <t>방패와 창이라는 뜻으로, 전쟁을 비유함</t>
  </si>
  <si>
    <t>절충</t>
  </si>
  <si>
    <t>가려서 알맞은 것을 얻음</t>
  </si>
  <si>
    <t>迎聘</t>
  </si>
  <si>
    <t>영빙</t>
  </si>
  <si>
    <t>남을 맞아들이어 모심</t>
  </si>
  <si>
    <t>滯拂</t>
  </si>
  <si>
    <t>체불</t>
  </si>
  <si>
    <t>지급이 연체됨</t>
  </si>
  <si>
    <t>前途</t>
  </si>
  <si>
    <t>전도</t>
  </si>
  <si>
    <t>앞으로 나아갈 길</t>
  </si>
  <si>
    <t>還俗</t>
  </si>
  <si>
    <t>환속</t>
  </si>
  <si>
    <t>중이 다시 속인이 됨</t>
  </si>
  <si>
    <t>未盡</t>
  </si>
  <si>
    <t>미진</t>
  </si>
  <si>
    <t>다하지 못함</t>
  </si>
  <si>
    <t>싫증</t>
  </si>
  <si>
    <t>頭髮</t>
  </si>
  <si>
    <t>두발</t>
  </si>
  <si>
    <t>머리털</t>
  </si>
  <si>
    <t>猛獸</t>
  </si>
  <si>
    <t>맹수</t>
  </si>
  <si>
    <t>사나운 짐승</t>
  </si>
  <si>
    <t>防腐</t>
  </si>
  <si>
    <t>방부</t>
  </si>
  <si>
    <t>썩지 않게 함</t>
  </si>
  <si>
    <t>周知</t>
  </si>
  <si>
    <t>주지</t>
  </si>
  <si>
    <t>여럿이 두루 앎</t>
  </si>
  <si>
    <t>崇仰</t>
  </si>
  <si>
    <t>숭앙</t>
  </si>
  <si>
    <t>높여 우러러 봄</t>
  </si>
  <si>
    <t>追慕</t>
  </si>
  <si>
    <t>추모</t>
  </si>
  <si>
    <t>죽은 사람을 그리며 생각함</t>
  </si>
  <si>
    <t>鎮火</t>
  </si>
  <si>
    <t>진화</t>
  </si>
  <si>
    <t>불이 난 것을 끔</t>
  </si>
  <si>
    <t>踏査</t>
  </si>
  <si>
    <t>답사</t>
  </si>
  <si>
    <t>현장에 가서 직접 보고 조사함</t>
  </si>
  <si>
    <t>固辭</t>
  </si>
  <si>
    <t>고사</t>
  </si>
  <si>
    <t>굳이 사양함</t>
  </si>
  <si>
    <t>小盤</t>
  </si>
  <si>
    <t>소반</t>
  </si>
  <si>
    <t>자그마한 밥상</t>
  </si>
  <si>
    <t>蠶農</t>
  </si>
  <si>
    <t>잠농</t>
  </si>
  <si>
    <t>누에를 쳐서 고치를 생산하는 농업</t>
  </si>
  <si>
    <t>災殃</t>
  </si>
  <si>
    <t>뜻하지 않게 생긴 불행한 변고</t>
  </si>
  <si>
    <t>貞節</t>
  </si>
  <si>
    <t>정절</t>
  </si>
  <si>
    <t>여자의 곧은 절개</t>
  </si>
  <si>
    <t>徵候</t>
  </si>
  <si>
    <t>징후</t>
  </si>
  <si>
    <t>겉으로 드러나는 낌새</t>
  </si>
  <si>
    <t>畫伯</t>
  </si>
  <si>
    <t>화백</t>
  </si>
  <si>
    <t>화가를 높여 이르는 말</t>
  </si>
  <si>
    <t>포식</t>
  </si>
  <si>
    <t>배부르게 먹음</t>
  </si>
  <si>
    <t>遮日</t>
  </si>
  <si>
    <t>차일</t>
  </si>
  <si>
    <t>햇볕을 가리기 위해 치는 포장</t>
  </si>
  <si>
    <t>祈雨</t>
  </si>
  <si>
    <t>기우</t>
  </si>
  <si>
    <t>날이 가물 때에 비가 오기를 빎</t>
  </si>
  <si>
    <t>生菜</t>
  </si>
  <si>
    <t>생채</t>
  </si>
  <si>
    <t>익히지 않고 날로 무친 나물</t>
  </si>
  <si>
    <t>專賣</t>
  </si>
  <si>
    <t>전매</t>
  </si>
  <si>
    <t>어떤 물건을 독점하여 팖</t>
  </si>
  <si>
    <t>雇用</t>
  </si>
  <si>
    <t>고용</t>
  </si>
  <si>
    <t>삯을 주고 사람을 부림</t>
  </si>
  <si>
    <t>叫聲</t>
  </si>
  <si>
    <t>규성</t>
  </si>
  <si>
    <t>부르짖는 소리</t>
  </si>
  <si>
    <t>濃霧</t>
  </si>
  <si>
    <t>농무</t>
  </si>
  <si>
    <t>짙은 안개</t>
  </si>
  <si>
    <t>隸屬</t>
  </si>
  <si>
    <t>예속</t>
  </si>
  <si>
    <t>남의 지배 아래 매임</t>
  </si>
  <si>
    <t>융성</t>
  </si>
  <si>
    <t>기운차게 높이 일어남</t>
  </si>
  <si>
    <t>畢竟</t>
  </si>
  <si>
    <t>필경</t>
  </si>
  <si>
    <t>끝장에 가서는, 마침내, 결국에는</t>
  </si>
  <si>
    <t>殆半</t>
  </si>
  <si>
    <t>태반</t>
  </si>
  <si>
    <t>거의 절반</t>
  </si>
  <si>
    <t>幾微</t>
  </si>
  <si>
    <t>기미</t>
  </si>
  <si>
    <t>낌새</t>
  </si>
  <si>
    <t>掌握</t>
  </si>
  <si>
    <t>장악</t>
  </si>
  <si>
    <t>손안에 잡아 무엇을 마음대로 함</t>
  </si>
  <si>
    <t>胎兒</t>
  </si>
  <si>
    <t>태아</t>
  </si>
  <si>
    <t>어머니 배 속에 있는 아이</t>
  </si>
  <si>
    <t>未決囚</t>
  </si>
  <si>
    <t>미결수</t>
  </si>
  <si>
    <t>판결이 나지 않은 채 구금된 피의자</t>
  </si>
  <si>
    <t>暗誦</t>
  </si>
  <si>
    <t>암송</t>
  </si>
  <si>
    <t>보지 않고 입으로 욈</t>
  </si>
  <si>
    <t>宗孫</t>
  </si>
  <si>
    <t>종손</t>
  </si>
  <si>
    <t>종가의 대를 이를 맏손자</t>
  </si>
  <si>
    <t>根幹</t>
  </si>
  <si>
    <t>근간</t>
  </si>
  <si>
    <t>뿌리와 줄기. 바탕이나 중심이 되는 중요한 것</t>
  </si>
  <si>
    <t>佛供</t>
  </si>
  <si>
    <t>불공</t>
  </si>
  <si>
    <t>부처 앞에 공양을 드림</t>
  </si>
  <si>
    <t>脫臭</t>
  </si>
  <si>
    <t>탈취</t>
  </si>
  <si>
    <t>냄새를 빼어 없앰</t>
  </si>
  <si>
    <t>互換</t>
  </si>
  <si>
    <t>호환</t>
  </si>
  <si>
    <t>서로 교환함</t>
  </si>
  <si>
    <t>瞬間</t>
  </si>
  <si>
    <t>순간</t>
  </si>
  <si>
    <t>아주 짧은 동안</t>
  </si>
  <si>
    <t>暗躍</t>
  </si>
  <si>
    <t>암약</t>
  </si>
  <si>
    <t>몰래 활동함</t>
  </si>
  <si>
    <t>朔望</t>
  </si>
  <si>
    <t>삭망</t>
  </si>
  <si>
    <t>음력 초하루와 보름</t>
  </si>
  <si>
    <t>脫盡</t>
  </si>
  <si>
    <t>탈진</t>
  </si>
  <si>
    <t>기운이 다 빠져 없어짐</t>
  </si>
  <si>
    <t>奇妙</t>
  </si>
  <si>
    <t>기묘</t>
  </si>
  <si>
    <t>기이하고 묘함</t>
  </si>
  <si>
    <t>寸陰</t>
  </si>
  <si>
    <t>촌음</t>
  </si>
  <si>
    <t>매우 짧은 시간</t>
  </si>
  <si>
    <t>赦免</t>
  </si>
  <si>
    <t>사면</t>
  </si>
  <si>
    <t>죄를 용서하여 형벌을 면제함</t>
  </si>
  <si>
    <t>遷都</t>
  </si>
  <si>
    <t>천도</t>
  </si>
  <si>
    <t>도읍을 옮김</t>
  </si>
  <si>
    <t>頃刻</t>
  </si>
  <si>
    <t>경각</t>
  </si>
  <si>
    <t>눈 깜빡할 사이. 아주 짧은 시간</t>
  </si>
  <si>
    <t>魯鈍</t>
  </si>
  <si>
    <t>노둔</t>
  </si>
  <si>
    <t>성격이 무디고 어리석음</t>
  </si>
  <si>
    <t>崩御</t>
  </si>
  <si>
    <t>붕어</t>
  </si>
  <si>
    <t>임금이 세상을 떠남을 높여 이르는 말</t>
  </si>
  <si>
    <t>欽慕</t>
  </si>
  <si>
    <t>흠모</t>
  </si>
  <si>
    <t>기쁜 마음으로 공경하며 사모함</t>
  </si>
  <si>
    <t>落膽</t>
  </si>
  <si>
    <t>낙담</t>
  </si>
  <si>
    <t>바라는 일이 뜻대로 되지 않아 마음이 몹시 상함</t>
  </si>
  <si>
    <t>幻聽</t>
  </si>
  <si>
    <t>환청</t>
  </si>
  <si>
    <t>실제로 나지 않는 소리가 들리는 것처럼 느껴지는 증상</t>
  </si>
  <si>
    <t>累卵</t>
  </si>
  <si>
    <t>누란</t>
  </si>
  <si>
    <t>포개어 놓은 알이라는 뜻으로, 대단히 위태로운 상태</t>
  </si>
  <si>
    <t>棟梁</t>
  </si>
  <si>
    <t>기둥과 들보라는 뜻으로, 한 집안이나 나라를 맡을 인재</t>
  </si>
  <si>
    <t>壓卷</t>
  </si>
  <si>
    <t>압권</t>
  </si>
  <si>
    <t>여러 책 중 가장 잘된 책이라는 뜻으로, 제일 뛰어난 부분</t>
  </si>
  <si>
    <t>不肖</t>
  </si>
  <si>
    <t>불초</t>
  </si>
  <si>
    <t>아버지를 닮지 않았다는 뜻으로, 못난 사람을 이르는 말</t>
  </si>
  <si>
    <t>白眼視</t>
  </si>
  <si>
    <t>백안시</t>
  </si>
  <si>
    <t>눈의 흰자위로 본다는 뜻으로, 남을 업신여기거나 무시함</t>
  </si>
  <si>
    <t>厄運</t>
  </si>
  <si>
    <t>액운</t>
  </si>
  <si>
    <t>재난을 당할 운수</t>
  </si>
  <si>
    <t>古稀</t>
  </si>
  <si>
    <t>고희</t>
  </si>
  <si>
    <t>사람 나이 일흔 살</t>
  </si>
  <si>
    <t>瑞雪</t>
  </si>
  <si>
    <t>서설</t>
  </si>
  <si>
    <t>상서로운 눈</t>
  </si>
  <si>
    <t>屢次</t>
  </si>
  <si>
    <t>루차</t>
  </si>
  <si>
    <t>여러 차례</t>
  </si>
  <si>
    <t>逸品</t>
  </si>
  <si>
    <t>일품</t>
  </si>
  <si>
    <t>아주 뛰어난 물품</t>
  </si>
  <si>
    <t>죄를 용서하여 형벌을 면제해 줌</t>
  </si>
  <si>
    <t>駿足</t>
  </si>
  <si>
    <t>준족</t>
  </si>
  <si>
    <t>빠르게 잘 달림 또는 뛰어난 인재</t>
  </si>
  <si>
    <t>辨償</t>
  </si>
  <si>
    <t>변상</t>
  </si>
  <si>
    <t>남에게 입힌 손해를 물어 줌</t>
  </si>
  <si>
    <t>사실과 다르게 그릇 해석함</t>
  </si>
  <si>
    <t>自炊</t>
  </si>
  <si>
    <t>자취</t>
  </si>
  <si>
    <t>직접 끼니를 지어 먹음</t>
  </si>
  <si>
    <t>남의 지배나 지휘 아래 매임</t>
  </si>
  <si>
    <t>要覽</t>
  </si>
  <si>
    <t>요람</t>
  </si>
  <si>
    <t>중요한 내용만 뽑아 간추려 놓은 책</t>
  </si>
  <si>
    <t>啟導</t>
  </si>
  <si>
    <t>계도</t>
  </si>
  <si>
    <t>남을 깨치어 이끌어 줌 / 일깨움</t>
  </si>
  <si>
    <t>中堅</t>
  </si>
  <si>
    <t>중견</t>
  </si>
  <si>
    <t>어떤 단체나 사회에서 중심이 되는 사람</t>
  </si>
  <si>
    <t>耐震</t>
  </si>
  <si>
    <t>내진</t>
  </si>
  <si>
    <t>지진을 견딤</t>
  </si>
  <si>
    <t>追徵</t>
  </si>
  <si>
    <t>추징</t>
  </si>
  <si>
    <t>뒤에 추가하여 징수함</t>
  </si>
  <si>
    <t>尖塔</t>
  </si>
  <si>
    <t>첨탑</t>
  </si>
  <si>
    <t>뾰족한 탑</t>
  </si>
  <si>
    <t>혐오</t>
  </si>
  <si>
    <t>辛酸</t>
  </si>
  <si>
    <t>신산</t>
  </si>
  <si>
    <t>맵고 심 (세상의 고생스러운 맛)</t>
  </si>
  <si>
    <t>冬眠</t>
  </si>
  <si>
    <t>동면</t>
  </si>
  <si>
    <t>겨울잠</t>
  </si>
  <si>
    <t>伯父</t>
  </si>
  <si>
    <t>백부</t>
  </si>
  <si>
    <t>큰아버지</t>
  </si>
  <si>
    <t>豐盛</t>
  </si>
  <si>
    <t>풍성</t>
  </si>
  <si>
    <t>넉넉하고 많음</t>
  </si>
  <si>
    <t>白手</t>
  </si>
  <si>
    <t>백수</t>
  </si>
  <si>
    <t>직업도 없이 빈둥거리며 놀고먹는 사람</t>
  </si>
  <si>
    <t>非凡</t>
  </si>
  <si>
    <t>비범</t>
  </si>
  <si>
    <t>보통 수준보다 훨씬 뛰어남</t>
  </si>
  <si>
    <t>炎天</t>
  </si>
  <si>
    <t>염천</t>
  </si>
  <si>
    <t>여름의 몹시 더운 날씨</t>
  </si>
  <si>
    <t>移住</t>
  </si>
  <si>
    <t>이주</t>
  </si>
  <si>
    <t>집을 옮겨 삶</t>
  </si>
  <si>
    <t>歸天</t>
  </si>
  <si>
    <t>귀천</t>
  </si>
  <si>
    <t>죽음</t>
  </si>
  <si>
    <t>陵蔑</t>
  </si>
  <si>
    <t>능멸</t>
  </si>
  <si>
    <t>銅鏡</t>
  </si>
  <si>
    <t>동경</t>
  </si>
  <si>
    <t>구리로 만든 거울</t>
  </si>
  <si>
    <t>빛을 가림</t>
  </si>
  <si>
    <t>화롯가</t>
  </si>
  <si>
    <t>塵埃</t>
  </si>
  <si>
    <t>진애</t>
  </si>
  <si>
    <t>티끌과 먼지</t>
  </si>
  <si>
    <t>戰艦</t>
  </si>
  <si>
    <t>전함</t>
  </si>
  <si>
    <t>싸움 배</t>
  </si>
  <si>
    <t>餘暇</t>
  </si>
  <si>
    <t>여가</t>
  </si>
  <si>
    <t>한가로운 겨를이나 시간</t>
  </si>
  <si>
    <t>奔忙</t>
  </si>
  <si>
    <t>분망</t>
  </si>
  <si>
    <t>매우 바쁨</t>
  </si>
  <si>
    <t>屢代</t>
  </si>
  <si>
    <t>누대</t>
  </si>
  <si>
    <t>여러 세대</t>
  </si>
  <si>
    <t>임금이 세상을 떠남</t>
  </si>
  <si>
    <t>醜貌</t>
  </si>
  <si>
    <t>흉한 용모나 보기 싫은 모습</t>
  </si>
  <si>
    <t>銳智</t>
  </si>
  <si>
    <t>예지</t>
  </si>
  <si>
    <t>날카롭고 뛰어난 슬기(지혜)</t>
  </si>
  <si>
    <t>敎唆</t>
  </si>
  <si>
    <t>교사</t>
  </si>
  <si>
    <t>남을 부추겨서 나쁜 짓을 하게 함</t>
  </si>
  <si>
    <t>覓得</t>
  </si>
  <si>
    <t>멱득</t>
  </si>
  <si>
    <t>찾아서 얻음</t>
  </si>
  <si>
    <t>被拉</t>
  </si>
  <si>
    <t>피라</t>
  </si>
  <si>
    <t>납치를 당함</t>
  </si>
  <si>
    <t>攝政</t>
  </si>
  <si>
    <t>섭정</t>
  </si>
  <si>
    <t>임금을 도와 대신 나라를 다스림</t>
  </si>
  <si>
    <t>街販</t>
  </si>
  <si>
    <t>가판</t>
  </si>
  <si>
    <t>거리 판매</t>
  </si>
  <si>
    <t>舞姬</t>
  </si>
  <si>
    <t>무희</t>
  </si>
  <si>
    <t>춤추는 것을 직업으로 하는 여자</t>
  </si>
  <si>
    <t>汎稱</t>
  </si>
  <si>
    <t>범칭</t>
  </si>
  <si>
    <t>넓은 범위로 부르는 이름</t>
  </si>
  <si>
    <t>濯足</t>
  </si>
  <si>
    <t>탁족</t>
  </si>
  <si>
    <t>발을 씻음</t>
  </si>
  <si>
    <t>鷹視</t>
  </si>
  <si>
    <t>응시</t>
  </si>
  <si>
    <t>매처럼 날카롭게 노려봄</t>
  </si>
  <si>
    <t>專橫</t>
  </si>
  <si>
    <t>전횡</t>
  </si>
  <si>
    <t>제 마음대로 함</t>
  </si>
  <si>
    <t>分娩</t>
  </si>
  <si>
    <t>분만</t>
  </si>
  <si>
    <t>아이를 낳음</t>
  </si>
  <si>
    <t>기아</t>
  </si>
  <si>
    <t>쓰개(모자)를 벗음</t>
  </si>
  <si>
    <t>熊膽</t>
  </si>
  <si>
    <t>웅담</t>
  </si>
  <si>
    <t>곰쓸개</t>
  </si>
  <si>
    <t>滑氷</t>
  </si>
  <si>
    <t>활빙</t>
  </si>
  <si>
    <t>얼음지치기</t>
  </si>
  <si>
    <t>露天</t>
  </si>
  <si>
    <t>노천</t>
  </si>
  <si>
    <t>한데</t>
  </si>
  <si>
    <t>胡蝶</t>
  </si>
  <si>
    <t>호접</t>
  </si>
  <si>
    <t>나비</t>
  </si>
  <si>
    <t>模型</t>
  </si>
  <si>
    <t>모형</t>
  </si>
  <si>
    <t>틀</t>
  </si>
  <si>
    <t>許施</t>
  </si>
  <si>
    <t>허시</t>
  </si>
  <si>
    <t>청하는 대로 시행함</t>
  </si>
  <si>
    <t>어떤 일이 일어날 낌새</t>
  </si>
  <si>
    <t>繼體</t>
  </si>
  <si>
    <t>계체</t>
  </si>
  <si>
    <t>조상의 뒤를 이음</t>
  </si>
  <si>
    <t>棋盤</t>
  </si>
  <si>
    <t>기반</t>
  </si>
  <si>
    <t>바둑판</t>
  </si>
  <si>
    <t>開顯</t>
  </si>
  <si>
    <t>개현</t>
  </si>
  <si>
    <t>열어서 나타냄</t>
  </si>
  <si>
    <t>掘削</t>
  </si>
  <si>
    <t>굴삭</t>
  </si>
  <si>
    <t>땅파기</t>
  </si>
  <si>
    <t>기둥</t>
  </si>
  <si>
    <t>濫伐</t>
  </si>
  <si>
    <t>남벌</t>
  </si>
  <si>
    <t>마구 베기</t>
  </si>
  <si>
    <t>공헌</t>
  </si>
  <si>
    <t>이바지</t>
  </si>
  <si>
    <t>濃墨</t>
  </si>
  <si>
    <t>농묵</t>
  </si>
  <si>
    <t>진한 먹물, 짙은 먹, 짙은 먹빛</t>
  </si>
  <si>
    <t>弔鍾</t>
  </si>
  <si>
    <t>조종</t>
  </si>
  <si>
    <t>애도의 뜻으로 치는 종. 일의 마지막을 비유함.</t>
  </si>
  <si>
    <t>勉勵</t>
  </si>
  <si>
    <t>면려</t>
  </si>
  <si>
    <t>스스로 힘씀.</t>
  </si>
  <si>
    <t>지급이 연체됨.</t>
  </si>
  <si>
    <t>伐草</t>
  </si>
  <si>
    <t>벌초</t>
  </si>
  <si>
    <t>무덤의 풀을 베어서 깨끗이 함.</t>
  </si>
  <si>
    <t>寬免</t>
  </si>
  <si>
    <t>관면</t>
  </si>
  <si>
    <t>죄나 허물을 너그럽게 용서함.</t>
  </si>
  <si>
    <t>腐爛</t>
  </si>
  <si>
    <t>부란</t>
  </si>
  <si>
    <t>썩어서 문드러짐.</t>
  </si>
  <si>
    <t>款談</t>
  </si>
  <si>
    <t>관담</t>
  </si>
  <si>
    <t>정다움을 터놓고 하는 이야기.</t>
  </si>
  <si>
    <t>남을 맞아들이어 모심.</t>
  </si>
  <si>
    <t>葛籠</t>
  </si>
  <si>
    <t>갈롱</t>
  </si>
  <si>
    <t>의복을 넣어 두는 바구니나 농.</t>
  </si>
  <si>
    <t>耆蒙</t>
  </si>
  <si>
    <t>기몽</t>
  </si>
  <si>
    <t>노인과 아이.</t>
  </si>
  <si>
    <t>坑陷</t>
  </si>
  <si>
    <t>갱함</t>
  </si>
  <si>
    <t>땅이 꺼져서 생긴 구덩이</t>
  </si>
  <si>
    <t>越墻</t>
  </si>
  <si>
    <t>월장</t>
  </si>
  <si>
    <t>담을 넘음</t>
  </si>
  <si>
    <t>(옥 등을) 새기거나 쪼고 매끄럽게 다듬음</t>
  </si>
  <si>
    <t>節儉</t>
  </si>
  <si>
    <t>절검</t>
  </si>
  <si>
    <t>절약하고 검소하게 함</t>
  </si>
  <si>
    <t>僻居</t>
  </si>
  <si>
    <t>벽거</t>
  </si>
  <si>
    <t>궁벽한 곳에 삶</t>
  </si>
  <si>
    <t>전쟁 (방패와 창)</t>
  </si>
  <si>
    <t>輪廻</t>
  </si>
  <si>
    <t>윤회</t>
  </si>
  <si>
    <t>차례로 돌아감</t>
  </si>
  <si>
    <t>顯彰</t>
  </si>
  <si>
    <t>현창</t>
  </si>
  <si>
    <t>밝게 나타남 (나타냄)</t>
  </si>
  <si>
    <t>厥者</t>
  </si>
  <si>
    <t>궐자</t>
  </si>
  <si>
    <t>그자, 그 사람</t>
  </si>
  <si>
    <t>噫嗚</t>
  </si>
  <si>
    <t>희오</t>
  </si>
  <si>
    <t>아아 (탄식 소리)</t>
  </si>
  <si>
    <t>微少</t>
  </si>
  <si>
    <t>미소</t>
  </si>
  <si>
    <t>아주 적음</t>
  </si>
  <si>
    <t>巷說</t>
  </si>
  <si>
    <t>항설</t>
  </si>
  <si>
    <t>거리에 떠도는 말 또는 뜬소문</t>
  </si>
  <si>
    <t>高阜</t>
  </si>
  <si>
    <t>고부</t>
  </si>
  <si>
    <t>높은 언덕</t>
  </si>
  <si>
    <t>혐악</t>
  </si>
  <si>
    <t>削除</t>
  </si>
  <si>
    <t>삭제</t>
  </si>
  <si>
    <t>깎아 없앰, 지워버림</t>
  </si>
  <si>
    <t>料量</t>
  </si>
  <si>
    <t>요량</t>
  </si>
  <si>
    <t>앞뒤 사정을 헤아림</t>
  </si>
  <si>
    <t>縫針</t>
  </si>
  <si>
    <t>봉침</t>
  </si>
  <si>
    <t>바느질하는 바늘</t>
  </si>
  <si>
    <t>粟米</t>
  </si>
  <si>
    <t>속미</t>
  </si>
  <si>
    <t>좁쌀</t>
  </si>
  <si>
    <t>傾斜</t>
  </si>
  <si>
    <t>경사</t>
  </si>
  <si>
    <t>비스듬히 기울어짐</t>
  </si>
  <si>
    <t>醴酒</t>
  </si>
  <si>
    <t>예주</t>
  </si>
  <si>
    <t>단술</t>
  </si>
  <si>
    <t>蘆笛</t>
  </si>
  <si>
    <t>노적</t>
  </si>
  <si>
    <t>갈피리</t>
  </si>
  <si>
    <t>蓬艾</t>
  </si>
  <si>
    <t>봉애</t>
  </si>
  <si>
    <t>쑥</t>
  </si>
  <si>
    <t>釣針</t>
  </si>
  <si>
    <t>조침</t>
  </si>
  <si>
    <t>낚시</t>
  </si>
  <si>
    <t>樹藝</t>
  </si>
  <si>
    <t>수예</t>
  </si>
  <si>
    <t>곡식이나 나무 등을 심어 가꿈</t>
  </si>
  <si>
    <t>迎接</t>
  </si>
  <si>
    <t>영접</t>
  </si>
  <si>
    <t>손님을 맞아서 응접함</t>
  </si>
  <si>
    <t>仲媒</t>
  </si>
  <si>
    <t>중매</t>
  </si>
  <si>
    <t>두 사이에서 혼인이 이루어지게 함</t>
  </si>
  <si>
    <t>蒼松</t>
  </si>
  <si>
    <t>창송</t>
  </si>
  <si>
    <t>푸른 소나무</t>
  </si>
  <si>
    <t>漂泊</t>
  </si>
  <si>
    <t>표박</t>
  </si>
  <si>
    <t>浩汗</t>
  </si>
  <si>
    <t>호한</t>
  </si>
  <si>
    <t>넓고 커서 끝이 없음</t>
  </si>
  <si>
    <t>현하</t>
  </si>
  <si>
    <t>가파른 곳을 흐르는 급한 물줄기</t>
  </si>
  <si>
    <t>縮刷</t>
  </si>
  <si>
    <t>축쇄</t>
  </si>
  <si>
    <t>인쇄물을 본래보다 줄여서 박음</t>
  </si>
  <si>
    <t>자기 원고를 겸손하게 이르는 말</t>
  </si>
  <si>
    <t>幽魂</t>
  </si>
  <si>
    <t>유혼</t>
  </si>
  <si>
    <t>죽은 사람의 넋</t>
  </si>
  <si>
    <t>繩索</t>
  </si>
  <si>
    <t>승색</t>
  </si>
  <si>
    <t>노와 새끼</t>
  </si>
  <si>
    <t>鄕信</t>
  </si>
  <si>
    <t>향신</t>
  </si>
  <si>
    <t>고향 소식</t>
  </si>
  <si>
    <t>손안에 잡아 쥠</t>
  </si>
  <si>
    <t>티끌</t>
  </si>
  <si>
    <t>邪鬼</t>
  </si>
  <si>
    <t>사귀</t>
  </si>
  <si>
    <t>요사스러운 귀신</t>
  </si>
  <si>
    <t>썩지 못하게 함</t>
  </si>
  <si>
    <t>微睡</t>
  </si>
  <si>
    <t>미수</t>
  </si>
  <si>
    <t>잠시 눈을 붙임</t>
  </si>
  <si>
    <t>審査</t>
  </si>
  <si>
    <t>심사</t>
  </si>
  <si>
    <t>자세히 조사함</t>
  </si>
  <si>
    <t>運航</t>
  </si>
  <si>
    <t>운항</t>
  </si>
  <si>
    <t>배 또는 항공기에 화물 여객 등을 싣고 항행함</t>
  </si>
  <si>
    <t>惟獨</t>
  </si>
  <si>
    <t>유독</t>
  </si>
  <si>
    <t>많은 가운데 홀로</t>
  </si>
  <si>
    <t>恣行</t>
  </si>
  <si>
    <t>자행</t>
  </si>
  <si>
    <t>제멋대로 함 또는 방자하게 굴다</t>
  </si>
  <si>
    <t>보석 따위를 새기거나 글 따위를 다듬음</t>
  </si>
  <si>
    <t>兢懼</t>
  </si>
  <si>
    <t>긍구</t>
  </si>
  <si>
    <t>삼가고 두려워함</t>
  </si>
  <si>
    <t>窒礙</t>
  </si>
  <si>
    <t>질애</t>
  </si>
  <si>
    <t>막혀서 방해가 됨</t>
  </si>
  <si>
    <t>撤收</t>
  </si>
  <si>
    <t>철수</t>
  </si>
  <si>
    <t>거두어들이거나 걷어치움. 또는 진출했던 곳에서 장비를 거두고 물러남.</t>
  </si>
  <si>
    <t>拘礙</t>
  </si>
  <si>
    <t>구애</t>
  </si>
  <si>
    <t>거리끼거나 얽매임.</t>
  </si>
  <si>
    <t>粉塵</t>
  </si>
  <si>
    <t>분진</t>
  </si>
  <si>
    <t>가루처럼 아주 가는 티와 먼지.</t>
  </si>
  <si>
    <t>飼畜</t>
  </si>
  <si>
    <t>사축</t>
  </si>
  <si>
    <t>가축을 기름.</t>
  </si>
  <si>
    <t>濃縮</t>
  </si>
  <si>
    <t>농축</t>
  </si>
  <si>
    <t>액체를 진하게 또는 바짝 졸임. 또는 물질의 농도가 올라감.</t>
  </si>
  <si>
    <t>(怡和)</t>
  </si>
  <si>
    <t>배꽃</t>
  </si>
  <si>
    <t>梨花</t>
  </si>
  <si>
    <t>이화</t>
  </si>
  <si>
    <t>(滋案)</t>
  </si>
  <si>
    <t>자애로운 얼굴</t>
  </si>
  <si>
    <t>慈顔</t>
  </si>
  <si>
    <t>자안</t>
  </si>
  <si>
    <t>(碑銘)</t>
  </si>
  <si>
    <t>제명대로 다 살지 못하고 죽음</t>
  </si>
  <si>
    <t>非命</t>
  </si>
  <si>
    <t>(彈射)</t>
  </si>
  <si>
    <t>몹시 감탄하여 하는 말</t>
  </si>
  <si>
    <t>歎辭</t>
  </si>
  <si>
    <t>탄사</t>
  </si>
  <si>
    <t>(罷經)</t>
  </si>
  <si>
    <t>깨어진 거울 (이혼)</t>
  </si>
  <si>
    <t>破鏡</t>
  </si>
  <si>
    <t>파경</t>
  </si>
  <si>
    <t>(是非)</t>
  </si>
  <si>
    <t>거름 주기</t>
  </si>
  <si>
    <t>施肥</t>
  </si>
  <si>
    <t>시비</t>
  </si>
  <si>
    <t>(享受)</t>
  </si>
  <si>
    <t>고향을 그리워하는 마음</t>
  </si>
  <si>
    <t>鄕愁</t>
  </si>
  <si>
    <t>향수</t>
  </si>
  <si>
    <t>(羽片)</t>
  </si>
  <si>
    <t>서신이나 물품을 보냄</t>
  </si>
  <si>
    <t>郵便</t>
  </si>
  <si>
    <t>우편</t>
  </si>
  <si>
    <t>(私約)</t>
  </si>
  <si>
    <t>임금이 독약을 내림</t>
  </si>
  <si>
    <t>賜藥</t>
  </si>
  <si>
    <t>사약</t>
  </si>
  <si>
    <t>(反譯)</t>
  </si>
  <si>
    <t>나라와 겨레를 배반함</t>
  </si>
  <si>
    <t>叛逆</t>
  </si>
  <si>
    <t>반역</t>
  </si>
  <si>
    <t>(好顏)</t>
  </si>
  <si>
    <t>호수의 기슭</t>
  </si>
  <si>
    <t>湖岸</t>
  </si>
  <si>
    <t>호안</t>
  </si>
  <si>
    <t>(蘭芝)</t>
  </si>
  <si>
    <t>따뜻한 곳이나 지방</t>
  </si>
  <si>
    <t>暖地</t>
  </si>
  <si>
    <t>난지</t>
  </si>
  <si>
    <t>(修辭)</t>
  </si>
  <si>
    <t>찾아서 조사함</t>
  </si>
  <si>
    <t>搜查</t>
  </si>
  <si>
    <t>(棋院)</t>
  </si>
  <si>
    <t>바라는 일이 이루어지기를 빎</t>
  </si>
  <si>
    <t>祈願</t>
  </si>
  <si>
    <t>기원</t>
  </si>
  <si>
    <t>(陳腐)</t>
  </si>
  <si>
    <t>참됨과 거짓됨</t>
  </si>
  <si>
    <t>眞否</t>
  </si>
  <si>
    <t>(當劑)</t>
  </si>
  <si>
    <t>마을 신에게 공동으로 지내는 제사</t>
  </si>
  <si>
    <t>堂祭</t>
  </si>
  <si>
    <t>당제</t>
  </si>
  <si>
    <t>(垈田)</t>
  </si>
  <si>
    <t>임금이 거처하는 궁전</t>
  </si>
  <si>
    <t>大殿</t>
  </si>
  <si>
    <t>대전</t>
  </si>
  <si>
    <t>(綿織)</t>
  </si>
  <si>
    <t>일정한 직위나 직무에서 물러나게 함</t>
  </si>
  <si>
    <t>免職</t>
  </si>
  <si>
    <t>면직</t>
  </si>
  <si>
    <t>(悼詞)</t>
  </si>
  <si>
    <t>헛되이 죽음</t>
  </si>
  <si>
    <t>徒死</t>
  </si>
  <si>
    <t>도사</t>
  </si>
  <si>
    <t>(皮靴)</t>
  </si>
  <si>
    <t>재화를 피함</t>
  </si>
  <si>
    <t>避禍</t>
  </si>
  <si>
    <t>피화</t>
  </si>
  <si>
    <t>(書食)</t>
  </si>
  <si>
    <t>주식회사의 자본을 구성하는 단위</t>
  </si>
  <si>
    <t>株式</t>
  </si>
  <si>
    <t>주식</t>
  </si>
  <si>
    <t>(地文)</t>
  </si>
  <si>
    <t>손가락 끝마디 안쪽에 있는 살갗의 무늬</t>
  </si>
  <si>
    <t>指紋</t>
  </si>
  <si>
    <t>지문</t>
  </si>
  <si>
    <t>(傷悲)</t>
  </si>
  <si>
    <t>필요할 때에 쓸 수 있게 늘 갖추어 둠</t>
  </si>
  <si>
    <t>常備</t>
  </si>
  <si>
    <t>상비</t>
  </si>
  <si>
    <t>(東京)</t>
  </si>
  <si>
    <t>(蜜蜂)</t>
  </si>
  <si>
    <t>단단히 붙여서 봉함</t>
  </si>
  <si>
    <t>密封</t>
  </si>
  <si>
    <t>밀봉</t>
  </si>
  <si>
    <t>(鴻雁)</t>
  </si>
  <si>
    <t>젊어서 혈색이 좋은 얼굴</t>
  </si>
  <si>
    <t>紅顔</t>
  </si>
  <si>
    <t>홍안</t>
  </si>
  <si>
    <t>(酷稅)</t>
  </si>
  <si>
    <t>어지러운 세상</t>
  </si>
  <si>
    <t>惑世</t>
  </si>
  <si>
    <t>혹세</t>
  </si>
  <si>
    <t>(虎威)</t>
  </si>
  <si>
    <t>따라다니며 곁에서 보호하고 지킴</t>
  </si>
  <si>
    <t>護衛</t>
  </si>
  <si>
    <t>호위</t>
  </si>
  <si>
    <t>(獻呈)</t>
  </si>
  <si>
    <t>헌법에 따라 행하는 정치</t>
  </si>
  <si>
    <t>憲政</t>
  </si>
  <si>
    <t>헌정</t>
  </si>
  <si>
    <t>(硯滴)</t>
  </si>
  <si>
    <t>연애의 경쟁자</t>
  </si>
  <si>
    <t>戀敵</t>
  </si>
  <si>
    <t>연적</t>
  </si>
  <si>
    <t>(彈性)</t>
  </si>
  <si>
    <t>몹시 한탄하거나 탄식하는 소리</t>
  </si>
  <si>
    <t>歎聲</t>
  </si>
  <si>
    <t>탄성</t>
  </si>
  <si>
    <t>(逐邪)</t>
  </si>
  <si>
    <t>가축을 기르는 건물</t>
  </si>
  <si>
    <t>畜舍</t>
  </si>
  <si>
    <t>축사</t>
  </si>
  <si>
    <t>(醜像)</t>
  </si>
  <si>
    <t>여럿 가운데서 뽑아 내어 상을 줌</t>
  </si>
  <si>
    <t>抽賞</t>
  </si>
  <si>
    <t>추상</t>
  </si>
  <si>
    <t>(初婚)</t>
  </si>
  <si>
    <t>사람이 죽었을 때에, 그 혼을 소리쳐 부르는 일</t>
  </si>
  <si>
    <t>招魂</t>
  </si>
  <si>
    <t>초혼</t>
  </si>
  <si>
    <t>(立夏)</t>
  </si>
  <si>
    <t>짐이나 상품 따위가 들어옴</t>
  </si>
  <si>
    <t>入荷</t>
  </si>
  <si>
    <t>입하</t>
  </si>
  <si>
    <t>(浮式)</t>
  </si>
  <si>
    <t>동식물의 썩은 것을 먹음</t>
  </si>
  <si>
    <t>腐食</t>
  </si>
  <si>
    <t>부식</t>
  </si>
  <si>
    <t>(粉炭)</t>
  </si>
  <si>
    <t>몹시 분하게 여김</t>
  </si>
  <si>
    <t>憤歎</t>
  </si>
  <si>
    <t>분탄</t>
  </si>
  <si>
    <t>(不恐)</t>
  </si>
  <si>
    <t>(私憾)</t>
  </si>
  <si>
    <t>기숙생들의 생활을 지도하고 감독하는 사람</t>
  </si>
  <si>
    <t>舍監</t>
  </si>
  <si>
    <t>사감</t>
  </si>
  <si>
    <t>(酸基)</t>
  </si>
  <si>
    <t>달이 찬 임산부가 아이를 낳으려는 기미</t>
  </si>
  <si>
    <t>產氣</t>
  </si>
  <si>
    <t>산기</t>
  </si>
  <si>
    <t>(加階)</t>
  </si>
  <si>
    <t>집닭</t>
  </si>
  <si>
    <t>家鷄</t>
  </si>
  <si>
    <t>가계</t>
  </si>
  <si>
    <t>(邦治)</t>
  </si>
  <si>
    <t>내버려 둠</t>
  </si>
  <si>
    <t>放置</t>
  </si>
  <si>
    <t>방치</t>
  </si>
  <si>
    <t>(死守)</t>
  </si>
  <si>
    <t>대포나 총, 활 따위를 쏘는 사람</t>
  </si>
  <si>
    <t>射手</t>
  </si>
  <si>
    <t>사수</t>
  </si>
  <si>
    <t>(譲渡)</t>
  </si>
  <si>
    <t>좋은 칼</t>
  </si>
  <si>
    <t>良刀</t>
  </si>
  <si>
    <t>양도</t>
  </si>
  <si>
    <t>(胎盤)</t>
  </si>
  <si>
    <t>반수 이상</t>
  </si>
  <si>
    <t>太半</t>
  </si>
  <si>
    <t>(加補)</t>
  </si>
  <si>
    <t>한 집안의 친족 관계나 내력을 계통적으로 적은 책</t>
  </si>
  <si>
    <t>家譜</t>
  </si>
  <si>
    <t>가보</t>
  </si>
  <si>
    <t>(幹枝)</t>
  </si>
  <si>
    <t>간곡한 뜻</t>
  </si>
  <si>
    <t>懇志</t>
  </si>
  <si>
    <t>간지</t>
  </si>
  <si>
    <t>(酸性)</t>
  </si>
  <si>
    <t>산 위에 쌓은 성</t>
  </si>
  <si>
    <t>山城</t>
  </si>
  <si>
    <t>산성</t>
  </si>
  <si>
    <t>(常經)</t>
  </si>
  <si>
    <t>기껍고 경사스러운 일</t>
  </si>
  <si>
    <t>祥慶</t>
  </si>
  <si>
    <t>상경</t>
  </si>
  <si>
    <t>(序詞)</t>
  </si>
  <si>
    <t>사실을 있는 그대로 적음</t>
  </si>
  <si>
    <t>敍事</t>
  </si>
  <si>
    <t>서사</t>
  </si>
  <si>
    <t>(簡選)</t>
  </si>
  <si>
    <t>도로, 철도 등에서 줄기가 되는 주요한 선</t>
  </si>
  <si>
    <t>幹線</t>
  </si>
  <si>
    <t>간선</t>
  </si>
  <si>
    <t>(熟質)</t>
  </si>
  <si>
    <t>叔姪</t>
  </si>
  <si>
    <t>숙질</t>
  </si>
  <si>
    <t>(初月)</t>
  </si>
  <si>
    <t>한계나 표준을 뛰어넘음</t>
  </si>
  <si>
    <t>(抵掌)</t>
  </si>
  <si>
    <t>물건이나 재화 따위를 모아서 간수함</t>
  </si>
  <si>
    <t>貯藏</t>
  </si>
  <si>
    <t>저장</t>
  </si>
  <si>
    <t>(慰靈)</t>
  </si>
  <si>
    <t>명령을 어김</t>
  </si>
  <si>
    <t>違令</t>
  </si>
  <si>
    <t>위령</t>
  </si>
  <si>
    <t>(稅布)</t>
  </si>
  <si>
    <t>생물체를 이루는 기본 단위</t>
  </si>
  <si>
    <t>細胞</t>
  </si>
  <si>
    <t>세포</t>
  </si>
  <si>
    <t>(柔道)</t>
  </si>
  <si>
    <t>사람이나 물건을 목적한 장소나 방향으로 이끎</t>
  </si>
  <si>
    <t>誘導</t>
  </si>
  <si>
    <t>유도</t>
  </si>
  <si>
    <t>(報告)</t>
  </si>
  <si>
    <t>귀중한 물건을 간수해 두는 창고</t>
  </si>
  <si>
    <t>寶庫</t>
  </si>
  <si>
    <t>보고</t>
  </si>
  <si>
    <t>(未盡)</t>
  </si>
  <si>
    <t>진도 1의 약한 지진</t>
  </si>
  <si>
    <t>微震</t>
  </si>
  <si>
    <t>(戰果)</t>
  </si>
  <si>
    <t>학과 따위를 옮김</t>
  </si>
  <si>
    <t>轉科</t>
  </si>
  <si>
    <t>전과</t>
  </si>
  <si>
    <t>(婚需)</t>
  </si>
  <si>
    <t>정신없이 잠이 듦</t>
  </si>
  <si>
    <t>昏睡</t>
  </si>
  <si>
    <t>혼수</t>
  </si>
  <si>
    <t>(孤寂)</t>
  </si>
  <si>
    <t>북과 피리</t>
  </si>
  <si>
    <t>鼓笛</t>
  </si>
  <si>
    <t>고적</t>
  </si>
  <si>
    <t>(沙器)</t>
  </si>
  <si>
    <t>나쁜 꾀로 남을 속임</t>
  </si>
  <si>
    <t>詐欺</t>
  </si>
  <si>
    <t>사기</t>
  </si>
  <si>
    <t>(干支)</t>
  </si>
  <si>
    <t>식물의 줄기와 가지</t>
  </si>
  <si>
    <t>幹枝</t>
  </si>
  <si>
    <t>(筆耕)</t>
  </si>
  <si>
    <t>끝장에 가서는</t>
  </si>
  <si>
    <t>(制空)</t>
  </si>
  <si>
    <t>무엇을 내주거나 갖다 바침</t>
  </si>
  <si>
    <t>提供</t>
  </si>
  <si>
    <t>제공</t>
  </si>
  <si>
    <t>(靈想)</t>
  </si>
  <si>
    <t>섭씨온도계에서, 눈금이 0℃ 이상의 온도</t>
  </si>
  <si>
    <t>零上</t>
  </si>
  <si>
    <t>영상</t>
  </si>
  <si>
    <t>(享壽)</t>
  </si>
  <si>
    <t>고향을 그리워하는 마음이나 시름</t>
  </si>
  <si>
    <t>(球速)</t>
  </si>
  <si>
    <t>행동이나 의사의 자유를 제한하거나 속박함</t>
  </si>
  <si>
    <t>구속</t>
  </si>
  <si>
    <t>(注射)</t>
  </si>
  <si>
    <t>술 마신 뒤에 버릇으로 하는 못된 언행</t>
  </si>
  <si>
    <t>酒邪</t>
  </si>
  <si>
    <t>주사</t>
  </si>
  <si>
    <t>(尿道)</t>
  </si>
  <si>
    <t>허리에 차는 칼</t>
  </si>
  <si>
    <t>腰刀</t>
  </si>
  <si>
    <t>요도</t>
  </si>
  <si>
    <t>(運逢)</t>
  </si>
  <si>
    <t>구름을 이고 있는 산봉우리</t>
  </si>
  <si>
    <t>雲峯</t>
  </si>
  <si>
    <t>운봉</t>
  </si>
  <si>
    <t>(優秀)</t>
  </si>
  <si>
    <t>우울과 수심</t>
  </si>
  <si>
    <t>憂愁</t>
  </si>
  <si>
    <t>우수</t>
  </si>
  <si>
    <t>(悲鳴)</t>
  </si>
  <si>
    <t>(花郞)</t>
  </si>
  <si>
    <t>미술품을 진열하여 전시하는 곳</t>
  </si>
  <si>
    <t>畫廊</t>
  </si>
  <si>
    <t>화랑</t>
  </si>
  <si>
    <t>(扶養)</t>
  </si>
  <si>
    <t>가라앉은 것이 떠오름</t>
  </si>
  <si>
    <t>浮揚</t>
  </si>
  <si>
    <t>부양</t>
  </si>
  <si>
    <t>(薦度)</t>
  </si>
  <si>
    <t>(母艦)</t>
  </si>
  <si>
    <t>꾀를 써서 남을 어려운 처지에 빠지게 함</t>
  </si>
  <si>
    <t>謀陷</t>
  </si>
  <si>
    <t>모함</t>
  </si>
  <si>
    <t>(將棋)</t>
  </si>
  <si>
    <t>내장의 여러 기관</t>
  </si>
  <si>
    <t>臟器</t>
  </si>
  <si>
    <t>장기</t>
  </si>
  <si>
    <t>(俊秀)</t>
  </si>
  <si>
    <t>규칙, 명령 등을 그대로 지킴</t>
  </si>
  <si>
    <t>遵守</t>
  </si>
  <si>
    <t>준수</t>
  </si>
  <si>
    <t>(裁判)</t>
  </si>
  <si>
    <t>출판한 책을 다시 출판함</t>
  </si>
  <si>
    <t>再版</t>
  </si>
  <si>
    <t>재판</t>
  </si>
  <si>
    <t>(虎患)</t>
  </si>
  <si>
    <t>(動詞)</t>
  </si>
  <si>
    <t>얼어 죽음</t>
  </si>
  <si>
    <t>凍死</t>
  </si>
  <si>
    <t>동사</t>
  </si>
  <si>
    <t>(款待)</t>
  </si>
  <si>
    <t>관대</t>
  </si>
  <si>
    <t>(建造)</t>
  </si>
  <si>
    <t>말라서 습기가 없음</t>
  </si>
  <si>
    <t>건조</t>
  </si>
  <si>
    <t>(動轉)</t>
  </si>
  <si>
    <t>구리로 만든 돈</t>
  </si>
  <si>
    <t>銅錢</t>
  </si>
  <si>
    <t>동전</t>
  </si>
  <si>
    <t>(戶數)</t>
  </si>
  <si>
    <t>땅이 우묵하게 들어가 물이 괴어 있는 곳</t>
  </si>
  <si>
    <t>湖水</t>
  </si>
  <si>
    <t>호수</t>
  </si>
  <si>
    <t>(葬式)</t>
  </si>
  <si>
    <t>액세서리 따위로 치장함. 또는 그 꾸밈새</t>
  </si>
  <si>
    <t>(幻影)</t>
  </si>
  <si>
    <t>오는 사람을 기쁜 마음으로 반갑게 맞음</t>
  </si>
  <si>
    <t>歡迎</t>
  </si>
  <si>
    <t>환영</t>
  </si>
  <si>
    <t>(祖先)</t>
  </si>
  <si>
    <t>이성계가 세운 나라</t>
  </si>
  <si>
    <t>朝鮮</t>
  </si>
  <si>
    <t>조선</t>
  </si>
  <si>
    <t>(憂愁)</t>
  </si>
  <si>
    <t>여럿 가운데 뛰어남</t>
  </si>
  <si>
    <t>優秀</t>
  </si>
  <si>
    <t>(上皇)</t>
  </si>
  <si>
    <t>어떤 일의 형편이나 모양</t>
  </si>
  <si>
    <t>狀況</t>
  </si>
  <si>
    <t>상황</t>
  </si>
  <si>
    <t>(城池)</t>
  </si>
  <si>
    <t>종교와 관련된 유적지</t>
  </si>
  <si>
    <t>聖地</t>
  </si>
  <si>
    <t>(造化)</t>
  </si>
  <si>
    <t>잘 어울림</t>
  </si>
  <si>
    <t>調和</t>
  </si>
  <si>
    <t>조화</t>
  </si>
  <si>
    <t>(堅剛)</t>
  </si>
  <si>
    <t>이치에 맞지 않는 것을 억지로 끌고 감</t>
  </si>
  <si>
    <t>牽強</t>
  </si>
  <si>
    <t>견강</t>
  </si>
  <si>
    <t>(戒刀)</t>
  </si>
  <si>
    <t>남을 일깨우고 이끌어 줌</t>
  </si>
  <si>
    <t>啓導</t>
  </si>
  <si>
    <t>(空輸)</t>
  </si>
  <si>
    <t>供需</t>
  </si>
  <si>
    <t>공수</t>
  </si>
  <si>
    <t>(糖質)</t>
  </si>
  <si>
    <t>사촌 형제의 아들로, 오촌이 되는 관계</t>
  </si>
  <si>
    <t>堂姪</t>
  </si>
  <si>
    <t>당질</t>
  </si>
  <si>
    <t>(暫福)</t>
  </si>
  <si>
    <t>드러나지 않게 숨음</t>
  </si>
  <si>
    <t>潛伏</t>
  </si>
  <si>
    <t>잠복</t>
  </si>
  <si>
    <t>(香水)</t>
  </si>
  <si>
    <t>고향을 그리워하는 마음 혹은 시름</t>
  </si>
  <si>
    <t>(古刹)</t>
  </si>
  <si>
    <t>깊이 생각하며 살핌</t>
  </si>
  <si>
    <t>考察</t>
  </si>
  <si>
    <t>고찰</t>
  </si>
  <si>
    <t>(施肥)</t>
  </si>
  <si>
    <t>곁에서 시중드는 여자 종</t>
  </si>
  <si>
    <t>侍婢</t>
  </si>
  <si>
    <t>(銀絲)</t>
  </si>
  <si>
    <t>숨어사는 선비</t>
  </si>
  <si>
    <t>隱士</t>
  </si>
  <si>
    <t>은사</t>
  </si>
  <si>
    <t>(請託)</t>
  </si>
  <si>
    <t>淸濁</t>
  </si>
  <si>
    <t>청탁</t>
  </si>
  <si>
    <t>(讀音)</t>
  </si>
  <si>
    <t>혼자서 시가 등을 읊음</t>
  </si>
  <si>
    <t>獨吟</t>
  </si>
  <si>
    <t>(消極)</t>
  </si>
  <si>
    <t>익살을 주로 하여 관중을 웃게 하는 연극</t>
  </si>
  <si>
    <t>笑劇</t>
  </si>
  <si>
    <t>소극</t>
  </si>
  <si>
    <t>(驛名)</t>
  </si>
  <si>
    <t>임금이나 윗사람의 명령을 어김</t>
  </si>
  <si>
    <t>逆命</t>
  </si>
  <si>
    <t>역명</t>
  </si>
  <si>
    <t>(凍屍)</t>
  </si>
  <si>
    <t>아동의 정서를 읊은 자유시</t>
  </si>
  <si>
    <t>童詩</t>
  </si>
  <si>
    <t>동시</t>
  </si>
  <si>
    <t>(相補)</t>
  </si>
  <si>
    <t>자세히 보고함</t>
  </si>
  <si>
    <t>詳報</t>
  </si>
  <si>
    <t>상보</t>
  </si>
  <si>
    <t>(江華)</t>
  </si>
  <si>
    <t>교전국끼리 싸움을 그만두고 회의함</t>
  </si>
  <si>
    <t>講和</t>
  </si>
  <si>
    <t>강화</t>
  </si>
  <si>
    <t>(同期)</t>
  </si>
  <si>
    <t>직접적인 원인이나 계기</t>
  </si>
  <si>
    <t>動機</t>
  </si>
  <si>
    <t>동기</t>
  </si>
  <si>
    <t>(自費)</t>
  </si>
  <si>
    <t>남을 사랑하고 가엾게 여김</t>
  </si>
  <si>
    <t>慈悲</t>
  </si>
  <si>
    <t>자비</t>
  </si>
  <si>
    <t>(鋪裝)</t>
  </si>
  <si>
    <t>물건을 싸서 간직함</t>
  </si>
  <si>
    <t>包藏</t>
  </si>
  <si>
    <t>포장</t>
  </si>
  <si>
    <t>(湖沼)</t>
  </si>
  <si>
    <t>딱한 사연을 하소연함</t>
  </si>
  <si>
    <t>呼訴</t>
  </si>
  <si>
    <t>호소</t>
  </si>
  <si>
    <t>(微騰)</t>
  </si>
  <si>
    <t>자동차 따위의 뒤에 붙은 등</t>
  </si>
  <si>
    <t>尾燈</t>
  </si>
  <si>
    <t>미등</t>
  </si>
  <si>
    <t>(複眼)</t>
  </si>
  <si>
    <t>마음속에 간직하고 아직 겉으로 드러내지 않은 생각</t>
  </si>
  <si>
    <t>腹案</t>
  </si>
  <si>
    <t>복안</t>
  </si>
  <si>
    <t>(詐善)</t>
  </si>
  <si>
    <t>비스듬하게 비껴 그은 줄</t>
  </si>
  <si>
    <t>斜線</t>
  </si>
  <si>
    <t>사선</t>
  </si>
  <si>
    <t>(壯麗)</t>
  </si>
  <si>
    <t>권하여 북돋아 줌</t>
  </si>
  <si>
    <t>獎勵</t>
  </si>
  <si>
    <t>장려</t>
  </si>
  <si>
    <t>(劇震)</t>
  </si>
  <si>
    <t>마음과 힘을 다함</t>
  </si>
  <si>
    <t>極盡</t>
  </si>
  <si>
    <t>극진</t>
  </si>
  <si>
    <t>(輔弼)</t>
  </si>
  <si>
    <t>덜 된 데를 보충하여 씀</t>
  </si>
  <si>
    <t>補筆</t>
  </si>
  <si>
    <t>보필</t>
  </si>
  <si>
    <t>(變症)</t>
  </si>
  <si>
    <t>논변하여 증명함</t>
  </si>
  <si>
    <t>辨證</t>
  </si>
  <si>
    <t>변증</t>
  </si>
  <si>
    <t>(神僧)</t>
  </si>
  <si>
    <t>간신히 이김</t>
  </si>
  <si>
    <t>辛勝</t>
  </si>
  <si>
    <t>신승</t>
  </si>
  <si>
    <t>(胃腸)</t>
  </si>
  <si>
    <t>남의 눈을 속이려고 거짓으로 꾸밈</t>
  </si>
  <si>
    <t>僞裝</t>
  </si>
  <si>
    <t>위장</t>
  </si>
  <si>
    <t>꾀를 써서 남을 못된 구렁에 빠지게 함</t>
  </si>
  <si>
    <t>(火葬)</t>
  </si>
  <si>
    <t>얼굴을 곱게 꾸밈</t>
  </si>
  <si>
    <t>化粧</t>
  </si>
  <si>
    <t>화장</t>
  </si>
  <si>
    <t>(搜査)</t>
  </si>
  <si>
    <t>말 혹은 글을 아름답게 다듬는 일</t>
  </si>
  <si>
    <t>修辭</t>
  </si>
  <si>
    <t>(濠洲)</t>
  </si>
  <si>
    <t>한 집안의 가장</t>
  </si>
  <si>
    <t>戶主</t>
  </si>
  <si>
    <t>호주</t>
  </si>
  <si>
    <t>(演技)</t>
  </si>
  <si>
    <t>물건이 탈 때 나는 기체</t>
  </si>
  <si>
    <t>煙氣</t>
  </si>
  <si>
    <t>연기</t>
  </si>
  <si>
    <t>(冬期)</t>
  </si>
  <si>
    <t>어떤 행위의 직접적인 원인</t>
  </si>
  <si>
    <t>(繫留)</t>
  </si>
  <si>
    <t>산골짜기에 흐르는 시냇물</t>
  </si>
  <si>
    <t>溪流</t>
  </si>
  <si>
    <t>계류</t>
  </si>
  <si>
    <t>(變更)</t>
  </si>
  <si>
    <t>나라의 경계가 되는 변두리의 땅</t>
  </si>
  <si>
    <t>邊境</t>
  </si>
  <si>
    <t>변경</t>
  </si>
  <si>
    <t>(覆沙)</t>
  </si>
  <si>
    <t>원본을 베낌</t>
  </si>
  <si>
    <t>複寫</t>
  </si>
  <si>
    <t>복사</t>
  </si>
  <si>
    <t>(美秀)</t>
  </si>
  <si>
    <t>여든여덟 살을 달리 이르는 말</t>
  </si>
  <si>
    <t>米壽</t>
  </si>
  <si>
    <t>(感想)</t>
  </si>
  <si>
    <t>주로 예술 작품을 이해하여 즐기고 평가함</t>
  </si>
  <si>
    <t>鑑賞</t>
  </si>
  <si>
    <t>감상</t>
  </si>
  <si>
    <t>(公有)</t>
  </si>
  <si>
    <t>戶주</t>
  </si>
  <si>
    <t>물건이 탈 때 생기는 기체</t>
  </si>
  <si>
    <t>어떤 일의 원인이나 계기</t>
  </si>
  <si>
    <t>(無違)</t>
  </si>
  <si>
    <t>무력의 위엄</t>
  </si>
  <si>
    <t>武威</t>
  </si>
  <si>
    <t>무위</t>
  </si>
  <si>
    <t>(素飯)</t>
  </si>
  <si>
    <t>(遺事)</t>
  </si>
  <si>
    <t>규칙이나 명령 등을 지킴</t>
  </si>
  <si>
    <t>(半島)</t>
  </si>
  <si>
    <t>(秋天)</t>
  </si>
  <si>
    <t>인재를 추천함</t>
  </si>
  <si>
    <t>推薦</t>
  </si>
  <si>
    <t>추천</t>
  </si>
  <si>
    <t>(宋京)</t>
  </si>
  <si>
    <t>불경을 욈</t>
  </si>
  <si>
    <t>誦經</t>
  </si>
  <si>
    <t>송경</t>
  </si>
  <si>
    <t>(暖國)</t>
  </si>
  <si>
    <t>어지러운 판국</t>
  </si>
  <si>
    <t>亂局</t>
  </si>
  <si>
    <t>난국</t>
  </si>
  <si>
    <t>(電報)</t>
  </si>
  <si>
    <t>다른 관직에 보임됨</t>
  </si>
  <si>
    <t>轉補</t>
  </si>
  <si>
    <t>전보</t>
  </si>
  <si>
    <t>(初喪)</t>
  </si>
  <si>
    <t>사진이나 그림에 나타낸 사람의 얼굴이나 모습</t>
  </si>
  <si>
    <t>肖像</t>
  </si>
  <si>
    <t>초상</t>
  </si>
  <si>
    <t>(但書)</t>
  </si>
  <si>
    <t>어떤 문제를 해결하기 위한 실마리</t>
  </si>
  <si>
    <t>端緒</t>
  </si>
  <si>
    <t>단서</t>
  </si>
  <si>
    <t>(浮遊)</t>
  </si>
  <si>
    <t>재물이 넉넉함</t>
  </si>
  <si>
    <t>富裕</t>
  </si>
  <si>
    <t>부유</t>
  </si>
  <si>
    <t>(冠禮)</t>
  </si>
  <si>
    <t>앞선 사례가 관습으로 굳어진 것</t>
  </si>
  <si>
    <t>慣例</t>
  </si>
  <si>
    <t>관례</t>
  </si>
  <si>
    <t>단단히 붙여 꼭 봉함</t>
  </si>
  <si>
    <t>(口琴)</t>
  </si>
  <si>
    <t>신체 자유의 구속</t>
  </si>
  <si>
    <t>拘禁</t>
  </si>
  <si>
    <t>구금</t>
  </si>
  <si>
    <t>(全史)</t>
  </si>
  <si>
    <t>서로 전하여 베껴 씀</t>
  </si>
  <si>
    <t>傳寫</t>
  </si>
  <si>
    <t>전사</t>
  </si>
  <si>
    <t>(冠網)</t>
  </si>
  <si>
    <t>형편이나 분위기를 살펴봄</t>
  </si>
  <si>
    <t>觀望</t>
  </si>
  <si>
    <t>관망</t>
  </si>
  <si>
    <t>(朱硯)</t>
  </si>
  <si>
    <t>술잔치</t>
  </si>
  <si>
    <t>酒宴</t>
  </si>
  <si>
    <t>주연</t>
  </si>
  <si>
    <t>그림 따위의 미술품을 전시하는 장소</t>
  </si>
  <si>
    <t>祥瑞</t>
  </si>
  <si>
    <t>웃어른에게 편지를 올리는 일</t>
  </si>
  <si>
    <t>上書</t>
  </si>
  <si>
    <t>상서</t>
  </si>
  <si>
    <t>雨水</t>
  </si>
  <si>
    <t>여럿 가운데 특별히 뛰어남</t>
  </si>
  <si>
    <t>修習</t>
  </si>
  <si>
    <t>흩어진 물건을 거두어 모음</t>
  </si>
  <si>
    <t>收拾</t>
  </si>
  <si>
    <t>수습</t>
  </si>
  <si>
    <t>周易</t>
  </si>
  <si>
    <t>주된 일, 또는 그 일을 맡은 사람</t>
  </si>
  <si>
    <t>主役</t>
  </si>
  <si>
    <t>주역</t>
  </si>
  <si>
    <t>戰功</t>
  </si>
  <si>
    <t>한 분야를 깊이 연구함</t>
  </si>
  <si>
    <t>專攻</t>
  </si>
  <si>
    <t>전공</t>
  </si>
  <si>
    <t>(變說)</t>
  </si>
  <si>
    <t>입담 좋은 말솜씨</t>
  </si>
  <si>
    <t>辯舌</t>
  </si>
  <si>
    <t>변설</t>
  </si>
  <si>
    <t>(口金)</t>
  </si>
  <si>
    <t>국가 권력에 의한 신체 자유의 구속</t>
  </si>
  <si>
    <t>(更張)</t>
  </si>
  <si>
    <t>홀가분하게 차린 차림새</t>
  </si>
  <si>
    <t>輕裝</t>
  </si>
  <si>
    <t>경장</t>
  </si>
  <si>
    <t>(同時)</t>
  </si>
  <si>
    <t>聲明</t>
  </si>
  <si>
    <t>성과 이름</t>
  </si>
  <si>
    <t>姓名</t>
  </si>
  <si>
    <t>성명</t>
  </si>
  <si>
    <t>人道</t>
  </si>
  <si>
    <t>앞장서서 이끎</t>
  </si>
  <si>
    <t>引導</t>
  </si>
  <si>
    <t>인도</t>
  </si>
  <si>
    <t>攻守</t>
  </si>
  <si>
    <t>항공 수송</t>
  </si>
  <si>
    <t>空輸</t>
  </si>
  <si>
    <t>專制</t>
  </si>
  <si>
    <t>일이 이루어지게 하기 위해 앞세우는 조건</t>
  </si>
  <si>
    <t>前提</t>
  </si>
  <si>
    <t>전제</t>
  </si>
  <si>
    <t>聯政</t>
  </si>
  <si>
    <t>이성을 못내 그리는 마음</t>
  </si>
  <si>
    <t>戀情</t>
  </si>
  <si>
    <t>연정</t>
  </si>
  <si>
    <t>收支</t>
  </si>
  <si>
    <t>나무의 가지</t>
  </si>
  <si>
    <t>樹枝</t>
  </si>
  <si>
    <t>수지</t>
  </si>
  <si>
    <t>掌管</t>
  </si>
  <si>
    <t>훌륭한 광경</t>
  </si>
  <si>
    <t>壯觀</t>
  </si>
  <si>
    <t>장관</t>
  </si>
  <si>
    <t>可燃</t>
  </si>
  <si>
    <t>좋은 잔치</t>
  </si>
  <si>
    <t>佳宴</t>
  </si>
  <si>
    <t>가연</t>
  </si>
  <si>
    <t>各其</t>
  </si>
  <si>
    <t>비타민 부족으로 일어나는 영양실조 증상</t>
  </si>
  <si>
    <t>脚氣</t>
  </si>
  <si>
    <t>각기</t>
  </si>
  <si>
    <t>強盜</t>
  </si>
  <si>
    <t>금속의 단단하고 센 정도</t>
  </si>
  <si>
    <t>剛度</t>
  </si>
  <si>
    <t>강도</t>
  </si>
  <si>
    <t>생활능력이 없는 사람의 생활을 돌봄</t>
  </si>
  <si>
    <t>扶養</t>
  </si>
  <si>
    <t>樣式</t>
  </si>
  <si>
    <t>사람의 먹을거리</t>
  </si>
  <si>
    <t>糧食</t>
  </si>
  <si>
    <t>양식</t>
  </si>
  <si>
    <t>자기를 가르쳐 은혜를 베푼 스승</t>
  </si>
  <si>
    <t>恩師</t>
  </si>
  <si>
    <t>戲笑</t>
  </si>
  <si>
    <t>稀少</t>
  </si>
  <si>
    <t>희소</t>
  </si>
  <si>
    <t>香水</t>
  </si>
  <si>
    <t>鄉愁</t>
  </si>
  <si>
    <t>(轉補)</t>
  </si>
  <si>
    <t>전신으로 글을 보내는 통보</t>
  </si>
  <si>
    <t>電報</t>
  </si>
  <si>
    <t>재치 있는 말주변</t>
  </si>
  <si>
    <t>(銅像)</t>
  </si>
  <si>
    <t>추위로 피부가 상함</t>
  </si>
  <si>
    <t>凍傷</t>
  </si>
  <si>
    <t>동상</t>
  </si>
  <si>
    <t>婚前</t>
  </si>
  <si>
    <t>두 편이 어지럽게 뒤섞여 치열하게 다툼</t>
  </si>
  <si>
    <t>混戰</t>
  </si>
  <si>
    <t>혼전</t>
  </si>
  <si>
    <t>彈性</t>
  </si>
  <si>
    <t>한탄하거나 탄식하는 소리</t>
  </si>
  <si>
    <t>斷腸</t>
  </si>
  <si>
    <t>얼굴, 머리, 옷차림 따위를 곱게 꾸밈</t>
  </si>
  <si>
    <t>丹粧</t>
  </si>
  <si>
    <t>단장</t>
  </si>
  <si>
    <t>아직 간행되지 않음</t>
  </si>
  <si>
    <t>未刊</t>
  </si>
  <si>
    <t>午睡</t>
  </si>
  <si>
    <t>구정물</t>
  </si>
  <si>
    <t>舟船</t>
  </si>
  <si>
    <t>일이 잘 되도록 도와줌</t>
  </si>
  <si>
    <t>周旋</t>
  </si>
  <si>
    <t>주선</t>
  </si>
  <si>
    <t>九金</t>
  </si>
  <si>
    <t>年幼</t>
  </si>
  <si>
    <t>잔치를 베풀어 즐겁게 놂</t>
  </si>
  <si>
    <t>宴遊</t>
  </si>
  <si>
    <t>연유</t>
  </si>
  <si>
    <t>事記</t>
  </si>
  <si>
    <t>꾀로 남을 속임</t>
  </si>
  <si>
    <t>轉派</t>
  </si>
  <si>
    <t>전하여 널리 퍼뜨림</t>
  </si>
  <si>
    <t>傳播</t>
  </si>
  <si>
    <t>전파</t>
  </si>
  <si>
    <t>耐貧</t>
  </si>
  <si>
    <t>모임에 공식적으로 초대를 받고 온 사람</t>
  </si>
  <si>
    <t>來賓</t>
  </si>
  <si>
    <t>내빈</t>
  </si>
  <si>
    <t>斜陽</t>
  </si>
  <si>
    <t>겸손하여 받지 않거나 응하지 않음</t>
  </si>
  <si>
    <t>辭讓</t>
  </si>
  <si>
    <t>사양</t>
  </si>
  <si>
    <t>筆耕</t>
  </si>
  <si>
    <t>觸診</t>
  </si>
  <si>
    <t>촉진</t>
  </si>
  <si>
    <t>硯滴</t>
  </si>
  <si>
    <t>盜取</t>
  </si>
  <si>
    <t>마음이 끌려 취하다시피 됨</t>
  </si>
  <si>
    <t>陶醉</t>
  </si>
  <si>
    <t>도취</t>
  </si>
  <si>
    <t>壯麗</t>
  </si>
  <si>
    <t>범인의 행방을 찾거나 증거를 모음</t>
  </si>
  <si>
    <t>神聖</t>
  </si>
  <si>
    <t>부모의 침소에 가서 안부를 살핌</t>
  </si>
  <si>
    <t>晨省</t>
  </si>
  <si>
    <t>신성</t>
  </si>
  <si>
    <t>筆跡</t>
  </si>
  <si>
    <t>능력이나 세력이 엇비슷하여 서로 맞섬</t>
  </si>
  <si>
    <t>匹敵</t>
  </si>
  <si>
    <t>필적</t>
  </si>
  <si>
    <t>(康津)</t>
  </si>
  <si>
    <t>진도 5 이상에 해당하는 강한 지진</t>
  </si>
  <si>
    <t>強震</t>
  </si>
  <si>
    <t>강진</t>
  </si>
  <si>
    <t>(私募)</t>
  </si>
  <si>
    <t>애틋하게 생각하고 그리워함</t>
  </si>
  <si>
    <t>思慕</t>
  </si>
  <si>
    <t>사모</t>
  </si>
  <si>
    <t>(陽地)</t>
  </si>
  <si>
    <t>살피어 앎</t>
  </si>
  <si>
    <t>諒知</t>
  </si>
  <si>
    <t>양지</t>
  </si>
  <si>
    <t>(進攻)</t>
  </si>
  <si>
    <t>물질 입자가 존재하지 않는 공간</t>
  </si>
  <si>
    <t>真空</t>
  </si>
  <si>
    <t>진공</t>
  </si>
  <si>
    <t>(射技)</t>
  </si>
  <si>
    <t>(穩定)</t>
  </si>
  <si>
    <t>따뜻한 사랑이나 인정</t>
  </si>
  <si>
    <t>溫情</t>
  </si>
  <si>
    <t>온정</t>
  </si>
  <si>
    <t>(父喪)</t>
  </si>
  <si>
    <t>상처를 입음</t>
  </si>
  <si>
    <t>負傷</t>
  </si>
  <si>
    <t>(收米)</t>
  </si>
  <si>
    <t>근심에 찌그린 눈썹</t>
  </si>
  <si>
    <t>愁眉</t>
  </si>
  <si>
    <t>수미</t>
  </si>
  <si>
    <t>(補便)</t>
  </si>
  <si>
    <t>모든 것에 공통되거나 들어맞음</t>
  </si>
  <si>
    <t>보편</t>
  </si>
  <si>
    <t>(奇遇)</t>
  </si>
  <si>
    <t>(召命)</t>
  </si>
  <si>
    <t>까닭이나 이유를 밝혀 설명함</t>
  </si>
  <si>
    <t>疏明</t>
  </si>
  <si>
    <t>소명</t>
  </si>
  <si>
    <t>(粧刀)</t>
  </si>
  <si>
    <t>중대한 사명이나 장한 뜻을 품고 떠나는 길</t>
  </si>
  <si>
    <t>壯途</t>
  </si>
  <si>
    <t>장도</t>
  </si>
  <si>
    <t>(降意)</t>
  </si>
  <si>
    <t>반대의 뜻을 주장함</t>
  </si>
  <si>
    <t>抗議</t>
  </si>
  <si>
    <t>항의</t>
  </si>
  <si>
    <t>(偏母)</t>
  </si>
  <si>
    <t>단편적인 모습</t>
  </si>
  <si>
    <t>片貌</t>
  </si>
  <si>
    <t>편모</t>
  </si>
  <si>
    <t>家長</t>
  </si>
  <si>
    <t>거짓으로 꾸밈</t>
  </si>
  <si>
    <t>假裝</t>
  </si>
  <si>
    <t>가장</t>
  </si>
  <si>
    <t>意思</t>
  </si>
  <si>
    <t>회의에서 어떤 안건을 토의함</t>
  </si>
  <si>
    <t>議事</t>
  </si>
  <si>
    <t>의사</t>
  </si>
  <si>
    <t>父情</t>
  </si>
  <si>
    <t>그렇지 않다고 함</t>
  </si>
  <si>
    <t>否定</t>
  </si>
  <si>
    <t>부정</t>
  </si>
  <si>
    <t>棋院</t>
  </si>
  <si>
    <t>햇수를 세는 기준이 되는 해</t>
  </si>
  <si>
    <t>紀元</t>
  </si>
  <si>
    <t>火傷</t>
  </si>
  <si>
    <t>중국 상인</t>
  </si>
  <si>
    <t>華商</t>
  </si>
  <si>
    <t>화상</t>
  </si>
  <si>
    <t>글씨의 모양이나 솜씨</t>
  </si>
  <si>
    <t>말이나 글을 다듬고 꾸미는 일</t>
  </si>
  <si>
    <t>공격과 수비</t>
  </si>
  <si>
    <t>盤松</t>
  </si>
  <si>
    <t>돌려보냄</t>
  </si>
  <si>
    <t>(聯步)</t>
  </si>
  <si>
    <t>한평생 동안 지낸 일을 적은 기록</t>
  </si>
  <si>
    <t>年譜</t>
  </si>
  <si>
    <t>연보</t>
  </si>
  <si>
    <t>(氷藏)</t>
  </si>
  <si>
    <t>다른 사람의 장인을 이르는 말</t>
  </si>
  <si>
    <t>聘丈</t>
  </si>
  <si>
    <t>빙장</t>
  </si>
  <si>
    <t>(派系)</t>
  </si>
  <si>
    <t>계율을 어기고 지키지 아니함</t>
  </si>
  <si>
    <t>破戒</t>
  </si>
  <si>
    <t>파계</t>
  </si>
  <si>
    <t>(官長)</t>
  </si>
  <si>
    <t>일을 맡아서 주관함</t>
  </si>
  <si>
    <t>管掌</t>
  </si>
  <si>
    <t>관장</t>
  </si>
  <si>
    <t>(心相)</t>
  </si>
  <si>
    <t>대수롭지 않고 예사로움</t>
  </si>
  <si>
    <t>尋常</t>
  </si>
  <si>
    <t>심상</t>
  </si>
  <si>
    <t>규칙 따위를 그대로 지킴</t>
  </si>
  <si>
    <t>(旬刊)</t>
  </si>
  <si>
    <t>(舊怨)</t>
  </si>
  <si>
    <t>어려움에 빠진 사람을 구하여 줌</t>
  </si>
  <si>
    <t>救援</t>
  </si>
  <si>
    <t>구원</t>
  </si>
  <si>
    <t>(秋季)</t>
  </si>
  <si>
    <t>일부를 가지고 전체를 미루어 계산함</t>
  </si>
  <si>
    <t>推計</t>
  </si>
  <si>
    <t>추계</t>
  </si>
  <si>
    <t>(驛前)</t>
  </si>
  <si>
    <t>형세가 뒤집혀 짐</t>
  </si>
  <si>
    <t>逆轉</t>
  </si>
  <si>
    <t>역전</t>
  </si>
  <si>
    <t>(全長)</t>
  </si>
  <si>
    <t>증권 거래소에서 오전에 열리는 거래</t>
  </si>
  <si>
    <t>前場</t>
  </si>
  <si>
    <t>전장</t>
  </si>
  <si>
    <t>범인 및 범죄 증거를 수집하는 일</t>
  </si>
  <si>
    <t>(善書)</t>
  </si>
  <si>
    <t>여러 사람 앞에서 공개 맹세함</t>
  </si>
  <si>
    <t>宣誓</t>
  </si>
  <si>
    <t>선서</t>
  </si>
  <si>
    <t>(田券)</t>
  </si>
  <si>
    <t>혼자 마음대로 권력을 휘두름</t>
  </si>
  <si>
    <t>專權</t>
  </si>
  <si>
    <t>전권</t>
  </si>
  <si>
    <t>(飛上)</t>
  </si>
  <si>
    <t>정상적인 상태가 아닌 일</t>
  </si>
  <si>
    <t>非常</t>
  </si>
  <si>
    <t>(富裕)</t>
  </si>
  <si>
    <t>물 위나 공기 중에 떠다님</t>
  </si>
  <si>
    <t>浮遊</t>
  </si>
  <si>
    <t>(訴願)</t>
  </si>
  <si>
    <t>사이가 두텁지 않고 서먹서먹함</t>
  </si>
  <si>
    <t>소원</t>
  </si>
  <si>
    <t>(異名)</t>
  </si>
  <si>
    <t>귓속에 잡음이 들리는 상태</t>
  </si>
  <si>
    <t>耳鳴</t>
  </si>
  <si>
    <t>이명</t>
  </si>
  <si>
    <t>(再拜)</t>
  </si>
  <si>
    <t>식물을 심어 가꿈</t>
  </si>
  <si>
    <t>栽培</t>
  </si>
  <si>
    <t>재배</t>
  </si>
  <si>
    <t>(匹敵)</t>
  </si>
  <si>
    <t>(傾向)</t>
  </si>
  <si>
    <t>서울과 시골을 아울러 이르는 말</t>
  </si>
  <si>
    <t>京鄉</t>
  </si>
  <si>
    <t>경향</t>
  </si>
  <si>
    <t>(時調)</t>
  </si>
  <si>
    <t>한 겨레나 가계의 맨 처음이 되는 조상</t>
  </si>
  <si>
    <t>始祖</t>
  </si>
  <si>
    <t>시조</t>
  </si>
  <si>
    <t>(追號)</t>
  </si>
  <si>
    <t>짐승의 가는 털. 아주 적거나 조금인 것의 비유</t>
  </si>
  <si>
    <t>秋毫</t>
  </si>
  <si>
    <t>추호</t>
  </si>
  <si>
    <t>(坐夏)</t>
  </si>
  <si>
    <t>편지글에서 받는 사람을 높여 부르는 말</t>
  </si>
  <si>
    <t>座下</t>
  </si>
  <si>
    <t>좌하</t>
  </si>
  <si>
    <t>(無産)</t>
  </si>
  <si>
    <t>안개가 걷히듯 흔적 없이 사라짐</t>
  </si>
  <si>
    <t>霧散</t>
  </si>
  <si>
    <t>무산</t>
  </si>
  <si>
    <t>(巢卵)</t>
  </si>
  <si>
    <t>어수선하고 시끄러움</t>
  </si>
  <si>
    <t>소란</t>
  </si>
  <si>
    <t>(築造)</t>
  </si>
  <si>
    <t>한 조목 한 조목씩 차례를 좇음</t>
  </si>
  <si>
    <t>逐條</t>
  </si>
  <si>
    <t>축조</t>
  </si>
  <si>
    <t>(極端)</t>
  </si>
  <si>
    <t>연극을 전문으로 공연하는 단체</t>
  </si>
  <si>
    <t>劇團</t>
  </si>
  <si>
    <t>극단</t>
  </si>
  <si>
    <t>(琴棋)</t>
  </si>
  <si>
    <t>꺼리어 하지 않거나 피함</t>
  </si>
  <si>
    <t>禁忌</t>
  </si>
  <si>
    <t>금기</t>
  </si>
  <si>
    <t>(洗劑)</t>
  </si>
  <si>
    <t>세무에 관한 제도.</t>
  </si>
  <si>
    <t>稅制</t>
  </si>
  <si>
    <t>세제</t>
  </si>
  <si>
    <t>(單純)</t>
  </si>
  <si>
    <t>여자의 붉고 고운 입술.</t>
  </si>
  <si>
    <t>丹脣</t>
  </si>
  <si>
    <t>단순</t>
  </si>
  <si>
    <t>(心身)</t>
  </si>
  <si>
    <t>언행을 삼가 조심하는 것.</t>
  </si>
  <si>
    <t>審慎</t>
  </si>
  <si>
    <t>심신</t>
  </si>
  <si>
    <t>(地租)</t>
  </si>
  <si>
    <t>끝까지 굽히지 않는 꿋꿋한 의지.</t>
  </si>
  <si>
    <t>志操</t>
  </si>
  <si>
    <t>지조</t>
  </si>
  <si>
    <t>(畫像)</t>
  </si>
  <si>
    <t>불로 인한 상처.</t>
  </si>
  <si>
    <t>(訪韓)</t>
  </si>
  <si>
    <t>추위를 막음.</t>
  </si>
  <si>
    <t>防寒</t>
  </si>
  <si>
    <t>방한</t>
  </si>
  <si>
    <t>(黃紙)</t>
  </si>
  <si>
    <t>거칠거나 묵은 땅.</t>
  </si>
  <si>
    <t>荒地</t>
  </si>
  <si>
    <t>황지</t>
  </si>
  <si>
    <t>(脫臭)</t>
  </si>
  <si>
    <t>빼앗아 가짐.</t>
  </si>
  <si>
    <t>奪取</t>
  </si>
  <si>
    <t>(曲城)</t>
  </si>
  <si>
    <t>우는 소리.</t>
  </si>
  <si>
    <t>哭聲</t>
  </si>
  <si>
    <t>곡성</t>
  </si>
  <si>
    <t>(經史)</t>
  </si>
  <si>
    <t>비스듬히 기울어짐.</t>
  </si>
  <si>
    <t>(全破)</t>
  </si>
  <si>
    <t>(作爲)</t>
  </si>
  <si>
    <t>벼슬과 지위</t>
  </si>
  <si>
    <t>爵位</t>
  </si>
  <si>
    <t>작위</t>
  </si>
  <si>
    <t>(孝誠)</t>
  </si>
  <si>
    <t>샛별, 새벽 별</t>
  </si>
  <si>
    <t>曉星</t>
  </si>
  <si>
    <t>효성</t>
  </si>
  <si>
    <t>(構思)</t>
  </si>
  <si>
    <t>말이나 기교 등을 능숙하게 부려 씀</t>
  </si>
  <si>
    <t>驅使</t>
  </si>
  <si>
    <t>구사</t>
  </si>
  <si>
    <t>(總名)</t>
  </si>
  <si>
    <t>썩 영리하고 재주가 있음</t>
  </si>
  <si>
    <t>聰明</t>
  </si>
  <si>
    <t>총명</t>
  </si>
  <si>
    <t>(月將)</t>
  </si>
  <si>
    <t>(夜笛)</t>
  </si>
  <si>
    <t>임시로 물건을 밖에 쌓아 놓음</t>
  </si>
  <si>
    <t>野積</t>
  </si>
  <si>
    <t>야적</t>
  </si>
  <si>
    <t>범죄와 관련된 범인의 행방이나 증거를 찾아서 조사함</t>
  </si>
  <si>
    <t>(大將)</t>
  </si>
  <si>
    <t>상업상의 모든 계산을 기록한 주요 장부</t>
  </si>
  <si>
    <t>臺帳</t>
  </si>
  <si>
    <t>대장</t>
  </si>
  <si>
    <t>(外境)</t>
  </si>
  <si>
    <t>무서워하고 두려워함</t>
  </si>
  <si>
    <t>畏敬</t>
  </si>
  <si>
    <t>외경</t>
  </si>
  <si>
    <t>가라앉은 것이 떠오르거나 떠오르게 함</t>
  </si>
  <si>
    <t>(約款)</t>
  </si>
  <si>
    <t>스무 살을 달리 이르는 말</t>
  </si>
  <si>
    <t>弱冠</t>
  </si>
  <si>
    <t>약관</t>
  </si>
  <si>
    <t>(節度)</t>
  </si>
  <si>
    <t>남의 물건을 훔침</t>
  </si>
  <si>
    <t>竊盜</t>
  </si>
  <si>
    <t>절도</t>
  </si>
  <si>
    <t>(巨富)</t>
  </si>
  <si>
    <t>요구나 제안을 받아들이지 않고 물리침</t>
  </si>
  <si>
    <t>拒否</t>
  </si>
  <si>
    <t>거부</t>
  </si>
  <si>
    <t>(炊事)</t>
  </si>
  <si>
    <t>쓸 것은 쓰고 버릴 것은 버림</t>
  </si>
  <si>
    <t>取捨</t>
  </si>
  <si>
    <t>(主食)</t>
  </si>
  <si>
    <t>(令狀)</t>
  </si>
  <si>
    <t>영묘한 힘을 가진 우두머리라는 뜻으로, '사람'을 이르는 말</t>
  </si>
  <si>
    <t>靈長</t>
  </si>
  <si>
    <t>영장</t>
  </si>
  <si>
    <t>(順直)</t>
  </si>
  <si>
    <t>직무를 다하다가 목숨을 잃음</t>
  </si>
  <si>
    <t>殉職</t>
  </si>
  <si>
    <t>순직</t>
  </si>
  <si>
    <t>물 위나 공기 중에 떠다님. 이리저리 떠돌아다님</t>
  </si>
  <si>
    <t>좋은 일에 힘쓰도록 북돋아 줌</t>
  </si>
  <si>
    <t>(高趣)</t>
  </si>
  <si>
    <t>힘을 내도록 격려하여 용기를 북돋음</t>
  </si>
  <si>
    <t>鼓吹</t>
  </si>
  <si>
    <t>고취</t>
  </si>
  <si>
    <t>(科場)</t>
  </si>
  <si>
    <t>사실보다 지나치게 불려서 나타냄</t>
  </si>
  <si>
    <t>誇張</t>
  </si>
  <si>
    <t>과장</t>
  </si>
  <si>
    <t>(網膜)</t>
  </si>
  <si>
    <t>넓고 멀다. 뚜렷한 구별이 없다</t>
  </si>
  <si>
    <t>茫漠</t>
  </si>
  <si>
    <t>망막</t>
  </si>
  <si>
    <t>(基地)</t>
  </si>
  <si>
    <t>경우에 따라 재치 있게 대응하는 지혜</t>
  </si>
  <si>
    <t>機智</t>
  </si>
  <si>
    <t>기지</t>
  </si>
  <si>
    <t>(後事)</t>
  </si>
  <si>
    <t>후하게 사례함</t>
  </si>
  <si>
    <t>厚謝</t>
  </si>
  <si>
    <t>후사</t>
  </si>
  <si>
    <t>(方向)</t>
  </si>
  <si>
    <t>꽃다운 향기</t>
  </si>
  <si>
    <t>芳香</t>
  </si>
  <si>
    <t>방향</t>
  </si>
  <si>
    <t>(花郎)</t>
  </si>
  <si>
    <t>미술품을 진열하여 전람하도록 만든 방</t>
  </si>
  <si>
    <t>畵廊</t>
  </si>
  <si>
    <t>(初代)</t>
  </si>
  <si>
    <t>어떤 모임에 참가해 줄 것을 청함</t>
  </si>
  <si>
    <t>招待</t>
  </si>
  <si>
    <t>초대</t>
  </si>
  <si>
    <t>(異體)</t>
  </si>
  <si>
    <t>서로 갈리고 바뀜</t>
  </si>
  <si>
    <t>移替</t>
  </si>
  <si>
    <t>이체</t>
  </si>
  <si>
    <t>(氣習)</t>
  </si>
  <si>
    <t>몰래 갑자기 습격함</t>
  </si>
  <si>
    <t>奇襲</t>
  </si>
  <si>
    <t>기습</t>
  </si>
  <si>
    <t>(露呈)</t>
  </si>
  <si>
    <t>어떤 지점에서 목적지까지의 거리</t>
  </si>
  <si>
    <t>路程</t>
  </si>
  <si>
    <t>로정</t>
  </si>
  <si>
    <t>(童謠)</t>
  </si>
  <si>
    <t>물체가 흔들려 움직임</t>
  </si>
  <si>
    <t>動搖</t>
  </si>
  <si>
    <t>동요</t>
  </si>
  <si>
    <t>(早變)</t>
  </si>
  <si>
    <t>군량을 현지에서 조달함</t>
  </si>
  <si>
    <t>調辨</t>
  </si>
  <si>
    <t>조변</t>
  </si>
  <si>
    <t>(尺紙)</t>
  </si>
  <si>
    <t>땅을 개척함</t>
  </si>
  <si>
    <t>拓地</t>
  </si>
  <si>
    <t>척지</t>
  </si>
  <si>
    <t>(隻騎)</t>
  </si>
  <si>
    <t>내쳐서 버림</t>
  </si>
  <si>
    <t>斥棄</t>
  </si>
  <si>
    <t>척기</t>
  </si>
  <si>
    <t>(燕巢)</t>
  </si>
  <si>
    <t>한 곳에서 일어난 불이 이웃으로 번져서 탐</t>
  </si>
  <si>
    <t>延燒</t>
  </si>
  <si>
    <t>연소</t>
  </si>
  <si>
    <t>(競艇)</t>
  </si>
  <si>
    <t>책 따위의 내용을 고쳐서 바로잡음</t>
  </si>
  <si>
    <t>更訂</t>
  </si>
  <si>
    <t>경정</t>
  </si>
  <si>
    <t>(弔悼)</t>
  </si>
  <si>
    <t>올벼</t>
  </si>
  <si>
    <t>早稻</t>
  </si>
  <si>
    <t>조도</t>
  </si>
  <si>
    <t>(轉派)</t>
  </si>
  <si>
    <t>(史記)</t>
  </si>
  <si>
    <t>꾀로 남을 속임.</t>
  </si>
  <si>
    <t>(英語)</t>
  </si>
  <si>
    <t>어업을 경영함.</t>
  </si>
  <si>
    <t>營漁</t>
  </si>
  <si>
    <t>영어</t>
  </si>
  <si>
    <t>(主演)</t>
  </si>
  <si>
    <t>술잔치.</t>
  </si>
  <si>
    <t>酒宴 / 酒筵</t>
  </si>
  <si>
    <t>(草地)</t>
  </si>
  <si>
    <t>맨 처음의 뜻.</t>
  </si>
  <si>
    <t>初志</t>
  </si>
  <si>
    <t>초지</t>
  </si>
  <si>
    <t>(閑良)</t>
  </si>
  <si>
    <t>원기가 없고 얼굴이 파리함.</t>
  </si>
  <si>
    <t>寒涼 / 寒凉</t>
  </si>
  <si>
    <t>한량</t>
  </si>
  <si>
    <t>(通商)</t>
  </si>
  <si>
    <t>몹시 슬퍼함.</t>
  </si>
  <si>
    <t>痛傷</t>
  </si>
  <si>
    <t>통상</t>
  </si>
  <si>
    <t>(煉乳)</t>
  </si>
  <si>
    <t>잔치를 베풀어 즐겁게 놂.</t>
  </si>
  <si>
    <t>(小滿)</t>
  </si>
  <si>
    <t>만사를 제쳐 놓음.</t>
  </si>
  <si>
    <t>掃萬</t>
  </si>
  <si>
    <t>소만</t>
  </si>
  <si>
    <t>(飼畜)</t>
  </si>
  <si>
    <t>사사로이 저축함.</t>
  </si>
  <si>
    <t>私蓄</t>
  </si>
  <si>
    <t>형세를 바라봄.</t>
  </si>
  <si>
    <t>(書面)</t>
  </si>
  <si>
    <t>죄나 허물을 용서하여 면하게 함</t>
  </si>
  <si>
    <t>恕免</t>
  </si>
  <si>
    <t>서면</t>
  </si>
  <si>
    <t>국가권력에 의한 신체 자유의 구속</t>
  </si>
  <si>
    <t>(電寫)</t>
  </si>
  <si>
    <t>전쟁에서 싸우다 죽음</t>
  </si>
  <si>
    <t>戰死</t>
  </si>
  <si>
    <t>(社名)</t>
  </si>
  <si>
    <t>부하된 임무</t>
  </si>
  <si>
    <t>使命</t>
  </si>
  <si>
    <t>사명</t>
  </si>
  <si>
    <t>(直譯)</t>
  </si>
  <si>
    <t>직업의 영역</t>
  </si>
  <si>
    <t>職域</t>
  </si>
  <si>
    <t>직역</t>
  </si>
  <si>
    <t>(盜賊)</t>
  </si>
  <si>
    <t>지도와 호적</t>
  </si>
  <si>
    <t>圖籍</t>
  </si>
  <si>
    <t>도적</t>
  </si>
  <si>
    <t>(章句)</t>
  </si>
  <si>
    <t>꾸미는 데 쓰는 제구</t>
  </si>
  <si>
    <t>裝具</t>
  </si>
  <si>
    <t>장구</t>
  </si>
  <si>
    <t>권하며 북돋아 줌</t>
  </si>
  <si>
    <t>(酒仙)</t>
  </si>
  <si>
    <t>(敬請)</t>
  </si>
  <si>
    <t>귀를 기울이고 주의하여 들음</t>
  </si>
  <si>
    <t>傾聽</t>
  </si>
  <si>
    <t>경청</t>
  </si>
  <si>
    <t>(圓成)</t>
  </si>
  <si>
    <t>원망하는 소리</t>
  </si>
  <si>
    <t>怨聲</t>
  </si>
  <si>
    <t>원성</t>
  </si>
  <si>
    <t>(工大)</t>
  </si>
  <si>
    <t>공손하게 대접함</t>
  </si>
  <si>
    <t>恭待</t>
  </si>
  <si>
    <t>공대</t>
  </si>
  <si>
    <t>(短期)</t>
  </si>
  <si>
    <t>어떤 단을 상징하는 기</t>
  </si>
  <si>
    <t>團旗</t>
  </si>
  <si>
    <t>단기</t>
  </si>
  <si>
    <t>(踐倒)</t>
  </si>
  <si>
    <t>(實演)</t>
  </si>
  <si>
    <t>연애에 실패함</t>
  </si>
  <si>
    <t>失戀</t>
  </si>
  <si>
    <t>실련</t>
  </si>
  <si>
    <t>(模範)</t>
  </si>
  <si>
    <t>법을 어기는 행동을 함</t>
  </si>
  <si>
    <t>冒犯</t>
  </si>
  <si>
    <t>모범</t>
  </si>
  <si>
    <t>(詩碑)</t>
  </si>
  <si>
    <t>논밭에 거름을 줌</t>
  </si>
  <si>
    <t>(順換)</t>
  </si>
  <si>
    <t>되풀이하여 돌아감</t>
  </si>
  <si>
    <t>循環</t>
  </si>
  <si>
    <t>순환</t>
  </si>
  <si>
    <t>(器官)</t>
  </si>
  <si>
    <t>매우 훌륭한 경치</t>
  </si>
  <si>
    <t>奇觀</t>
  </si>
  <si>
    <t>기관</t>
  </si>
  <si>
    <t>(島配)</t>
  </si>
  <si>
    <t>함께 어울려 같은 짓을 하는 무리</t>
  </si>
  <si>
    <t>徒輩</t>
  </si>
  <si>
    <t>도배</t>
  </si>
  <si>
    <t>(時鼓)</t>
  </si>
  <si>
    <t>시의 초고</t>
  </si>
  <si>
    <t>詩稿</t>
  </si>
  <si>
    <t>시고</t>
  </si>
  <si>
    <t>(保守)</t>
  </si>
  <si>
    <t>낡은 것을 보충하여 수선함</t>
  </si>
  <si>
    <t>補修</t>
  </si>
  <si>
    <t>보수</t>
  </si>
  <si>
    <t>(飼養)</t>
  </si>
  <si>
    <t>겸손하여 받지 아니하거나 응하지 아니함</t>
  </si>
  <si>
    <t>요구나 제의 따위를 받아들이지 않고 물리침</t>
  </si>
  <si>
    <t>(劇團)</t>
  </si>
  <si>
    <t>사물의 맨 끝</t>
  </si>
  <si>
    <t>極端</t>
  </si>
  <si>
    <t>(稀疏)</t>
  </si>
  <si>
    <t>기뻐서 웃음</t>
  </si>
  <si>
    <t>喜笑</t>
  </si>
  <si>
    <t>(玉成)</t>
  </si>
  <si>
    <t>감옥의 성벽</t>
  </si>
  <si>
    <t>獄城</t>
  </si>
  <si>
    <t>옥성</t>
  </si>
  <si>
    <t>(間性)</t>
  </si>
  <si>
    <t>간곡하고 성실함</t>
  </si>
  <si>
    <t>懇誠</t>
  </si>
  <si>
    <t>간성</t>
  </si>
  <si>
    <t>(推問)</t>
  </si>
  <si>
    <t>(無障)</t>
  </si>
  <si>
    <t>전투를 할 목적으로 장비를 함</t>
  </si>
  <si>
    <t>武裝</t>
  </si>
  <si>
    <t>무장</t>
  </si>
  <si>
    <t>(受傷)</t>
  </si>
  <si>
    <t>상을 줌</t>
  </si>
  <si>
    <t>授賞</t>
  </si>
  <si>
    <t>수상</t>
  </si>
  <si>
    <t>(貢稅)</t>
  </si>
  <si>
    <t>공격하는 태세</t>
  </si>
  <si>
    <t>攻勢</t>
  </si>
  <si>
    <t>공세</t>
  </si>
  <si>
    <t>(眉宇)</t>
  </si>
  <si>
    <t>보슬보슬 내리는 가는 비</t>
  </si>
  <si>
    <t>微雨</t>
  </si>
  <si>
    <t>미우</t>
  </si>
  <si>
    <t>(逐條)</t>
  </si>
  <si>
    <t>다지고 쌓아서 만들다</t>
  </si>
  <si>
    <t>築造</t>
  </si>
  <si>
    <t>성처럼 높이 둘러싸여 있는 감옥</t>
  </si>
  <si>
    <t>이리저리 떠다님</t>
  </si>
  <si>
    <t>浮遊(游)</t>
  </si>
  <si>
    <t>(四果)</t>
  </si>
  <si>
    <t>잘못에 대하여 용서를 빎</t>
  </si>
  <si>
    <t>謝過</t>
  </si>
  <si>
    <t>사과</t>
  </si>
  <si>
    <t>(公格)</t>
  </si>
  <si>
    <t>적을 침</t>
  </si>
  <si>
    <t>攻擊</t>
  </si>
  <si>
    <t>공격</t>
  </si>
  <si>
    <t>(製紙)</t>
  </si>
  <si>
    <t>말려서 못하게 함</t>
  </si>
  <si>
    <t>制止</t>
  </si>
  <si>
    <t>제지</t>
  </si>
  <si>
    <t>아름답지 못한 소문</t>
  </si>
  <si>
    <t>(油脂)</t>
  </si>
  <si>
    <t>죽은 사람의 생전의 뜻</t>
  </si>
  <si>
    <t>(縱轉)</t>
  </si>
  <si>
    <t>이전부터의 그대로</t>
  </si>
  <si>
    <t>從前</t>
  </si>
  <si>
    <t>종전</t>
  </si>
  <si>
    <t>(懸軍)</t>
  </si>
  <si>
    <t>어진 임금</t>
  </si>
  <si>
    <t>賢君</t>
  </si>
  <si>
    <t>현군</t>
  </si>
  <si>
    <t>(架空)</t>
  </si>
  <si>
    <t>두려워하거나 놀랄 만함</t>
  </si>
  <si>
    <t>可恐</t>
  </si>
  <si>
    <t>가공</t>
  </si>
  <si>
    <t>(鹽池)</t>
  </si>
  <si>
    <t>여러 가지 색깔을 물들인 종이</t>
  </si>
  <si>
    <t>染紙</t>
  </si>
  <si>
    <t>염지</t>
  </si>
  <si>
    <t>(蘭徑)</t>
  </si>
  <si>
    <t>어려운 경우나 처지</t>
  </si>
  <si>
    <t>難境</t>
  </si>
  <si>
    <t>난경</t>
  </si>
  <si>
    <t>(斷續)</t>
  </si>
  <si>
    <t>주의를 기울여 다잡거나 보살핌</t>
  </si>
  <si>
    <t>團束</t>
  </si>
  <si>
    <t>단속</t>
  </si>
  <si>
    <t>(稻麻)</t>
  </si>
  <si>
    <t>체육 경기 중 뜀틀 운동에 쓰는 기구</t>
  </si>
  <si>
    <t>跳馬</t>
  </si>
  <si>
    <t>도마</t>
  </si>
  <si>
    <t>훈음(뜻과 소리)</t>
  </si>
  <si>
    <t>완성된 사자성어</t>
  </si>
  <si>
    <t>畫蛇( )足</t>
  </si>
  <si>
    <t>畫蛇添足 (화사첨족)</t>
  </si>
  <si>
    <t>뱀을 그리고 발을 더함 (쓸데없는 짓)</t>
  </si>
  <si>
    <t>漁夫之( )</t>
  </si>
  <si>
    <t>利</t>
  </si>
  <si>
    <t>이로울 리</t>
  </si>
  <si>
    <t>漁父之利 (어부지리)</t>
  </si>
  <si>
    <t>어부의 이익 (제3자가 이득을 봄)</t>
  </si>
  <si>
    <t>近( )者黑</t>
  </si>
  <si>
    <t>墨</t>
  </si>
  <si>
    <t>먹 묵</t>
  </si>
  <si>
    <t>近墨者黑 (근묵자흑)</t>
  </si>
  <si>
    <t>먹을 가까이하면 검어짐 (친구를 잘 사귀어야 함)</t>
  </si>
  <si>
    <t>堂( )風月</t>
  </si>
  <si>
    <t>狗</t>
  </si>
  <si>
    <t>개 구</t>
  </si>
  <si>
    <t>堂狗風月 (당구풍월)</t>
  </si>
  <si>
    <t>서당 개 삼 년이면 풍월을 읊음</t>
  </si>
  <si>
    <t>輕擧( )動</t>
  </si>
  <si>
    <t>輕擧妄動 (경거망동)</t>
  </si>
  <si>
    <t>가볍고 망령되게 행동함</t>
  </si>
  <si>
    <t>( )首苦待</t>
  </si>
  <si>
    <t>鶴首苦待 (학수고대)</t>
  </si>
  <si>
    <t>학처럼 목을 빼고 기다림</t>
  </si>
  <si>
    <t>同病( )憐</t>
  </si>
  <si>
    <t>相</t>
  </si>
  <si>
    <t>서로 상</t>
  </si>
  <si>
    <t>같은 처지의끼리 가엾게 여김</t>
  </si>
  <si>
    <t>( )軍奮鬪</t>
  </si>
  <si>
    <t>孤</t>
  </si>
  <si>
    <t>외로울 고</t>
  </si>
  <si>
    <t>고군분투 (孤軍奮鬪)</t>
  </si>
  <si>
    <t>홀로 여럿을 상대로 싸움</t>
  </si>
  <si>
    <t>三顧( )廬</t>
  </si>
  <si>
    <t>草</t>
  </si>
  <si>
    <t>三顧草廬 (삼고초려)</t>
  </si>
  <si>
    <t>인재를 얻기 위해 끈기 있게 노력함</t>
  </si>
  <si>
    <t>( )食暖衣</t>
  </si>
  <si>
    <t>飽食暖衣 (포식난의)</t>
  </si>
  <si>
    <t>배불리 먹고 따뜻하게 입음</t>
  </si>
  <si>
    <t>( )炭之苦</t>
  </si>
  <si>
    <t>塗</t>
  </si>
  <si>
    <t>진흙 도</t>
  </si>
  <si>
    <t>塗炭之苦 (도탄지고)</t>
  </si>
  <si>
    <t>진구렁에 빠지고 숯불에 타는 괴로움 (백성의 고통)</t>
  </si>
  <si>
    <t>曲學( )世</t>
  </si>
  <si>
    <t>阿</t>
  </si>
  <si>
    <t>언덕 아</t>
  </si>
  <si>
    <t>曲學阿世 (곡학아세)</t>
  </si>
  <si>
    <t>바른길에서 벗어난 학문으로 세상에 아첨함</t>
  </si>
  <si>
    <t>不( )戴天</t>
  </si>
  <si>
    <t>俱</t>
  </si>
  <si>
    <t>함께 구</t>
  </si>
  <si>
    <t>不俱戴天 (불구대천)</t>
  </si>
  <si>
    <t>하늘을 함께 이지 못함 (원수)</t>
  </si>
  <si>
    <t>附和( )同</t>
  </si>
  <si>
    <t>雷</t>
  </si>
  <si>
    <t>우레 뢰</t>
  </si>
  <si>
    <t>부화뇌동 (附和雷同)</t>
  </si>
  <si>
    <t>우레 소리에 맞춰 함께함 (줏대 없이 남을 따름)</t>
  </si>
  <si>
    <t>( )田碧海</t>
  </si>
  <si>
    <t>桑</t>
  </si>
  <si>
    <t>뽕나무 상</t>
  </si>
  <si>
    <t>桑田碧海 (상전벽해)</t>
  </si>
  <si>
    <t>뽕나무밭이 변하여 푸른 바다가 됨 (세상의 큰 변화)</t>
  </si>
  <si>
    <t>口尙乳( )</t>
  </si>
  <si>
    <t>臭</t>
  </si>
  <si>
    <t>냄새 취</t>
  </si>
  <si>
    <t>口尙乳臭 (구상유취)</t>
  </si>
  <si>
    <t>입에서 아직 젖 비린내가 남 (어리고 유치함)</t>
  </si>
  <si>
    <t>取( )選擇</t>
  </si>
  <si>
    <t>取捨選擇 (취사선택)</t>
  </si>
  <si>
    <t>南柯一( )</t>
  </si>
  <si>
    <t>南柯一夢 (남가일몽)</t>
  </si>
  <si>
    <t>꿈과 같이 헛된 한때의 부귀영화</t>
  </si>
  <si>
    <t>( )鹿爲馬</t>
  </si>
  <si>
    <t>指</t>
  </si>
  <si>
    <t>손가락 지</t>
  </si>
  <si>
    <t>指鹿爲馬 (지록위마)</t>
  </si>
  <si>
    <t>사슴을 가리키며 말이라고 함 (윗사람을 농락함)</t>
  </si>
  <si>
    <t>隱( )自重</t>
  </si>
  <si>
    <t>忍</t>
  </si>
  <si>
    <t>참을 인</t>
  </si>
  <si>
    <t>隱忍自重 (은인자중)</t>
  </si>
  <si>
    <t>마음속에 감추어 참으면서 신중하게 행동함</t>
  </si>
  <si>
    <t>羊頭(  )肉</t>
  </si>
  <si>
    <t>羊頭狗肉 (양두구육)</t>
  </si>
  <si>
    <t>양 머리를 걸고 개고기를 팜</t>
  </si>
  <si>
    <t>恒茶(  )事</t>
  </si>
  <si>
    <t>飯</t>
  </si>
  <si>
    <t>밥 반</t>
  </si>
  <si>
    <t>恒茶飯事 (항다반사)</t>
  </si>
  <si>
    <t>밥 먹고 차 마시는 일 (흔한 일)</t>
  </si>
  <si>
    <t>貪官(  )吏</t>
  </si>
  <si>
    <t>汚</t>
  </si>
  <si>
    <t>더러울 오</t>
  </si>
  <si>
    <t>貪官汚吏 (탐관오리)</t>
  </si>
  <si>
    <t>재물을 탐내는 더러운 관리</t>
  </si>
  <si>
    <t>宿虎衝(  )</t>
  </si>
  <si>
    <t>鼻</t>
  </si>
  <si>
    <t>코 비</t>
  </si>
  <si>
    <t>宿虎衝鼻 (숙호충비)</t>
  </si>
  <si>
    <t>자는 호랑이의 코를 찌름</t>
  </si>
  <si>
    <t>身體(  )膚</t>
  </si>
  <si>
    <t>身體髮膚 (신체발부)</t>
  </si>
  <si>
    <t>몸과 머리털과 피부</t>
  </si>
  <si>
    <t>騷人墨(  )</t>
  </si>
  <si>
    <t>騷人墨客 (소인묵객)</t>
  </si>
  <si>
    <t>시문과 서화를 일삼는 사람</t>
  </si>
  <si>
    <t>如履薄(  )</t>
  </si>
  <si>
    <t>氷</t>
  </si>
  <si>
    <t>얼음 빙</t>
  </si>
  <si>
    <t>如履薄氷 (여리박빙)</t>
  </si>
  <si>
    <t>살얼음을 밟는 것과 같음</t>
  </si>
  <si>
    <t>(  )言令色</t>
  </si>
  <si>
    <t>巧言令色 (교언영색)</t>
  </si>
  <si>
    <t>교묘한 말과 알랑거리는 태도</t>
  </si>
  <si>
    <t>綠楊(  )草</t>
  </si>
  <si>
    <t>綠楊芳草 (녹양방초)</t>
  </si>
  <si>
    <t>푸른 버드나무와 향기로운 풀</t>
  </si>
  <si>
    <t>傲霜(  )節</t>
  </si>
  <si>
    <t>傲霜孤節 (오상고절)</t>
  </si>
  <si>
    <t>서릿발 속에서도 굴하지 않는 절개</t>
  </si>
  <si>
    <t>拔本塞(  )</t>
  </si>
  <si>
    <t>源</t>
  </si>
  <si>
    <t>근원 원</t>
  </si>
  <si>
    <t>拔本塞源 (발본색원)</t>
  </si>
  <si>
    <t>뿌리를 뽑고 샘물을 막음 (폐단의 근원을 아주 뽑아 없앰)</t>
  </si>
  <si>
    <t>口蜜(  )劍</t>
  </si>
  <si>
    <t>口蜜腹劍 (구밀복검)</t>
  </si>
  <si>
    <t>입에는 꿀이 있고 배 속에는 칼이 있음 (겉과 속이 다름)</t>
  </si>
  <si>
    <t>千(  )萬苦</t>
  </si>
  <si>
    <t>辛</t>
  </si>
  <si>
    <t>매울 신</t>
  </si>
  <si>
    <t>千辛萬苦 (천신만고)</t>
  </si>
  <si>
    <t>천 가지 매운 것과 만 가지 쓴 것 (온갖 고생)</t>
  </si>
  <si>
    <t>吟(  )弄月</t>
  </si>
  <si>
    <t>吟風弄月 (음풍농월)</t>
  </si>
  <si>
    <t>맑은 바람을 읊고 밝은 달을 즐김</t>
  </si>
  <si>
    <t>孤軍(  )鬪</t>
  </si>
  <si>
    <t>奮</t>
  </si>
  <si>
    <t>떨칠 분</t>
  </si>
  <si>
    <t>고립된 군사가 많은 수의 적과 용감하게 잘 싸움</t>
  </si>
  <si>
    <t>三(  )草廬</t>
  </si>
  <si>
    <t>顧</t>
  </si>
  <si>
    <t>돌아볼 고</t>
  </si>
  <si>
    <t>인재를 맞아들이기 위하여 참을성 있게 노력함</t>
  </si>
  <si>
    <t>滄海一(  )</t>
  </si>
  <si>
    <t>粟</t>
  </si>
  <si>
    <t>좁쌀 속</t>
  </si>
  <si>
    <t>滄海一粟 (창해일속)</t>
  </si>
  <si>
    <t>넓고 큰 바다 속의 좁쌀 한 알 (매우 보잘것없는 존재)</t>
  </si>
  <si>
    <t>破邪(  )正</t>
  </si>
  <si>
    <t>顯</t>
  </si>
  <si>
    <t>나타날 현</t>
  </si>
  <si>
    <t>파사현정 (破邪顯正)</t>
  </si>
  <si>
    <t>사견과 사도를 깨고 정법을 드러냄</t>
  </si>
  <si>
    <t>衆(  )不敵</t>
  </si>
  <si>
    <t>중과부적 (衆寡不敵)</t>
  </si>
  <si>
    <t>적은 수효로 많은 수효를 대적하지 못함</t>
  </si>
  <si>
    <t>億(  )蒼生</t>
  </si>
  <si>
    <t>兆</t>
  </si>
  <si>
    <t>조짐 조</t>
  </si>
  <si>
    <t>億兆蒼生 (억조창생)</t>
  </si>
  <si>
    <t>수많은 백성을 이름</t>
  </si>
  <si>
    <t>遠禍(  )福</t>
  </si>
  <si>
    <t>召</t>
  </si>
  <si>
    <t>부를 소</t>
  </si>
  <si>
    <t>원화소복 (遠禍召福)</t>
  </si>
  <si>
    <t>화를 물리치고 복을 불러들임</t>
  </si>
  <si>
    <t>昏定晨(  )</t>
  </si>
  <si>
    <t>省</t>
  </si>
  <si>
    <t>살필 성</t>
  </si>
  <si>
    <t>昏定晨省 (혼정신성)</t>
  </si>
  <si>
    <t>부모를 잘 섬기고 효성을 다함</t>
  </si>
  <si>
    <t>街(  )巷說</t>
  </si>
  <si>
    <t>談</t>
  </si>
  <si>
    <t>말씀 담</t>
  </si>
  <si>
    <t>街談巷說 (가담항설)</t>
  </si>
  <si>
    <t>길거리에 떠도는 소문</t>
  </si>
  <si>
    <t>舉(  )齊眉</t>
  </si>
  <si>
    <t>案</t>
  </si>
  <si>
    <t>책상 안</t>
  </si>
  <si>
    <t>擧案齊眉 (거안제미)</t>
  </si>
  <si>
    <t>남편을 깍듯이 공경함</t>
  </si>
  <si>
    <t>靑出(  )藍</t>
  </si>
  <si>
    <t>於</t>
  </si>
  <si>
    <t>어조사 어</t>
  </si>
  <si>
    <t>靑出於藍 (청출어람)</t>
  </si>
  <si>
    <t>쪽에서 뽑아낸 푸른 물감이 쪽보다 더 푸름</t>
  </si>
  <si>
    <t>(  )亡齒寒</t>
  </si>
  <si>
    <t>脣亡齒寒 (순망치한)</t>
  </si>
  <si>
    <t>입술이 없으면 이가 시림</t>
  </si>
  <si>
    <t>(  )心焦思</t>
  </si>
  <si>
    <t>일할 로(노)</t>
  </si>
  <si>
    <t>勞心焦思 (노심초사)</t>
  </si>
  <si>
    <t>몹시 마음을 쓰며 애를 태움</t>
  </si>
  <si>
    <t>(  )強附會</t>
  </si>
  <si>
    <t>牽強附會 (견강부회)</t>
  </si>
  <si>
    <t>이치에 맞지 않는 말을 억지로 끌어 붙임</t>
  </si>
  <si>
    <t>(  )枯盛衰</t>
  </si>
  <si>
    <t>꽃 영</t>
  </si>
  <si>
    <t>榮枯盛衰 (영고성쇠)</t>
  </si>
  <si>
    <t>꽃피고 마르고 번성하고 쇠락함</t>
  </si>
  <si>
    <t>(  )膽相照</t>
  </si>
  <si>
    <t>肝</t>
  </si>
  <si>
    <t>간 간</t>
  </si>
  <si>
    <t>肝膽相照 (간담상조)</t>
  </si>
  <si>
    <t>서로 진심을 터놓고 사귐</t>
  </si>
  <si>
    <t>(  )本塞源</t>
  </si>
  <si>
    <t>拔</t>
  </si>
  <si>
    <t>뽑을 발</t>
  </si>
  <si>
    <t>近(  )者黑</t>
  </si>
  <si>
    <t>먹을 가까이하는 사람은 검어짐 (나쁜 사람과 어울리면 물들기 쉬움)</t>
  </si>
  <si>
    <t>勿失好(  )</t>
  </si>
  <si>
    <t>機</t>
  </si>
  <si>
    <t>틀 기</t>
  </si>
  <si>
    <t>물실호기 (勿失好機)</t>
  </si>
  <si>
    <t>좋은 기회를 놓치지 말라는 뜻</t>
  </si>
  <si>
    <t>(  )骨難忘</t>
  </si>
  <si>
    <t>은혜가 뼈에 사무쳐 잊기 어려움</t>
  </si>
  <si>
    <t>過(  )不及</t>
  </si>
  <si>
    <t>猶</t>
  </si>
  <si>
    <t>오히려 유</t>
  </si>
  <si>
    <t>過猶不及 (과유불급)</t>
  </si>
  <si>
    <t>정도를 지나침은 미치지 못함과 같음</t>
  </si>
  <si>
    <t>(  )地思之</t>
  </si>
  <si>
    <t>易</t>
  </si>
  <si>
    <t>바꿀 역</t>
  </si>
  <si>
    <t>易地思之 (역지사지)</t>
  </si>
  <si>
    <t>처지를 바꾸어서 생각하여 봄</t>
  </si>
  <si>
    <t>桑田(  )海</t>
  </si>
  <si>
    <t>碧</t>
  </si>
  <si>
    <t>푸를 벽</t>
  </si>
  <si>
    <t>세상일의 변천이 심함 (뽕나무밭이 푸른 바다가 됨)</t>
  </si>
  <si>
    <t>巧言(  )色</t>
  </si>
  <si>
    <t>아첨하는 말과 알랑거리는 태도</t>
  </si>
  <si>
    <t>吉凶(  )福</t>
  </si>
  <si>
    <t>吉凶禍福 (길흉화복)</t>
  </si>
  <si>
    <t>좋은 일과 나쁜 일, 행복한 일과 불행한 일</t>
  </si>
  <si>
    <t>咸興(  )使</t>
  </si>
  <si>
    <t>差</t>
  </si>
  <si>
    <t>다를 차/부릴 차</t>
  </si>
  <si>
    <t>심부름을 가서 오지 아니함</t>
  </si>
  <si>
    <t>乘(  )長驅</t>
  </si>
  <si>
    <t>乘勝長驅 (승승장구)</t>
  </si>
  <si>
    <t>싸움에 이긴 형세를 타고 계속 몰아침</t>
  </si>
  <si>
    <t>百八(  )惱</t>
  </si>
  <si>
    <t>괴로워할 번</t>
  </si>
  <si>
    <t>百八煩惱 (백팔번뇌)</t>
  </si>
  <si>
    <t>사람의 마음속에 있는 엄청난 번뇌</t>
  </si>
  <si>
    <t>森羅萬(  )</t>
  </si>
  <si>
    <t>형상 상</t>
  </si>
  <si>
    <t>삼라만상 (森羅萬象)</t>
  </si>
  <si>
    <t>우주에 있는 온갖 사물과 현상</t>
  </si>
  <si>
    <t>小(  )大失</t>
  </si>
  <si>
    <t>貪</t>
  </si>
  <si>
    <t>탐낼 탐</t>
  </si>
  <si>
    <t>小貪大失 (소탐대실)</t>
  </si>
  <si>
    <t>작은 것을 탐하다가 큰 것을 잃음</t>
  </si>
  <si>
    <t>(  )雪之功</t>
  </si>
  <si>
    <t>螢雪之功 (형설지공)</t>
  </si>
  <si>
    <t>반딧불과 눈을 이용한 공부</t>
  </si>
  <si>
    <t>國(  )民安</t>
  </si>
  <si>
    <t>泰</t>
  </si>
  <si>
    <t>클 태</t>
  </si>
  <si>
    <t>국태민안 (國泰民安)</t>
  </si>
  <si>
    <t>나라가 태평하고 백성이 편안함</t>
  </si>
  <si>
    <t>羊頭狗(  )</t>
  </si>
  <si>
    <t>肉</t>
  </si>
  <si>
    <t>고기 육</t>
  </si>
  <si>
    <t>양의 머리를 걸어 놓고 개고기를 팜</t>
  </si>
  <si>
    <t>瓜田(  )下</t>
  </si>
  <si>
    <t>李</t>
  </si>
  <si>
    <t>오얏 리</t>
  </si>
  <si>
    <t>瓜田李下 (과전이하)</t>
  </si>
  <si>
    <t>오이밭에서는 신을, 자두나무 아래에서는 갓을 고쳐 쓰지 말라는 뜻 (의심받을 짓을 하지 않음)</t>
  </si>
  <si>
    <t>넓고 큰 바다 속의 좁쌀 한 알 (아주 보잘것없는 존재)</t>
  </si>
  <si>
    <t>밥 먹고 차 마시는 것처럼 늘 있는 일</t>
  </si>
  <si>
    <t>自(  )之心</t>
  </si>
  <si>
    <t>激</t>
  </si>
  <si>
    <t>격할 격</t>
  </si>
  <si>
    <t>자격지심 (自激之心)</t>
  </si>
  <si>
    <t>자기가 한 일에 대하여 스스로 미흡하게 여기는 마음</t>
  </si>
  <si>
    <t>男(  )女戴</t>
  </si>
  <si>
    <t>男負女戴 (남부여대)</t>
  </si>
  <si>
    <t>남자는 짐을 지고 여자는 짐을 이고 이동함 (가난한 사람들이 떠돌아다님)</t>
  </si>
  <si>
    <t>會者定(  )</t>
  </si>
  <si>
    <t>회자정리 (會者定離)</t>
  </si>
  <si>
    <t>만나는 자는 반드시 헤어지게 마련</t>
  </si>
  <si>
    <t>肝膽相(  )</t>
  </si>
  <si>
    <t>비출 조</t>
  </si>
  <si>
    <t>群(  )一鶴</t>
  </si>
  <si>
    <t>鷄</t>
  </si>
  <si>
    <t>닭 계</t>
  </si>
  <si>
    <t>群鷄一鶴 (군계일학)</t>
  </si>
  <si>
    <t>닭의 무리 가운데에서 한 마리의 학 (여럿 가운데서 가장 뛰어난 사람)</t>
  </si>
  <si>
    <t>縱橫(  )盡</t>
  </si>
  <si>
    <t>無</t>
  </si>
  <si>
    <t>없을 무</t>
  </si>
  <si>
    <t>縱橫無盡 (종횡무진)</t>
  </si>
  <si>
    <t>전후좌우로 움직여 거침이 없고 끝이 없음</t>
  </si>
  <si>
    <t>(  )(  )一炊</t>
  </si>
  <si>
    <t>榮, 枯</t>
  </si>
  <si>
    <t>영화 영, 마를 고</t>
  </si>
  <si>
    <t>영고일취 (榮枯一炊)</t>
  </si>
  <si>
    <t>인생이 꽃피고 시드는 것은 한 번 밥 짓는 순간같이 덧없음</t>
  </si>
  <si>
    <t>先斬(  )(  )</t>
  </si>
  <si>
    <t>後, 啓</t>
  </si>
  <si>
    <t>뒤 후, 여쭐 계</t>
  </si>
  <si>
    <t>선참후계 (先斬後啓)</t>
  </si>
  <si>
    <t>군율을 어긴 자를 먼저 처형한 뒤에 임금에게 아뢰던 일</t>
  </si>
  <si>
    <t>(  )膽相(  )</t>
  </si>
  <si>
    <t>肝, 照</t>
  </si>
  <si>
    <t>간 간, 비출 조</t>
  </si>
  <si>
    <t>(  )恩(  )德</t>
  </si>
  <si>
    <t>背, 忘</t>
  </si>
  <si>
    <t>등 배, 잊을 망</t>
  </si>
  <si>
    <t>배은망덕 (背恩忘德)</t>
  </si>
  <si>
    <t>남에게 입은 은혜를 저버리고 은덕을 잊음</t>
  </si>
  <si>
    <t>四(  )無(  )</t>
  </si>
  <si>
    <t>顧, 託</t>
  </si>
  <si>
    <t>돌아볼 고, 부탁할 탁</t>
  </si>
  <si>
    <t>사고무탁 (四顧無託)</t>
  </si>
  <si>
    <t>사방을 둘러보아도 의탁할 데가 없음</t>
  </si>
  <si>
    <t>唯我(  )(  )</t>
  </si>
  <si>
    <t>獨, 尊</t>
  </si>
  <si>
    <t>홀로 독, 높을 존</t>
  </si>
  <si>
    <t>唯我獨尊 (유아독존)</t>
  </si>
  <si>
    <t>오직 나만이 존귀함</t>
  </si>
  <si>
    <t>(  )霜(  )節</t>
  </si>
  <si>
    <t>傲, 孤</t>
  </si>
  <si>
    <t>거만할 오, 외로울 고</t>
  </si>
  <si>
    <t>차가운 서릿발 속에서도 굴하지 아니하고 외로이 지키는 절개</t>
  </si>
  <si>
    <t>(  )(  )滄海</t>
  </si>
  <si>
    <t>桑, 田</t>
  </si>
  <si>
    <t>뽕나무 상, 밭 전</t>
  </si>
  <si>
    <t>桑田滄海 (상전창해)</t>
  </si>
  <si>
    <t>뽕나무 밭이 변하여 푸른 바다가 됨 (세상일의 변천이 심함)</t>
  </si>
  <si>
    <t>風前(  )(  )</t>
  </si>
  <si>
    <t>燭, 火</t>
  </si>
  <si>
    <t>촛불 촉, 불 화</t>
  </si>
  <si>
    <t>풍전등화 (風前燭火)</t>
  </si>
  <si>
    <t>바람 앞의 촛불 (매우 위태로운 처지)</t>
  </si>
  <si>
    <t>(  )(  )爲馬</t>
  </si>
  <si>
    <t>指, 鹿</t>
  </si>
  <si>
    <t>손가락 지, 사슴 록</t>
  </si>
  <si>
    <t>윗사람을 농락하여 권세를 마음대로 함</t>
  </si>
  <si>
    <t>丹(  )皓齒</t>
  </si>
  <si>
    <t>丹脣皓齒 (단순호치)</t>
  </si>
  <si>
    <t>붉은 입술과 하얀 치아 (미인을 이르는 말)</t>
  </si>
  <si>
    <t>換骨(  )胎</t>
  </si>
  <si>
    <t>換骨奪胎 (환골탈태)</t>
  </si>
  <si>
    <t>뼈대를 바꾸어 끼고 태를 바꾸어 씀 (사람이 딴사람처럼 좋아짐)</t>
  </si>
  <si>
    <t>紙筆硯(  )</t>
  </si>
  <si>
    <t>지필연묵 (紙筆硯墨)</t>
  </si>
  <si>
    <t>종이와 붓과 벼루와 먹 (문방사우)</t>
  </si>
  <si>
    <t>몸 전체를 이르는 말</t>
  </si>
  <si>
    <t>(  )田滄海</t>
  </si>
  <si>
    <t>뽕나무 밭이 변하여 푸른 바다가 됨 (세상의 큰 변화)</t>
  </si>
  <si>
    <t>風餐(  )宿</t>
  </si>
  <si>
    <t>풍찬노숙 (風餐露宿)</t>
  </si>
  <si>
    <t>객지에서 겪는 숱한 고생 (바람을 먹고 이슬을 맞으며 잠)</t>
  </si>
  <si>
    <t>吳(  )同舟</t>
  </si>
  <si>
    <t>오월동주 (吳越同舟)</t>
  </si>
  <si>
    <t>어려운 상황에서는 원수라도 협력하게 됨</t>
  </si>
  <si>
    <t>(  )瑟之樂</t>
  </si>
  <si>
    <t>琴瑟之樂 (금슬지락)</t>
  </si>
  <si>
    <t>부부간의 사랑</t>
  </si>
  <si>
    <t>(  )(  )無常</t>
  </si>
  <si>
    <t>輪, 廻</t>
  </si>
  <si>
    <t>바퀴 륜, 돌 회</t>
  </si>
  <si>
    <t>윤회무상 (輪廻無常)</t>
  </si>
  <si>
    <t>인생은 수레바퀴가 끊임없이 구르는 것과 같이 돌고 돌며 덧없음</t>
  </si>
  <si>
    <t>堯舜之(  )</t>
  </si>
  <si>
    <t>節</t>
  </si>
  <si>
    <t>마디 절</t>
  </si>
  <si>
    <t>요순지절 (堯舜之節)</t>
  </si>
  <si>
    <t>요임금과 순임금이 덕으로 천하를 다스리던 태평한 시절</t>
  </si>
  <si>
    <t>(  )鉢通文</t>
  </si>
  <si>
    <t>沙</t>
  </si>
  <si>
    <t>모래 사</t>
  </si>
  <si>
    <t>사발통문 (沙鉢通文)</t>
  </si>
  <si>
    <t>이름을 사발 모양으로 둥글게 삥 돌려 적은 통문</t>
  </si>
  <si>
    <t>天佑(  )助</t>
  </si>
  <si>
    <t>神</t>
  </si>
  <si>
    <t>귀신 신</t>
  </si>
  <si>
    <t>천우신조 (天佑神助)</t>
  </si>
  <si>
    <t>하늘이 돕고 신령이 도움</t>
  </si>
  <si>
    <t>好事(  )魔</t>
  </si>
  <si>
    <t>多</t>
  </si>
  <si>
    <t>마늘 다</t>
  </si>
  <si>
    <t>호사다마 (好事多魔)</t>
  </si>
  <si>
    <t>좋은 일에는 흔히 방해되는 일이 많음</t>
  </si>
  <si>
    <t>纖纖(  )手</t>
  </si>
  <si>
    <t>섬섬옥수 (纖纖玉手)</t>
  </si>
  <si>
    <t>가냘프고 옥처럼 고운 여자의 손</t>
  </si>
  <si>
    <t>붉은 입술과 하얀 치아 (미인의 얼굴)</t>
  </si>
  <si>
    <t>沃(  )千里</t>
  </si>
  <si>
    <t>野</t>
  </si>
  <si>
    <t>들 야</t>
  </si>
  <si>
    <t>옥야천리 (沃野千里)</t>
  </si>
  <si>
    <t>끝없이 넓은 기름진 들판</t>
  </si>
  <si>
    <t>不撤畫(  )</t>
  </si>
  <si>
    <t>불철주야 (不撤畫夜)</t>
  </si>
  <si>
    <t>일에 몰두하여 조금도 쉴 사이 없이 밤낮을 가리지 아니함</t>
  </si>
  <si>
    <t>韋編三(  )</t>
  </si>
  <si>
    <t>絕</t>
  </si>
  <si>
    <t>끊을 절</t>
  </si>
  <si>
    <t>韋編三絶 (위편삼절)</t>
  </si>
  <si>
    <t>책을 끈이 끊어지도록 열심히 읽음</t>
  </si>
  <si>
    <t>經世(  )民</t>
  </si>
  <si>
    <t>경세제민 (經世濟民)</t>
  </si>
  <si>
    <t>세상을 다스리고 백성을 구함</t>
  </si>
  <si>
    <t>길흉과 화복 (좋은 일과 나쁜 일)</t>
  </si>
  <si>
    <t>群雄(  )據</t>
  </si>
  <si>
    <t>割</t>
  </si>
  <si>
    <t>벨 할</t>
  </si>
  <si>
    <t>群雄割據 (군웅할거)</t>
  </si>
  <si>
    <t>여러 영웅이 각기 한 지방씩 차지하고 위세를 부림</t>
  </si>
  <si>
    <t>남자는 등에 지고 여자는 머리에 짐을 인다 (가난한 사람들이 떠돌아다님)</t>
  </si>
  <si>
    <t>拔本(  )源</t>
  </si>
  <si>
    <t>폐단의 근본 원인을 아주 없앰</t>
  </si>
  <si>
    <t>束手無(  )</t>
  </si>
  <si>
    <t>策</t>
  </si>
  <si>
    <t>꾀 책</t>
  </si>
  <si>
    <t>속수무책 (束手無策)</t>
  </si>
  <si>
    <t>손을 묶어놓아 방책이 없음 (어찌할 도리가 없음)</t>
  </si>
  <si>
    <t>切齒(  )心</t>
  </si>
  <si>
    <t>腐</t>
  </si>
  <si>
    <t>썩을 부</t>
  </si>
  <si>
    <t>切齒腐心 (절치부심)</t>
  </si>
  <si>
    <t>몹시 분하여 이를 갈며 속을 썩임</t>
  </si>
  <si>
    <t>(  )卵之勢</t>
  </si>
  <si>
    <t>累</t>
  </si>
  <si>
    <t>쌓을 루(누)</t>
  </si>
  <si>
    <t>累卵之勢 (누란지세)</t>
  </si>
  <si>
    <t>층층이 쌓아 놓은 알처럼 몹시 위태로운 형세</t>
  </si>
  <si>
    <t>太平(  )月</t>
  </si>
  <si>
    <t>煙</t>
  </si>
  <si>
    <t>연기 연</t>
  </si>
  <si>
    <t>태평연월 (太平煙月)</t>
  </si>
  <si>
    <t>근심이나 걱정이 없는 편안한 세월</t>
  </si>
  <si>
    <t>危(  )一髮</t>
  </si>
  <si>
    <t>위기일발 (危機一髮)</t>
  </si>
  <si>
    <t>여유가 조금도 없이 몹시 절박한 순간</t>
  </si>
  <si>
    <t>烏飛(  )落</t>
  </si>
  <si>
    <t>梨</t>
  </si>
  <si>
    <t>배 리</t>
  </si>
  <si>
    <t>烏飛梨落 (오비이락)</t>
  </si>
  <si>
    <t>까마귀 날자 배 떨어진다 (아무 관계 없는 일이 공교롭게 때가 같아 억울하게 의심받음)</t>
  </si>
  <si>
    <t>勸善(  )惡</t>
  </si>
  <si>
    <t>懲</t>
  </si>
  <si>
    <t>징계할 징</t>
  </si>
  <si>
    <t>勸善懲惡 (권선징악)</t>
  </si>
  <si>
    <t>착한 일을 권장하고 악한 일을 징계함</t>
  </si>
  <si>
    <t>日(  )月深</t>
  </si>
  <si>
    <t>久</t>
  </si>
  <si>
    <t>오랠 구</t>
  </si>
  <si>
    <t>日久月深 (일구월심)</t>
  </si>
  <si>
    <t>세월이 흐를수록 더함</t>
  </si>
  <si>
    <t>(  )入佳境</t>
  </si>
  <si>
    <t>漸</t>
  </si>
  <si>
    <t>점점 점</t>
  </si>
  <si>
    <t>漸入佳境 (점입가경)</t>
  </si>
  <si>
    <t>시간이 지날수록 하는 짓이나 몰골이 더욱 꼴불견임</t>
  </si>
  <si>
    <t>東(  )西走</t>
  </si>
  <si>
    <t>東奔西走 (동분서주)</t>
  </si>
  <si>
    <t>사방으로 이리저리 몹시 바쁘게 돌아다님</t>
  </si>
  <si>
    <t>千(  )一遇</t>
  </si>
  <si>
    <t>載</t>
  </si>
  <si>
    <t>실을 재/해 재</t>
  </si>
  <si>
    <t>千載一遇 (천재일우)</t>
  </si>
  <si>
    <t>좀처럼 만나기 어려운 좋은 기회</t>
  </si>
  <si>
    <t>(  )和雷同</t>
  </si>
  <si>
    <t>附</t>
  </si>
  <si>
    <t>붙을 부</t>
  </si>
  <si>
    <t>줏대 없이 남의 의견에 따라 움직임</t>
  </si>
  <si>
    <t>(  )田鬪狗</t>
  </si>
  <si>
    <t>泥</t>
  </si>
  <si>
    <t>진흙 니</t>
  </si>
  <si>
    <t>이전투구 (泥田鬪狗)</t>
  </si>
  <si>
    <t>자기의 이익을 위하여 비열하게 다툼</t>
  </si>
  <si>
    <t>묶을 루(누)</t>
  </si>
  <si>
    <t>몹시 위태로운 형세</t>
  </si>
  <si>
    <t>(  )上君子</t>
  </si>
  <si>
    <t>梁</t>
  </si>
  <si>
    <t>들보 량</t>
  </si>
  <si>
    <t>양상군자 (梁上君子)</t>
  </si>
  <si>
    <t>도둑</t>
  </si>
  <si>
    <t>朝令(  )改</t>
  </si>
  <si>
    <t>朝令暮改 (조령모개)</t>
  </si>
  <si>
    <t>아침에 명령을 내렸다가 저녁에 다시 고침 (법령을 자꾸 고쳐서 갈피를 잡기가 어려움)</t>
  </si>
  <si>
    <t>畫蛇(  )足</t>
  </si>
  <si>
    <t>쓸데없는 군짓을 하여 도리어 잘못되게 함</t>
  </si>
  <si>
    <t>(  )勝長驅</t>
  </si>
  <si>
    <t>乘</t>
  </si>
  <si>
    <t>탈 승</t>
  </si>
  <si>
    <t>榮(  )盛衰</t>
  </si>
  <si>
    <t>인생이나 사물의 번성함과 쇠락함이 서로 바뀜</t>
  </si>
  <si>
    <t>(  )友有信</t>
  </si>
  <si>
    <t>朋</t>
  </si>
  <si>
    <t>벗 붕</t>
  </si>
  <si>
    <t>붕우유신 (朋友有信)</t>
  </si>
  <si>
    <t>벗과 벗 사이의 도리는 믿음에 있음</t>
  </si>
  <si>
    <t>南柯之(  )</t>
  </si>
  <si>
    <t>南柯之夢 (남가지몽)</t>
  </si>
  <si>
    <t>꿈과 같이 헛된 한때의 부귀영화를 이르는 말</t>
  </si>
  <si>
    <t>(  )興差使</t>
  </si>
  <si>
    <t>심부름을 가서 오지 아니하거나 늦게 온 사람을 이르는 말</t>
  </si>
  <si>
    <t>(  )脣皓齒</t>
  </si>
  <si>
    <t>丹 / 朱</t>
  </si>
  <si>
    <t>붉은 단 / 붉은 주</t>
  </si>
  <si>
    <t>붉은 입술과 하얀 치아라는 뜻으로, 아름다운 여자를 이름</t>
  </si>
  <si>
    <t>綠(  )芳草</t>
  </si>
  <si>
    <t>楊</t>
  </si>
  <si>
    <t>버들 양</t>
  </si>
  <si>
    <t>푸른 버드나무와 향기로운 풀 (아름다운 경치)</t>
  </si>
  <si>
    <t>孤軍( )鬪</t>
  </si>
  <si>
    <t>적은 군사력으로 용감하게 잘 싸움</t>
  </si>
  <si>
    <t>明( )觀火</t>
  </si>
  <si>
    <t>若</t>
  </si>
  <si>
    <t>같을 약</t>
  </si>
  <si>
    <t>명약관화 (明若觀火)</t>
  </si>
  <si>
    <t>불을 보는 것 같이 밝게 보임 (의심할 여지 없이 명백함)</t>
  </si>
  <si>
    <t>拔本( )源</t>
  </si>
  <si>
    <t>폐단의 근원을 아주 뽑아 없앰</t>
  </si>
  <si>
    <t>雪上加( )</t>
  </si>
  <si>
    <t>霜</t>
  </si>
  <si>
    <t>서리 상</t>
  </si>
  <si>
    <t>雪上加霜 (설상가상)</t>
  </si>
  <si>
    <t>눈 위에 서리가 덮인다는 뜻으로, 엎친 데 덮친 격</t>
  </si>
  <si>
    <t>( )言令色</t>
  </si>
  <si>
    <t>남의 환심을 사려고 아첨하는 교묘한 말과 보기 좋게 꾸미는 표정</t>
  </si>
  <si>
    <t>三( )草廬</t>
  </si>
  <si>
    <t>縱( )無盡</t>
  </si>
  <si>
    <t>자유자재로 행동하여 거침이 없음</t>
  </si>
  <si>
    <t>手不( )卷</t>
  </si>
  <si>
    <t>手不釋卷 (수불석권)</t>
  </si>
  <si>
    <t>손에서 책을 놓지 않음 (늘 책을 가까이하여 학문을 열심히 함)</t>
  </si>
  <si>
    <t>父為子( )</t>
  </si>
  <si>
    <t>父爲子綱 (부위자강)</t>
  </si>
  <si>
    <t>아버지는 자식의 모범이 되어야 한다</t>
  </si>
  <si>
    <t>( )世之才</t>
  </si>
  <si>
    <t>개세지재 (蓋世之才)</t>
  </si>
  <si>
    <t>온 세상을 덮을 만큼 뛰어난 재주</t>
  </si>
  <si>
    <t>內( )外患</t>
  </si>
  <si>
    <t>內憂外患 (내우외환)</t>
  </si>
  <si>
    <t>나라 안팎의 근심 걱정</t>
  </si>
  <si>
    <t>( )卵之勢</t>
  </si>
  <si>
    <t>달걀을 포개어 놓은 것과 같은 위태로운 형세</t>
  </si>
  <si>
    <t>東( )西走</t>
  </si>
  <si>
    <t>사방으로 이리저리 바삐 돌아다님</t>
  </si>
  <si>
    <t>拍( )大笑</t>
  </si>
  <si>
    <t>掌</t>
  </si>
  <si>
    <t>손바닥 장</t>
  </si>
  <si>
    <t>拍掌大笑 (박장대소)</t>
  </si>
  <si>
    <t>손뼉을 치고 크게 웃음</t>
  </si>
  <si>
    <t>背恩( )德</t>
  </si>
  <si>
    <t>忘</t>
  </si>
  <si>
    <t>잊을 망</t>
  </si>
  <si>
    <t>받은 은혜를 저버리고 은덕을 잊음</t>
  </si>
  <si>
    <t>左衝右( )</t>
  </si>
  <si>
    <t>突</t>
  </si>
  <si>
    <t>부딪칠 돌</t>
  </si>
  <si>
    <t>좌충우돌 (左衝右突)</t>
  </si>
  <si>
    <t>이리저리 마구 치고받고 함</t>
  </si>
  <si>
    <t>貪官( )吏</t>
  </si>
  <si>
    <t>탐욕 많고 깨끗하지 못한 벼슬아치</t>
  </si>
  <si>
    <t>興亡盛( )</t>
  </si>
  <si>
    <t>興亡盛衰 (흥망성쇠)</t>
  </si>
  <si>
    <t>흥하고 망하고 성하고 쇠하는 일</t>
  </si>
  <si>
    <t>億兆( )生</t>
  </si>
  <si>
    <t>蒼</t>
  </si>
  <si>
    <t>푸를 창</t>
  </si>
  <si>
    <t>수많은 백성</t>
  </si>
  <si>
    <t>( )然自失</t>
  </si>
  <si>
    <t>茫</t>
  </si>
  <si>
    <t>아득할 망</t>
  </si>
  <si>
    <t>茫然自失 (망연자실)</t>
  </si>
  <si>
    <t>정신을 잃고 어리둥절한 모양</t>
  </si>
  <si>
    <t>綠( )芳草</t>
  </si>
  <si>
    <t>푸른 버드나무와 아름다운 풀</t>
  </si>
  <si>
    <t>( )合之卒</t>
  </si>
  <si>
    <t>烏</t>
  </si>
  <si>
    <t>까마귀 오</t>
  </si>
  <si>
    <t>오합지졸 (烏合之卒)</t>
  </si>
  <si>
    <t>까마귀가 모인 것처럼 규율 없는 병졸</t>
  </si>
  <si>
    <t>( )我獨尊</t>
  </si>
  <si>
    <t>唯</t>
  </si>
  <si>
    <t>오직 유</t>
  </si>
  <si>
    <t>자기 혼자만 잘났다고 하는 일</t>
  </si>
  <si>
    <t>青出( )藍</t>
  </si>
  <si>
    <t>제자가 스승보다 나음을 이르는 말</t>
  </si>
  <si>
    <t>抱腹絶( )</t>
  </si>
  <si>
    <t>倒</t>
  </si>
  <si>
    <t>넘어질 도</t>
  </si>
  <si>
    <t>抱腹絶倒 (포복절도)</t>
  </si>
  <si>
    <t>배를 안고 넘어질 정도로 몹시 웃음</t>
  </si>
  <si>
    <t>千( )萬苦</t>
  </si>
  <si>
    <t>온갖 어려운 일 또는 그것을 겪음</t>
  </si>
  <si>
    <t>支離滅( )</t>
  </si>
  <si>
    <t>찢을 렬</t>
  </si>
  <si>
    <t>支離滅裂 (지리멸렬)</t>
  </si>
  <si>
    <t>서로 갈리고 찢기어서 갈피를 잡을 수 없음</t>
  </si>
  <si>
    <t>丹( )皓齒</t>
  </si>
  <si>
    <t>붉은 입술과 흰 이. 아름다운 여자를 이르는 말</t>
  </si>
  <si>
    <t>街談( )說</t>
  </si>
  <si>
    <t>巷</t>
  </si>
  <si>
    <t>거리 항</t>
  </si>
  <si>
    <t>指鹿( )馬</t>
  </si>
  <si>
    <t>爲</t>
  </si>
  <si>
    <t>할 위</t>
  </si>
  <si>
    <t>堅忍不( )</t>
  </si>
  <si>
    <t>견인불발 (堅忍不拔)</t>
  </si>
  <si>
    <t>굳게 참고 견디어 마음이 흔들리지 않음</t>
  </si>
  <si>
    <t>배부르게 먹고 따뜻하게 입음 (의식 걱정이 없음)</t>
  </si>
  <si>
    <t>矯角( )牛</t>
  </si>
  <si>
    <t>矯角殺牛 (교각살우)</t>
  </si>
  <si>
    <t>작은 결점을 고치려다 일을 그르침</t>
  </si>
  <si>
    <t>虛( )聲勢</t>
  </si>
  <si>
    <t>張</t>
  </si>
  <si>
    <t>베풀 장</t>
  </si>
  <si>
    <t>虛張聲勢 (허장성세)</t>
  </si>
  <si>
    <t>실속은 없으면서 큰소리치거나 허세를 부림</t>
  </si>
  <si>
    <t>( )餘之策</t>
  </si>
  <si>
    <t>궁여지책 (窮餘之策)</t>
  </si>
  <si>
    <t>궁한 나머지 생각다 못하여 짜낸 계책</t>
  </si>
  <si>
    <t>( )脣皓齒</t>
  </si>
  <si>
    <t>丹</t>
  </si>
  <si>
    <t>붉은 단</t>
  </si>
  <si>
    <t>背( )忘德</t>
  </si>
  <si>
    <t>恩</t>
  </si>
  <si>
    <t>은혜 은</t>
  </si>
  <si>
    <t>남에게 입은 은덕을 저버리고 배신함</t>
  </si>
  <si>
    <t>宿虎( )鼻</t>
  </si>
  <si>
    <t>衝</t>
  </si>
  <si>
    <t>찌를 충</t>
  </si>
  <si>
    <t>자는 호랑이의 코를 찌름 (공연히 화를 자초함)</t>
  </si>
  <si>
    <t>修身齊( )</t>
  </si>
  <si>
    <t>家</t>
  </si>
  <si>
    <t>집 가</t>
  </si>
  <si>
    <t>수신제가 (修身齊家)</t>
  </si>
  <si>
    <t>몸과 마음을 닦고 집안을 다스림</t>
  </si>
  <si>
    <t>( )世濟民</t>
  </si>
  <si>
    <t>經</t>
  </si>
  <si>
    <t>다스릴 경</t>
  </si>
  <si>
    <t>세상을 다스리고 백성을 구제함</t>
  </si>
  <si>
    <t>富貴( )天</t>
  </si>
  <si>
    <t>在</t>
  </si>
  <si>
    <t>있을 재</t>
  </si>
  <si>
    <t>부귀재천 (富貴在天)</t>
  </si>
  <si>
    <t>부귀는 하늘에 달려 있음</t>
  </si>
  <si>
    <t>苦盡甘( )</t>
  </si>
  <si>
    <t>來</t>
  </si>
  <si>
    <t>올 래</t>
  </si>
  <si>
    <t>苦盡甘來 (고진감래)</t>
  </si>
  <si>
    <t>쓴 것이 다하면 단 것이 옴 (고생 끝에 즐거움이 옴)</t>
  </si>
  <si>
    <t>吉凶禍( )</t>
  </si>
  <si>
    <t>福</t>
  </si>
  <si>
    <t>복 복</t>
  </si>
  <si>
    <t>좋은 일과 나쁜 일, 불행한 일과 행복한 일</t>
  </si>
  <si>
    <t>美( )麗句</t>
  </si>
  <si>
    <t>美辭麗句 (미사여구)</t>
  </si>
  <si>
    <t>아름다운 말로 듣기 좋게 꾸민 글귀</t>
  </si>
  <si>
    <t>溫故知( )</t>
  </si>
  <si>
    <t>新</t>
  </si>
  <si>
    <t>새 신</t>
  </si>
  <si>
    <t>온고지신 (溫故知新)</t>
  </si>
  <si>
    <t>옛것을 익혀 새로운 것을 앎</t>
  </si>
  <si>
    <t>自( )不息</t>
  </si>
  <si>
    <t>強</t>
  </si>
  <si>
    <t>자강불식 (自強不息)</t>
  </si>
  <si>
    <t>스스로 힘을 쓰고 쉬지 아니함</t>
  </si>
  <si>
    <t>螢( )之功</t>
  </si>
  <si>
    <t>雪</t>
  </si>
  <si>
    <t>눈 설</t>
  </si>
  <si>
    <t>반딧불과 흰 눈빛에 책을 읽어 성공함</t>
  </si>
  <si>
    <t>( )怒哀樂</t>
  </si>
  <si>
    <t>희노애락 (喜怒哀樂)</t>
  </si>
  <si>
    <t>기쁨과 노여움, 슬픔과 즐거움</t>
  </si>
  <si>
    <t>( )枯盛衰</t>
  </si>
  <si>
    <t>개인이나 사회의 성하고 쇠함은 일정하지 않음</t>
  </si>
  <si>
    <t>會者定( )</t>
  </si>
  <si>
    <t>만나는 자는 반드시 헤어지게 마련이라는 것</t>
  </si>
  <si>
    <t>大( )失色</t>
  </si>
  <si>
    <t>驚</t>
  </si>
  <si>
    <t>놀랄 경</t>
  </si>
  <si>
    <t>대경실색 (大驚失色)</t>
  </si>
  <si>
    <t>몹시 놀라 얼굴빛이 하얗게 변함</t>
  </si>
  <si>
    <t>( )之度外</t>
  </si>
  <si>
    <t>置</t>
  </si>
  <si>
    <t>둘 치</t>
  </si>
  <si>
    <t>치지도외 (置之度外)</t>
  </si>
  <si>
    <t>내버려두어 문제로 삼지 아니함</t>
  </si>
  <si>
    <t>過( )不及</t>
  </si>
  <si>
    <t>정도를 지나침은 미치지 않은 것만 못함을 이르는 말</t>
  </si>
  <si>
    <t>衆( )不敵</t>
  </si>
  <si>
    <t>적은 사람으로는 많은 사람을 대적하지 못함</t>
  </si>
  <si>
    <t>( )和雷同</t>
  </si>
  <si>
    <t>아무런 주견 없이 남의 의견이나 행동을 덩달아 따름</t>
  </si>
  <si>
    <t>自( )自棄</t>
  </si>
  <si>
    <t>자포자기 (自暴自棄)</t>
  </si>
  <si>
    <t>스스로 자기의 몸을 해치고 자기의 몸을 버림 (절망하여 체념함)</t>
  </si>
  <si>
    <t>마음속으로 참아가며 행동을 신중히 함</t>
  </si>
  <si>
    <t>一( )卽發</t>
  </si>
  <si>
    <t>一觸卽發 (일촉즉발)</t>
  </si>
  <si>
    <t>금방이라도 일이 터질 듯한 아슬아슬한 긴장 상태</t>
  </si>
  <si>
    <t>勸善懲( )</t>
  </si>
  <si>
    <t>선행을 장려하고 악행을 벌함</t>
  </si>
  <si>
    <t>여럿 가운데서 취할 것은 취하고 버릴 것은 버림</t>
  </si>
  <si>
    <t>博( )多識</t>
  </si>
  <si>
    <t>박학다식 (博學多識)</t>
  </si>
  <si>
    <t>학문이 넓고 식견이 많음</t>
  </si>
  <si>
    <t>百折不( )</t>
  </si>
  <si>
    <t>백절불굴 (百折不屈)</t>
  </si>
  <si>
    <t>어떤 난관에도 굽히지 않음</t>
  </si>
  <si>
    <t>夫唱( )隨</t>
  </si>
  <si>
    <t>夫唱婦隨 (부창부수)</t>
  </si>
  <si>
    <t>남편이 주장하고 아내가 잘 따름</t>
  </si>
  <si>
    <t>森羅萬( )</t>
  </si>
  <si>
    <t>코끼리(형상) 상</t>
  </si>
  <si>
    <t>우주 속에 존재하는 모든 사물과 모든 현상</t>
  </si>
  <si>
    <t>危( )一髮</t>
  </si>
  <si>
    <t>여유가 조금도 없는 절박한 순간</t>
  </si>
  <si>
    <t>( )出於藍</t>
  </si>
  <si>
    <t>靑</t>
  </si>
  <si>
    <t>푸를 청</t>
  </si>
  <si>
    <t>제자가 스승보다 뛰어남을 비유하는 말</t>
  </si>
  <si>
    <t>秋風( )葉</t>
  </si>
  <si>
    <t>추풍낙엽 (秋風落葉)</t>
  </si>
  <si>
    <t>가을바람에 떨어지는 잎을 비유하여 형세가 갑자기 기울어짐을 의미함</t>
  </si>
  <si>
    <t>自( )至終</t>
  </si>
  <si>
    <t>자초지종 (自初至終)</t>
  </si>
  <si>
    <t>처음부터 끝까지의 과정</t>
  </si>
  <si>
    <t>名不( )傳</t>
  </si>
  <si>
    <t>명불허전 (名不虛傳)</t>
  </si>
  <si>
    <t>이름은 헛되이 전해지는 것이 아님</t>
  </si>
  <si>
    <t>세상의 변화가 매우 심함</t>
  </si>
  <si>
    <t>貪官汚( )</t>
  </si>
  <si>
    <t>吏</t>
  </si>
  <si>
    <t>관리 리</t>
  </si>
  <si>
    <t>재물에 탐욕이 많고 행실이 깨끗하지 못한 관원</t>
  </si>
  <si>
    <t>孤掌難( )</t>
  </si>
  <si>
    <t>鳴</t>
  </si>
  <si>
    <t>울 명</t>
  </si>
  <si>
    <t>孤掌難鳴 (고장난명)</t>
  </si>
  <si>
    <t>혼자서는 일을 이루지 못함 (손바닥 하나로는 소리가 나지 않음)</t>
  </si>
  <si>
    <t>( )上添花</t>
  </si>
  <si>
    <t>錦</t>
  </si>
  <si>
    <t>비단 금</t>
  </si>
  <si>
    <t>錦上添花 (금상첨화)</t>
  </si>
  <si>
    <t>좋은 일이 겹침 (비단 위에 꽃을 더함)</t>
  </si>
  <si>
    <t>烏飛( )落</t>
  </si>
  <si>
    <t>일이 공교롭게 같이 일어나 남의 의심을 삼</t>
  </si>
  <si>
    <t>人面( )心</t>
  </si>
  <si>
    <t>獸</t>
  </si>
  <si>
    <t>짐승 수</t>
  </si>
  <si>
    <t>인면수심 (人面獸心)</t>
  </si>
  <si>
    <t>사람의 모습을 하고 있으나 마음은 짐승과 같음</t>
  </si>
  <si>
    <t>指( )爲馬</t>
  </si>
  <si>
    <t>이치에 맞지 않는 것을 우겨 남을 속임</t>
  </si>
  <si>
    <t>( )地思之</t>
  </si>
  <si>
    <t>처지를 바꾸어 생각함</t>
  </si>
  <si>
    <t>結草報( )</t>
  </si>
  <si>
    <t>結草報恩 (결초보은)</t>
  </si>
  <si>
    <t>은혜를 잊지 않고 갚음</t>
  </si>
  <si>
    <t>九曲羊( )</t>
  </si>
  <si>
    <t>腸</t>
  </si>
  <si>
    <t>창자 장</t>
  </si>
  <si>
    <t>九曲羊腸 (구곡양장)</t>
  </si>
  <si>
    <t>매우 굴곡진 험한 길</t>
  </si>
  <si>
    <t>塞( )之馬</t>
  </si>
  <si>
    <t>늙은이 옹</t>
  </si>
  <si>
    <t>인생의 길흉화복은 예측할 수 없음</t>
  </si>
  <si>
    <t>凍( )寒雪</t>
  </si>
  <si>
    <t>동빙한설 (凍氷寒雪)</t>
  </si>
  <si>
    <t>매서운 추위</t>
  </si>
  <si>
    <t>鶴首( )待</t>
  </si>
  <si>
    <t>몹시 애타게 기다림</t>
  </si>
  <si>
    <t>切齒( )心</t>
  </si>
  <si>
    <t>仲秋( )節</t>
  </si>
  <si>
    <t>중추가절 (仲秋佳節)</t>
  </si>
  <si>
    <t>추석</t>
  </si>
  <si>
    <t>送( )迎新</t>
  </si>
  <si>
    <t>송구영신 (送舊迎新)</t>
  </si>
  <si>
    <t>묵은 해를 보내고 새해를 맞음</t>
  </si>
  <si>
    <t>以( )投石</t>
  </si>
  <si>
    <t>이란투석 (以卵投石)</t>
  </si>
  <si>
    <t>달걀로 돌을 치는 어리석은 행위</t>
  </si>
  <si>
    <t>綠衣紅( )</t>
  </si>
  <si>
    <t>裳</t>
  </si>
  <si>
    <t>치마 상</t>
  </si>
  <si>
    <t>녹의홍상 (綠衣紅裳)</t>
  </si>
  <si>
    <t>젊은 여인의 고운 옷차림</t>
  </si>
  <si>
    <t>高( )廣室</t>
  </si>
  <si>
    <t>고대광실 (高臺廣室)</t>
  </si>
  <si>
    <t>굉장히 크고 좋은 집</t>
  </si>
  <si>
    <t>나쁜 사람을 가까이 하면 물들기 쉬움</t>
  </si>
  <si>
    <t>붉을 단</t>
  </si>
  <si>
    <t>붉은 입술과 흰 이. 아름다운 여자를 이름</t>
  </si>
  <si>
    <t>夫唱婦( )</t>
  </si>
  <si>
    <t>隨</t>
  </si>
  <si>
    <t>따를 수</t>
  </si>
  <si>
    <t>남편이 주장하고 아내가 이에 잘 따름</t>
  </si>
  <si>
    <t>( )機應變</t>
  </si>
  <si>
    <t>臨</t>
  </si>
  <si>
    <t>임할 임</t>
  </si>
  <si>
    <t>임기응변 (臨機應變)</t>
  </si>
  <si>
    <t>그때그때 일의 형편에 따라 일을 처리함</t>
  </si>
  <si>
    <t>轉( )為福</t>
  </si>
  <si>
    <t>轉禍爲福 (전화위복)</t>
  </si>
  <si>
    <t>화가 바뀌어 복이 됨</t>
  </si>
  <si>
    <t>飽食( )衣</t>
  </si>
  <si>
    <t>暖</t>
  </si>
  <si>
    <t>따뜻할 난</t>
  </si>
  <si>
    <t>群鶏一( )</t>
  </si>
  <si>
    <t>평범한 사람 가운데 뛰어난 한 사람</t>
  </si>
  <si>
    <t>吾鼻三( )</t>
  </si>
  <si>
    <t>吾鼻三尺 (오비삼척)</t>
  </si>
  <si>
    <t>내 코가 석자. 남의 사정을 돌볼 겨를이 없음</t>
  </si>
  <si>
    <t>感( )無量</t>
  </si>
  <si>
    <t>慨</t>
  </si>
  <si>
    <t>슬퍼할/분개할 개</t>
  </si>
  <si>
    <t>感慨無量 (감개무량)</t>
  </si>
  <si>
    <t>마음으로 느끼는 감동이 끝이 없음</t>
  </si>
  <si>
    <t>지나친 것은 오히려 미치지 않은 것만 못함</t>
  </si>
  <si>
    <t>修身( )家</t>
  </si>
  <si>
    <t>몸을 닦고 집안을 바로 잡음</t>
  </si>
  <si>
    <t>山( )水明</t>
  </si>
  <si>
    <t>紫</t>
  </si>
  <si>
    <t>자줏빛 자</t>
  </si>
  <si>
    <t>산자수명 (山紫水明)</t>
  </si>
  <si>
    <t>산수의 경치가 썩 아름다움</t>
  </si>
  <si>
    <t>龍頭( )尾</t>
  </si>
  <si>
    <t>蛇</t>
  </si>
  <si>
    <t>뱀 사</t>
  </si>
  <si>
    <t>용두사미 (龍頭蛇尾)</t>
  </si>
  <si>
    <t>시작만 좋고 나중은 좋지 않음</t>
  </si>
  <si>
    <t>( )田鬪狗</t>
  </si>
  <si>
    <t>진흙 밭에서 싸우는 개 (저급한 싸움)</t>
  </si>
  <si>
    <t>恒茶( )事</t>
  </si>
  <si>
    <t>늘 있는 일</t>
  </si>
  <si>
    <t>左( )右突</t>
  </si>
  <si>
    <t>이리저리 마구 치고 받고 함</t>
  </si>
  <si>
    <t>평범한 사람 중에 뛰어난 한 사람</t>
  </si>
  <si>
    <t>처음은 왕성하나 나중에는 흐지부지함</t>
  </si>
  <si>
    <t>구불구불한 험한 산길</t>
  </si>
  <si>
    <t>孤( )難鳴</t>
  </si>
  <si>
    <t>혼자서는 일하기가 어려움</t>
  </si>
  <si>
    <t>論功行( )</t>
  </si>
  <si>
    <t>賞</t>
  </si>
  <si>
    <t>상줄 상</t>
  </si>
  <si>
    <t>논공행상 (論功行賞)</t>
  </si>
  <si>
    <t>공적에 따라 직위를 나누어 줌</t>
  </si>
  <si>
    <t>朝雲( )雨</t>
  </si>
  <si>
    <t>조운모우 (朝雲暮雨)</t>
  </si>
  <si>
    <t>남녀 간의 애정이 깊음</t>
  </si>
  <si>
    <t>改過( )善</t>
  </si>
  <si>
    <t>改過遷善 (개과천선)</t>
  </si>
  <si>
    <t>지난 허물을 고치고 착하게 됨</t>
  </si>
  <si>
    <t>淸廉( )白</t>
  </si>
  <si>
    <t>潔</t>
  </si>
  <si>
    <t>깨끗할 결</t>
  </si>
  <si>
    <t>청렴결백 (淸廉潔白)</t>
  </si>
  <si>
    <t>마음이 맑고 깨끗하여 욕심이 없음</t>
  </si>
  <si>
    <t>적은 수효가 많은 수효를 이기지 못함</t>
  </si>
  <si>
    <t>初志一( )</t>
  </si>
  <si>
    <t>貫</t>
  </si>
  <si>
    <t>初志一貫 (초지일관)</t>
  </si>
  <si>
    <t>처음에 다짐한 마음을 끝까지 밀고 감</t>
  </si>
  <si>
    <t>上( )下薄</t>
  </si>
  <si>
    <t>상후하박 (上厚下薄)</t>
  </si>
  <si>
    <t>윗사람에게는 후하고 아랫사람에게는 박함</t>
  </si>
  <si>
    <t>高枕安( )</t>
  </si>
  <si>
    <t>眠</t>
  </si>
  <si>
    <t>잘 면</t>
  </si>
  <si>
    <t>고침안면 (高枕安眠)</t>
  </si>
  <si>
    <t>근심없이 편안히 지냄</t>
  </si>
  <si>
    <t>金城湯( )</t>
  </si>
  <si>
    <t>池</t>
  </si>
  <si>
    <t>못 지</t>
  </si>
  <si>
    <t>金城湯池 (금성탕지)</t>
  </si>
  <si>
    <t>방비가 완벽한 성</t>
  </si>
  <si>
    <t>칠할 도</t>
  </si>
  <si>
    <t>진구렁에 빠지고 숯불에 타는 괴로움</t>
  </si>
  <si>
    <t>( )翁之馬</t>
  </si>
  <si>
    <t>변방 새</t>
  </si>
  <si>
    <t>인생의 길흉화복은 늘 바뀌어 미리 점칠 수 없음</t>
  </si>
  <si>
    <t>切( )腐心</t>
  </si>
  <si>
    <t>齒</t>
  </si>
  <si>
    <t>이 치</t>
  </si>
  <si>
    <t>表( )不同</t>
  </si>
  <si>
    <t>겉과 속이 다름</t>
  </si>
  <si>
    <t>( )興差使</t>
  </si>
  <si>
    <t>한번 가면 깜깜무소식</t>
  </si>
  <si>
    <t>세상에서 같이 살 수 없는 원수</t>
  </si>
  <si>
    <t>( )若無人</t>
  </si>
  <si>
    <t>傍</t>
  </si>
  <si>
    <t>곁 방</t>
  </si>
  <si>
    <t>방약무인 (傍若無人)</t>
  </si>
  <si>
    <t>곁에 아무도 없는 것 같이 언행이 기탄없음</t>
  </si>
  <si>
    <t>남의 환심을 사려고 하는 교묘한 말과 좋게 꾸미는 얼굴빛</t>
  </si>
  <si>
    <t>시작은 좋으나 끝이 흐지부지함</t>
  </si>
  <si>
    <t>꼬불꼬불하고 험한 산길</t>
  </si>
  <si>
    <t>혼자서는 일을 이루기 어려움</t>
  </si>
  <si>
    <t>苦盡( )來</t>
  </si>
  <si>
    <t>고생 끝에 즐거움이 옴</t>
  </si>
  <si>
    <t>인생의 길흉화복은 변화가 많음</t>
  </si>
  <si>
    <t>이를 갈며 속을 썩임</t>
  </si>
  <si>
    <t>가서 소식이 없거나 늦게 옴</t>
  </si>
  <si>
    <t>함께 살 수 없는 원수</t>
  </si>
  <si>
    <t>곁에 사람이 없는 듯 제멋대로 행동함</t>
  </si>
  <si>
    <t>탐욕이 많고 행실이 깨끗하지 못한 벼슬아치</t>
  </si>
  <si>
    <t>靑出( )藍</t>
  </si>
  <si>
    <t>酒( )肉林</t>
  </si>
  <si>
    <t>주지육림 (酒池肉林)</t>
  </si>
  <si>
    <t>술로 연못을 이루고 고기로 숲을 이룸 (호화롭고 방탕한 생활)</t>
  </si>
  <si>
    <t>朝令( )改</t>
  </si>
  <si>
    <t>법령을 자꾸 고쳐 갈피를 잡기 어려움</t>
  </si>
  <si>
    <t>轉( )爲福</t>
  </si>
  <si>
    <t>( )勝長驅</t>
  </si>
  <si>
    <t>이긴 기세를 타고 계속 몰아침</t>
  </si>
  <si>
    <t>몸을 닦고 집안을 바로잡음</t>
  </si>
  <si>
    <t>좋은 일이 겹침</t>
  </si>
  <si>
    <t>舉案( )眉</t>
  </si>
  <si>
    <t>아내가 남편을 깍듯이 공경함</t>
  </si>
  <si>
    <t>萬頃蒼( )</t>
  </si>
  <si>
    <t>波</t>
  </si>
  <si>
    <t>물결 파</t>
  </si>
  <si>
    <t>萬頃蒼波 (만경창파)</t>
  </si>
  <si>
    <t>한없이 넓고 푸른 바다</t>
  </si>
  <si>
    <t>( )風弄月</t>
  </si>
  <si>
    <t>吟</t>
  </si>
  <si>
    <t>읊을 음</t>
  </si>
  <si>
    <t>맑은 바람과 달을 보고 시를 읊으며 즐김</t>
  </si>
  <si>
    <t>泥田闘( )</t>
  </si>
  <si>
    <t>이전투구 (泥田闘狗)</t>
  </si>
  <si>
    <t>볼썽사납게 서로 헐뜯거나 다툼</t>
  </si>
  <si>
    <t>陰</t>
  </si>
  <si>
    <t>그늘 음</t>
  </si>
  <si>
    <t>綠陰芳草 (녹음방초)</t>
  </si>
  <si>
    <t>우거진 나무 그늘과 향기로운 풀</t>
  </si>
  <si>
    <t>四分五( )</t>
  </si>
  <si>
    <t>四分五裂 (사분오열)</t>
  </si>
  <si>
    <t>여러 갈래로 갈기갈기 찢어짐</t>
  </si>
  <si>
    <t>如履( )氷</t>
  </si>
  <si>
    <t>아슬아슬하고 불안한 상황</t>
  </si>
  <si>
    <t>이를 갈고 속을 썩임</t>
  </si>
  <si>
    <t>( )雪之功</t>
  </si>
  <si>
    <t>고생하면서도 꾸준히 학문을 닦은 보람</t>
  </si>
  <si>
    <t>滄海一( )</t>
  </si>
  <si>
    <t>조 속</t>
  </si>
  <si>
    <t>아주 큰 물건 속에 있는 아주 작은 물건.</t>
  </si>
  <si>
    <t>자유자재로 행동하여 거침이 없음.</t>
  </si>
  <si>
    <t>배나무 리</t>
  </si>
  <si>
    <t>일이 공교롭게 같이 일어나 남의 의심을 삼.</t>
  </si>
  <si>
    <t>겉과 속이 다름.</t>
  </si>
  <si>
    <t>權( )術數</t>
  </si>
  <si>
    <t>謀</t>
  </si>
  <si>
    <t>꾀 모</t>
  </si>
  <si>
    <t>권모술수 (權謀術數)</t>
  </si>
  <si>
    <t>남을 교묘히 속이는 술책.</t>
  </si>
  <si>
    <t>深思( )考</t>
  </si>
  <si>
    <t>熟</t>
  </si>
  <si>
    <t>익을 숙</t>
  </si>
  <si>
    <t>深思熟考 (심사숙고)</t>
  </si>
  <si>
    <t>깊이 생각하고 곰곰이 생각함.</t>
  </si>
  <si>
    <t>좋은 일이 겹침.</t>
  </si>
  <si>
    <t>홀로 여럿을 상대로 하여 싸움.</t>
  </si>
  <si>
    <t>面從( )背</t>
  </si>
  <si>
    <t>面從腹背 (면종복배)</t>
  </si>
  <si>
    <t>겉으로는 복종하면서도 속으로는 배반함.</t>
  </si>
  <si>
    <t>잘못을 고치고 착하게 됨.</t>
  </si>
  <si>
    <t>武( )桃源</t>
  </si>
  <si>
    <t>陵</t>
  </si>
  <si>
    <t>언덕 릉</t>
  </si>
  <si>
    <t>무릉도원 (武陵桃源)</t>
  </si>
  <si>
    <t>별천지</t>
  </si>
  <si>
    <t>아슬아슬하고 불안한 지경</t>
  </si>
  <si>
    <t>( )益人間</t>
  </si>
  <si>
    <t>弘</t>
  </si>
  <si>
    <t>클 홍</t>
  </si>
  <si>
    <t>홍익인간 (弘益人間)</t>
  </si>
  <si>
    <t>널리 인간세상을 이롭게 함</t>
  </si>
  <si>
    <t>纖纖( )手</t>
  </si>
  <si>
    <t>가냘프고 고운 여자의 손</t>
  </si>
  <si>
    <t>( )仲之勢</t>
  </si>
  <si>
    <t>伯</t>
  </si>
  <si>
    <t>맏 백</t>
  </si>
  <si>
    <t>백중지세 (伯仲之勢)</t>
  </si>
  <si>
    <t>우열을 가리기 어려움</t>
  </si>
  <si>
    <t>( )極之恩</t>
  </si>
  <si>
    <t>罔極之恩 (망극지은)</t>
  </si>
  <si>
    <t>끝없이 베풀어 주는 혜택이나 고마움</t>
  </si>
  <si>
    <t>明( )止水</t>
  </si>
  <si>
    <t>鏡</t>
  </si>
  <si>
    <t>거울 경</t>
  </si>
  <si>
    <t>명경지수 (明鏡止水)</t>
  </si>
  <si>
    <t>고요하고 잔잔한 마음을 비유</t>
  </si>
  <si>
    <t>吟風( )月</t>
  </si>
  <si>
    <t>弄</t>
  </si>
  <si>
    <t>희롱할 롱</t>
  </si>
  <si>
    <t>풍류를 즐김</t>
  </si>
  <si>
    <t>한번 가면 깜깜무소식인 사람</t>
  </si>
  <si>
    <t>武陵桃( )</t>
  </si>
  <si>
    <t>속세를 떠난 별천지</t>
  </si>
  <si>
    <t>堂狗( )月</t>
  </si>
  <si>
    <t>서당개 삼 년이면 풍월을 읊는다</t>
  </si>
  <si>
    <t>( )案齊眉</t>
  </si>
  <si>
    <t>擧</t>
  </si>
  <si>
    <t>들 거</t>
  </si>
  <si>
    <t>孤( )奮闘</t>
  </si>
  <si>
    <t>軍</t>
  </si>
  <si>
    <t>군사 군</t>
  </si>
  <si>
    <t>고군분투 (孤軍奮闘)</t>
  </si>
  <si>
    <t>홀로 여럿을 상대로 하여 싸움</t>
  </si>
  <si>
    <t>杜( )不出</t>
  </si>
  <si>
    <t>杜門不出 (두문불출)</t>
  </si>
  <si>
    <t>세상과의 인연을 끊고 은거함</t>
  </si>
  <si>
    <t>雪膚花( )</t>
  </si>
  <si>
    <t>容</t>
  </si>
  <si>
    <t>얼굴 용</t>
  </si>
  <si>
    <t>설부화용 (雪膚花容)</t>
  </si>
  <si>
    <t>흰 피부와 꽃 같은 얼굴을 한 미인</t>
  </si>
  <si>
    <t>몹시 분하여 이를 갈고 속을 썩임</t>
  </si>
  <si>
    <t>아전 리</t>
  </si>
  <si>
    <t>( )山幽谷</t>
  </si>
  <si>
    <t>심산유곡 (深山幽谷)</t>
  </si>
  <si>
    <t>깊은 산의 으슥한 골짜기</t>
  </si>
  <si>
    <t>얼어붙은 얼음과 차가운 눈</t>
  </si>
  <si>
    <t>법령이나 명령이 자주 바뀜</t>
  </si>
  <si>
    <t>外柔內( )</t>
  </si>
  <si>
    <t>外柔內剛 (외유내강)</t>
  </si>
  <si>
    <t>겉은 부드러우나 속은 꿋꿋함</t>
  </si>
  <si>
    <t>( )衣還鄉</t>
  </si>
  <si>
    <t>출세하여 고향에 돌아옴</t>
  </si>
  <si>
    <t>사람 얼굴에 짐승의 마음</t>
  </si>
  <si>
    <t>인생의 길흉화복을 예측할 수 없음</t>
  </si>
  <si>
    <t>혼자서는 일을 이루지 못함</t>
  </si>
  <si>
    <t>배를 잡고 넘어질 정도로 크게 웃음.</t>
  </si>
  <si>
    <t>興( )悲來</t>
  </si>
  <si>
    <t>흥진비래 (興盡悲來)</t>
  </si>
  <si>
    <t>즐거운 일이 다하면 슬픈 일이 옴.</t>
  </si>
  <si>
    <t>( )井觀天</t>
  </si>
  <si>
    <t>坐</t>
  </si>
  <si>
    <t>앉을 좌</t>
  </si>
  <si>
    <t>좌정관천 (坐井觀天)</t>
  </si>
  <si>
    <t>우물 안에 앉아 하늘을 봄. 견문이 좁음.</t>
  </si>
  <si>
    <t>轉禍( )</t>
  </si>
  <si>
    <t>화가 바뀌어 복이 됨.</t>
  </si>
  <si>
    <t>足脫不( )</t>
  </si>
  <si>
    <t>及</t>
  </si>
  <si>
    <t>미칠 급</t>
  </si>
  <si>
    <t>足脫不及 (족탈불급)</t>
  </si>
  <si>
    <t>맨발로 뛰어도 미치지 못함. 실력 차이가 큼.</t>
  </si>
  <si>
    <t>이 세상에 자기 혼자만이 잘났다고 함.</t>
  </si>
  <si>
    <t>身體( )膚</t>
  </si>
  <si>
    <t>부모에게 물려받은 몸 전체.</t>
  </si>
  <si>
    <t>萬( )蒼波</t>
  </si>
  <si>
    <t>頃</t>
  </si>
  <si>
    <t>이랑 경</t>
  </si>
  <si>
    <t>한없이 넓고 푸른 바다.</t>
  </si>
  <si>
    <t>瓜田( )下</t>
  </si>
  <si>
    <t>의심받을 만한 일은 하지 말 것.</t>
  </si>
  <si>
    <t>붉은 입술과 하얀 치아. 아름다운 여자.</t>
  </si>
  <si>
    <t>東奔西( )</t>
  </si>
  <si>
    <t>走</t>
  </si>
  <si>
    <t>달릴 주</t>
  </si>
  <si>
    <t>사방으로 이리저리 바쁘게 돌아다님.</t>
  </si>
  <si>
    <t>길거리에 떠도는 소문.</t>
  </si>
  <si>
    <t>서당개 삼 년이면 풍월을 읊는다.</t>
  </si>
  <si>
    <t>인생의 길흉화복은 예측하기 어려움.</t>
  </si>
  <si>
    <t>乘勝長( )</t>
  </si>
  <si>
    <t>驅</t>
  </si>
  <si>
    <t>몰 구</t>
  </si>
  <si>
    <t>이긴 기세를 타고 계속 적을 몰아침.</t>
  </si>
  <si>
    <t>법령을 자꾸 바꿔 갈피를 잡기 어려움.</t>
  </si>
  <si>
    <t>배불리 먹고 따뜻하게 입음. 의식이 넉넉함.</t>
  </si>
  <si>
    <t>昏定( )省</t>
  </si>
  <si>
    <t>조석으로 부모의 안부를 물어 살핌.</t>
  </si>
  <si>
    <t>온갖 고생을 하며 몹시 애씀.</t>
  </si>
  <si>
    <t>易地思( )</t>
  </si>
  <si>
    <t>之</t>
  </si>
  <si>
    <t>갈 지</t>
  </si>
  <si>
    <t>처지를 바꾸어서 생각함</t>
  </si>
  <si>
    <t>刻( )銘心</t>
  </si>
  <si>
    <t>각골명심 (刻骨銘心)</t>
  </si>
  <si>
    <t>마음속에 깊이 새겨 잊혀지지 아니함</t>
  </si>
  <si>
    <t>( )手無策</t>
  </si>
  <si>
    <t>꼼짝할 수 없음을 이르는 말</t>
  </si>
  <si>
    <t>喜怒( )樂</t>
  </si>
  <si>
    <t>사람의 온갖 감정</t>
  </si>
  <si>
    <t>坐不安( )</t>
  </si>
  <si>
    <t>좌불안석 (坐不安席)</t>
  </si>
  <si>
    <t>마음에 초조, 불안 등으로 한 자리에 오래 앉아 있지 못함</t>
  </si>
  <si>
    <t>日( )月深</t>
  </si>
  <si>
    <t>세월이 흐를수록 바라는 마음이 더욱 간절해짐</t>
  </si>
  <si>
    <t>인재를 맞기 위해 참을성 있게 노력함</t>
  </si>
  <si>
    <t>( )面書生</t>
  </si>
  <si>
    <t>백면서생 (白面書生)</t>
  </si>
  <si>
    <t>글만 읽고 세상 물정을 하나도 모르는 사람</t>
  </si>
  <si>
    <t>大驚( )色</t>
  </si>
  <si>
    <t>失</t>
  </si>
  <si>
    <t>잃을 실</t>
  </si>
  <si>
    <t>몹시 놀라 얼굴색이 하얗게 변함</t>
  </si>
  <si>
    <t>氣高萬( )</t>
  </si>
  <si>
    <t>丈</t>
  </si>
  <si>
    <t>길 장</t>
  </si>
  <si>
    <t>氣高萬丈 (기고만장)</t>
  </si>
  <si>
    <t>일이 뜻대로 잘되어 기세가 대단함</t>
  </si>
  <si>
    <t>( )官污吏</t>
  </si>
  <si>
    <t>탐욕에 찬 썩은 관리</t>
  </si>
  <si>
    <t>克己( )禮</t>
  </si>
  <si>
    <t>復</t>
  </si>
  <si>
    <t>회복할 복</t>
  </si>
  <si>
    <t>克己復禮 (극기복례)</t>
  </si>
  <si>
    <t>욕심을 누르고 예의를 따름</t>
  </si>
  <si>
    <t>평범한 사람 중 뛰어난 한 사람</t>
  </si>
  <si>
    <t>( )木求魚</t>
  </si>
  <si>
    <t>緣</t>
  </si>
  <si>
    <t>인연 연</t>
  </si>
  <si>
    <t>緣木求魚 (연목구어)</t>
  </si>
  <si>
    <t>나무에서 물고기를 구하듯 불가능한 일을 함</t>
  </si>
  <si>
    <t>百家爭( )</t>
  </si>
  <si>
    <t>백가쟁명 (百家爭鳴)</t>
  </si>
  <si>
    <t>많은 학자가 활발히 논쟁함</t>
  </si>
  <si>
    <t>信賞必( )</t>
  </si>
  <si>
    <t>신상필벌 (信賞必罰)</t>
  </si>
  <si>
    <t>공정한 상벌을 시행함</t>
  </si>
  <si>
    <t>사슴을 가리켜 말이라 함(남을 속임)</t>
  </si>
  <si>
    <t>始終一( )</t>
  </si>
  <si>
    <t>시종일관 (始終一貫)</t>
  </si>
  <si>
    <t>처음부터 끝까지 한결같음</t>
  </si>
  <si>
    <t>남편이 주장하고 아내가 따름</t>
  </si>
  <si>
    <t>自( )之心</t>
  </si>
  <si>
    <t>스스로 미흡하다고 생각하는 마음</t>
  </si>
  <si>
    <t>( )顏大笑</t>
  </si>
  <si>
    <t>破</t>
  </si>
  <si>
    <t>깨뜨릴 파</t>
  </si>
  <si>
    <t>破顔大笑 (파안대소)</t>
  </si>
  <si>
    <t>즐거운 표정으로 한바탕 크게 웃음</t>
  </si>
  <si>
    <t>卓上( )論</t>
  </si>
  <si>
    <t>空</t>
  </si>
  <si>
    <t>빌 공</t>
  </si>
  <si>
    <t>탁상공론 (卓上空論)</t>
  </si>
  <si>
    <t>실현성이 없는 헛된 공론</t>
  </si>
  <si>
    <t>驚天動( )</t>
  </si>
  <si>
    <t>地</t>
  </si>
  <si>
    <t>땅 지</t>
  </si>
  <si>
    <t>경천동지 (驚天動地)</t>
  </si>
  <si>
    <t>세상을 크게 놀라게 함</t>
  </si>
  <si>
    <t>拔本塞( )</t>
  </si>
  <si>
    <t>吟( )弄月</t>
  </si>
  <si>
    <t>食( )事煩</t>
  </si>
  <si>
    <t>少</t>
  </si>
  <si>
    <t>적을 소</t>
  </si>
  <si>
    <t>食少事煩 (식소사번)</t>
  </si>
  <si>
    <t>먹을 것은 적고 할 일은 많음</t>
  </si>
  <si>
    <t>( )私奉公</t>
  </si>
  <si>
    <t>滅</t>
  </si>
  <si>
    <t>멸할 멸</t>
  </si>
  <si>
    <t>滅私奉公 (멸사봉공)</t>
  </si>
  <si>
    <t>사를 버리고 공을 위해 힘써 일함</t>
  </si>
  <si>
    <t>南柯( )夢</t>
  </si>
  <si>
    <t>한때의 헛된 부귀영화</t>
  </si>
  <si>
    <t>( )舟求劍</t>
  </si>
  <si>
    <t>刻舟求劍 (각주구검)</t>
  </si>
  <si>
    <t>융통성이 없음을 이르는 말</t>
  </si>
  <si>
    <t>怒氣( )天</t>
  </si>
  <si>
    <t>怒氣衝天 (노기충천)</t>
  </si>
  <si>
    <t>성난 기색이 하늘을 찌를 듯함</t>
  </si>
  <si>
    <t>붉은 입술과 하얀 이, 아름다운 여자</t>
  </si>
  <si>
    <t>萬頃( )波</t>
  </si>
  <si>
    <t>사를 버리고 공을 위해 힘씀</t>
  </si>
  <si>
    <t>손뼉을 치며 크게 웃음</t>
  </si>
  <si>
    <t>父爲子( )</t>
  </si>
  <si>
    <t>아버지는 자식의 모범이 되어야 함</t>
  </si>
  <si>
    <t>四( )無親</t>
  </si>
  <si>
    <t>四顧無親 (사고무친)</t>
  </si>
  <si>
    <t>사방을 둘러보아도 의지할 사람이 없음</t>
  </si>
  <si>
    <t>榮( )盛衰</t>
  </si>
  <si>
    <t>개인이나 사회의 성하고 쇠함</t>
  </si>
  <si>
    <t>취할 것은 취하고 버릴 것은 버림</t>
  </si>
  <si>
    <t>千辛萬( )</t>
  </si>
  <si>
    <t>온갖 고생과 어려움</t>
  </si>
  <si>
    <t>뱀을 그리는데 발까지 그려 넣음. 쓸데없는 일을 함</t>
  </si>
  <si>
    <t>배를 안고 넘어질 정도로 크게 웃음</t>
  </si>
  <si>
    <t>泥田鬪狗 (이전투구)</t>
  </si>
  <si>
    <t>진흙탕에서 싸우는 개. 자기 이익을 위해 처절하게 싸움</t>
  </si>
  <si>
    <t>입에서 아직 젖내음이 남. 말이나 행동이 어리고 유치함</t>
  </si>
  <si>
    <t>舉( )齊眉</t>
  </si>
  <si>
    <t>舉案齊眉 (거안제미)</t>
  </si>
  <si>
    <t>상을 눈썹 높이까지 들어 남편에게 바침. 남편을 깍듯이 공경함</t>
  </si>
  <si>
    <t>( )機之敎</t>
  </si>
  <si>
    <t>斷機之敎 (단기지교)</t>
  </si>
  <si>
    <t>짜던 베의 날을 끊어 훈계함. 학문을 중도에 그만둠을 경계함</t>
  </si>
  <si>
    <t>깊이 생각하고 곰곰이 따져봄</t>
  </si>
  <si>
    <t>縱橫無( )</t>
  </si>
  <si>
    <t>동서남북 가로세로로 거침없이 활동함</t>
  </si>
  <si>
    <t>( )捨選擇</t>
  </si>
  <si>
    <t>취할 것은 취하고 버릴 것은 버려서 골라잡음</t>
  </si>
  <si>
    <t>인생의 길흉화복은 변화가 많아 예측하기 어려움</t>
  </si>
  <si>
    <t>( )亡齒寒</t>
  </si>
  <si>
    <t>가까운 사이 중 한쪽이 망하면 다른 쪽도 위험함</t>
  </si>
  <si>
    <t>깊이 생각하고 곰곰이 따져 봄</t>
  </si>
  <si>
    <t>一( )發</t>
  </si>
  <si>
    <t>조금만 건드려도 곧 터질 것 같은 위급한 상태</t>
  </si>
  <si>
    <t>刻舟求( )</t>
  </si>
  <si>
    <t>劍</t>
  </si>
  <si>
    <t>칼 검</t>
  </si>
  <si>
    <t>어리석고 미련하여 융통성이 없음</t>
  </si>
  <si>
    <t>냄세 취</t>
  </si>
  <si>
    <t>입에서 아직 젖비린내가 남. 말이나 행동이 유치함</t>
  </si>
  <si>
    <t>( )善懲惡</t>
  </si>
  <si>
    <t>착한 행실을 권장하고 악한 행실을 벌함</t>
  </si>
  <si>
    <t>인재를 얻기 위해 참을성 있게 노력함</t>
  </si>
  <si>
    <t>( )本塞源</t>
  </si>
  <si>
    <t>아부할 아</t>
  </si>
  <si>
    <t>학문을 왜곡하여 세속에 아부함</t>
  </si>
  <si>
    <t>如履薄( )</t>
  </si>
  <si>
    <t>살얼음을 밟는 듯 아슬아슬한 지경</t>
  </si>
  <si>
    <t>賢母( )妻</t>
  </si>
  <si>
    <t>어질 양</t>
  </si>
  <si>
    <t>賢母良妻 (현모양처)</t>
  </si>
  <si>
    <t>어진 어머니이면서 착한 아내</t>
  </si>
  <si>
    <t>手不釋( )</t>
  </si>
  <si>
    <t>卷</t>
  </si>
  <si>
    <t>책 권</t>
  </si>
  <si>
    <t>손에서 책을 놓지 않고 공부함</t>
  </si>
  <si>
    <t>좋은 말과 화려한 글귀</t>
  </si>
  <si>
    <t>포갤 누</t>
  </si>
  <si>
    <t>달걀을 포개놓은 듯한 위태로운 형세</t>
  </si>
  <si>
    <t>乞人( )天</t>
  </si>
  <si>
    <t>憐</t>
  </si>
  <si>
    <t>불쌍히 여길 련</t>
  </si>
  <si>
    <t>乞人憐天 (걸인련천)</t>
  </si>
  <si>
    <t>거지가 하늘을 걱정하듯 격에 맞지 않는 걱정</t>
  </si>
  <si>
    <t>千( )一得</t>
  </si>
  <si>
    <t>千慮一得 (천려일득)</t>
  </si>
  <si>
    <t>어리석은 사람도 한 가지 장점은 있음</t>
  </si>
  <si>
    <t>醉生( )死</t>
  </si>
  <si>
    <t>醉生夢死 (취생몽사)</t>
  </si>
  <si>
    <t>평생을 흐리멍덩하게 보냄</t>
  </si>
  <si>
    <t>虛張( )勢</t>
  </si>
  <si>
    <t>聲</t>
  </si>
  <si>
    <t>소리 성</t>
  </si>
  <si>
    <t>실속 없이 허세만 부림</t>
  </si>
  <si>
    <t>恒( )飯事</t>
  </si>
  <si>
    <t>茶</t>
  </si>
  <si>
    <t>차 다</t>
  </si>
  <si>
    <t>늘 있는 예사로운 일</t>
  </si>
  <si>
    <t>金蘭之( )</t>
  </si>
  <si>
    <t>契</t>
  </si>
  <si>
    <t>맺을 계</t>
  </si>
  <si>
    <t>金蘭之契 (금란지계)</t>
  </si>
  <si>
    <t>친구 사이의 두터운 정</t>
  </si>
  <si>
    <t>群( )一鶴</t>
  </si>
  <si>
    <t>여럿 중 뛰어난 한 사람</t>
  </si>
  <si>
    <t>目不( )見</t>
  </si>
  <si>
    <t>目不忍見 (목불인견)</t>
  </si>
  <si>
    <t>차마 눈 뜨고 볼 수 없는 광경</t>
  </si>
  <si>
    <t>좋은 일에 좋은 일이 겹침</t>
  </si>
  <si>
    <t>鵬( )萬里</t>
  </si>
  <si>
    <t>程</t>
  </si>
  <si>
    <t>길 정</t>
  </si>
  <si>
    <t>鵬程萬里 (붕정만리)</t>
  </si>
  <si>
    <t>앞날이 매우 멀고도 큼</t>
  </si>
  <si>
    <t>食少事( )</t>
  </si>
  <si>
    <t>날이 오래고 달이 깊어짐. 바라는 마음이 간절함</t>
  </si>
  <si>
    <t>( )之不動</t>
  </si>
  <si>
    <t>搖之不動 (요지부동)</t>
  </si>
  <si>
    <t>흔들어 가동하지 않음. 꼼짝도 하지 않음</t>
  </si>
  <si>
    <t>刻骨難( )</t>
  </si>
  <si>
    <t>沙上( )閣</t>
  </si>
  <si>
    <t>樓</t>
  </si>
  <si>
    <t>다락 루</t>
  </si>
  <si>
    <t>沙上樓閣 (사상누각)</t>
  </si>
  <si>
    <t>모래 위에 세운 다락집. 기초가 약해 무너짐</t>
  </si>
  <si>
    <t>( )入佳境</t>
  </si>
  <si>
    <t>들어갈수록 경치가 아름다움. 일이 점점 재미있어짐</t>
  </si>
  <si>
    <t>( )衣夜行</t>
  </si>
  <si>
    <t>錦衣夜行 (금의야행)</t>
  </si>
  <si>
    <t>비단옷 입고 밤길 가기. 보람 없는 일을 함</t>
  </si>
  <si>
    <t>찢길 렬</t>
  </si>
  <si>
    <t>갈가리 흩어지고 찢겨 나뉘어짐</t>
  </si>
  <si>
    <t>咸興( )使</t>
  </si>
  <si>
    <t>보낼 차</t>
  </si>
  <si>
    <t>붕새가 날아갈 먼 길. 전도가 양양함</t>
  </si>
  <si>
    <t>붉은 입술과 하얀 이. 아름다운 여인</t>
  </si>
  <si>
    <t>흔들어도 조금도 움직이지 않음</t>
  </si>
  <si>
    <t>口蜜( )劍</t>
  </si>
  <si>
    <t>입으로는 달콤하나 뱃속에는 칼을 품음</t>
  </si>
  <si>
    <t>泥田鬪( )</t>
  </si>
  <si>
    <t>진흙탕에서 싸우는 개</t>
  </si>
  <si>
    <t>일이 뜻대로 되어 기세가 대단함</t>
  </si>
  <si>
    <t>同聲相( )</t>
  </si>
  <si>
    <t>同聲相應 (동성상응)</t>
  </si>
  <si>
    <t>같은 무리끼리 서로 통하여 응함</t>
  </si>
  <si>
    <t>名公巨( )</t>
  </si>
  <si>
    <t>卿</t>
  </si>
  <si>
    <t>벼슬 경</t>
  </si>
  <si>
    <t>名公巨卿 (명공거경)</t>
  </si>
  <si>
    <t>이름난 재상과 높은 벼슬아치</t>
  </si>
  <si>
    <t>불을 보듯이 명백함</t>
  </si>
  <si>
    <t>指( )之間</t>
  </si>
  <si>
    <t>지호지간 (指呼之間)</t>
  </si>
  <si>
    <t>손짓으로 부를 만한 가까운 거리</t>
  </si>
  <si>
    <t>男( )女戴</t>
  </si>
  <si>
    <t>가난한 사람들이 짐을 지고 이며 길을 떠남</t>
  </si>
  <si>
    <t>同價紅( )</t>
  </si>
  <si>
    <t>同價紅裳 (동가홍상)</t>
  </si>
  <si>
    <t>같은 값이면 다홍치마</t>
  </si>
  <si>
    <t>제자가 스승보다 나음</t>
  </si>
  <si>
    <t>( )竹之勢</t>
  </si>
  <si>
    <t>破竹之勢 (파죽지세)</t>
  </si>
  <si>
    <t>대나무를 쪼개는 듯한 거침없는 기세</t>
  </si>
  <si>
    <t>( )官汚吏</t>
  </si>
  <si>
    <t>탐욕이 많고 행실이 깨끗하지 못한 관리</t>
  </si>
  <si>
    <t>윗사람을 농락하여 권세를 마음대로 휘두름</t>
  </si>
  <si>
    <t>의심받을 만한 행동은 하지 말라</t>
  </si>
  <si>
    <t>엎친 데 덮친 격</t>
  </si>
  <si>
    <t>龍味( )湯</t>
  </si>
  <si>
    <t>봉황새 봉</t>
  </si>
  <si>
    <t>아주 맛이 좋은 음식</t>
  </si>
  <si>
    <t>( )兄( )弟</t>
  </si>
  <si>
    <t>難, 難</t>
  </si>
  <si>
    <t>어려울 난</t>
  </si>
  <si>
    <t>難兄難弟 (난형난제)</t>
  </si>
  <si>
    <t>누구를 형이라 아우라 하기 어려울 정도로 실력이 비슷함</t>
  </si>
  <si>
    <t>( )本( )源</t>
  </si>
  <si>
    <t>拔, 塞</t>
  </si>
  <si>
    <t>뽑을 발, 막을 색</t>
  </si>
  <si>
    <t>폐단의 근본 원인을 완전히 없앰</t>
  </si>
  <si>
    <t>守株待( )</t>
  </si>
  <si>
    <t>융통성 없이 낡은 관습만 고집하는 어리석음</t>
  </si>
  <si>
    <t>羊頭( )肉</t>
  </si>
  <si>
    <t>겉은 훌륭하나 속은 변변치 못함</t>
  </si>
  <si>
    <t>( )( )百世</t>
  </si>
  <si>
    <t>流, 芳</t>
  </si>
  <si>
    <t>흐를 류, 꽃다울 방</t>
  </si>
  <si>
    <t>流芳百世 (유방백세)</t>
  </si>
  <si>
    <t>꽃다운 이름이 후세에 길이 전함</t>
  </si>
  <si>
    <t>슬퍼할 개</t>
  </si>
  <si>
    <t>마음속 깊이 느끼는 감동이 끝이 없음</t>
  </si>
  <si>
    <t>足( )不及</t>
  </si>
  <si>
    <t>脫</t>
  </si>
  <si>
    <t>벗을 탈</t>
  </si>
  <si>
    <t>脫足不及 (탈족불급)</t>
  </si>
  <si>
    <t>발을 벗고 따라가도 미치지 못할 정도로 차이가 심함</t>
  </si>
  <si>
    <t>緣木( )( )</t>
  </si>
  <si>
    <t>求, 魚</t>
  </si>
  <si>
    <t>구할 구, 고기 어</t>
  </si>
  <si>
    <t>불가능한 일을 굳이 하려 함</t>
  </si>
  <si>
    <t>( )( )大笑</t>
  </si>
  <si>
    <t>破, 顔</t>
  </si>
  <si>
    <t>깨뜨릴 파, 얼굴 안</t>
  </si>
  <si>
    <t>日( )月( )</t>
  </si>
  <si>
    <t>就, 將</t>
  </si>
  <si>
    <t>나아갈 취, 장차 장</t>
  </si>
  <si>
    <t>日就月將 (일취월장)</t>
  </si>
  <si>
    <t>날마다 달마다 끊임없이 발전함</t>
  </si>
  <si>
    <t>( )楊( )草</t>
  </si>
  <si>
    <t>綠, 芳</t>
  </si>
  <si>
    <t>푸를 록, 꽃다울 방</t>
  </si>
  <si>
    <t>푸른 버드나무와 꽃다운 풀</t>
  </si>
  <si>
    <t>( )高自( )</t>
  </si>
  <si>
    <t>登, 卑</t>
  </si>
  <si>
    <t>오를 등, 낮을 비</t>
  </si>
  <si>
    <t>登高自卑 (등고자비)</t>
  </si>
  <si>
    <t>높은 곳에 오르려면 낮은 곳부터 시작해야 함</t>
  </si>
  <si>
    <t>刻( )求( )</t>
  </si>
  <si>
    <t>舟, 劍</t>
  </si>
  <si>
    <t>배 주, 칼 검</t>
  </si>
  <si>
    <t>융통성이 없고 어리석음</t>
  </si>
  <si>
    <t>無( )( )食</t>
  </si>
  <si>
    <t>爲, 徒</t>
  </si>
  <si>
    <t>할 위, 무리 도</t>
  </si>
  <si>
    <t>無爲徒食 (무위도식)</t>
  </si>
  <si>
    <t>하는 일 없이 놀고먹음</t>
  </si>
  <si>
    <t>( )( )長驅</t>
  </si>
  <si>
    <t>乘, 勝</t>
  </si>
  <si>
    <t>탈 승, 이길 승</t>
  </si>
  <si>
    <t>승리의 기세를 타고 계속 몰아침</t>
  </si>
  <si>
    <t>( )定晨( )</t>
  </si>
  <si>
    <t>昏, 省</t>
  </si>
  <si>
    <t>어두울 혼, 살필 성</t>
  </si>
  <si>
    <t>아침저녁으로 부모님의 안부를 살핌</t>
  </si>
  <si>
    <t>( )入佳( )</t>
  </si>
  <si>
    <t>漸, 境</t>
  </si>
  <si>
    <t>점점 점, 지경 경</t>
  </si>
  <si>
    <t>들어갈수록 경치가 좋음. 일이 점점 재미있어짐</t>
  </si>
  <si>
    <t>唯( )獨( )</t>
  </si>
  <si>
    <t>我, 尊</t>
  </si>
  <si>
    <t>나 아, 높을 존</t>
  </si>
  <si>
    <t>천상천하에 오직 나만이 존귀함</t>
  </si>
  <si>
    <t>( )履薄氷</t>
  </si>
  <si>
    <t>如</t>
  </si>
  <si>
    <t>같을 여</t>
  </si>
  <si>
    <t>살얼음을 밟는 듯한 위태로운 지경</t>
  </si>
  <si>
    <t>切齒( )( )</t>
  </si>
  <si>
    <t>腐, 心</t>
  </si>
  <si>
    <t>썩을 부, 마음 심</t>
  </si>
  <si>
    <t>( )膽相( )</t>
  </si>
  <si>
    <t>간 간, 비칠 조</t>
  </si>
  <si>
    <t>고생하면서 부지런히 학문을 닦은 보람</t>
  </si>
  <si>
    <t>없을 망</t>
  </si>
  <si>
    <t>그지없이 큰 은혜</t>
  </si>
  <si>
    <t>騷, 墨</t>
  </si>
  <si>
    <t>떠들 소, 먹 묵</t>
  </si>
  <si>
    <t>시문과 서화를 하는 풍류객</t>
  </si>
  <si>
    <t>同病相( )</t>
  </si>
  <si>
    <t>같은 처지의 사람끼리 서로 가엾게 여김</t>
  </si>
  <si>
    <t>인재를 맞기 위해 여러 번 찾아가 정성을 다함</t>
  </si>
  <si>
    <t>( )田鬪( )</t>
  </si>
  <si>
    <t>泥, 狗</t>
  </si>
  <si>
    <t>진흙 니, 개 구</t>
  </si>
  <si>
    <t>진흙 밭에서 싸우는 개처럼 체면 없이 싸움</t>
  </si>
  <si>
    <t>萬( )( )波</t>
  </si>
  <si>
    <t>頃, 蒼</t>
  </si>
  <si>
    <t>이랑 경, 푸를 창</t>
  </si>
  <si>
    <t>百八( )( )</t>
  </si>
  <si>
    <t>煩, 惱</t>
  </si>
  <si>
    <t>번거로울 번, 번뇌할 뇌</t>
  </si>
  <si>
    <t>인간의 과거, 현재, 미래에 걸친 108가지 번뇌</t>
  </si>
  <si>
    <t>( )上( )花</t>
  </si>
  <si>
    <t>錦, 添</t>
  </si>
  <si>
    <t>비단 금, 더할 첨</t>
  </si>
  <si>
    <t>舉案( )( )</t>
  </si>
  <si>
    <t>齊, 眉</t>
  </si>
  <si>
    <t>가지런할 제, 눈썹 미</t>
  </si>
  <si>
    <t>상을 눈썹 높이로 들어 남편을 공경함</t>
  </si>
  <si>
    <t>滄( )一( )</t>
  </si>
  <si>
    <t>海, 粟</t>
  </si>
  <si>
    <t>바다 해, 조 속</t>
  </si>
  <si>
    <t>넓은 바다에 떠 있는 좁쌀 한 알처럼 보잘것없음</t>
  </si>
  <si>
    <t>( )令( )改</t>
  </si>
  <si>
    <t>朝, 暮</t>
  </si>
  <si>
    <t>아침 조, 저물 모</t>
  </si>
  <si>
    <t>명령을 자주 고쳐 갈피를 잡기 어려움</t>
  </si>
  <si>
    <t>( )風( )月</t>
  </si>
  <si>
    <t>吟, 弄</t>
  </si>
  <si>
    <t>읊을 음, 희롱할 롱</t>
  </si>
  <si>
    <t>맑은 바람과 밝은 달을 보며 시를 짓고 즐김</t>
  </si>
  <si>
    <t>身( )( )膚</t>
  </si>
  <si>
    <t>體, 髮</t>
  </si>
  <si>
    <t>몸 체, 터럭 발</t>
  </si>
  <si>
    <t>몸과 머리털과 피부. 즉 몸 전체</t>
  </si>
  <si>
    <t>綠( )( )草</t>
  </si>
  <si>
    <t>楊, 芳</t>
  </si>
  <si>
    <t>버들 양, 꽃다울 방</t>
  </si>
  <si>
    <t>( )( )之苦</t>
  </si>
  <si>
    <t>塗炭</t>
  </si>
  <si>
    <t>진흙 도, 숯 탄</t>
  </si>
  <si>
    <t>輕舉( )( )</t>
  </si>
  <si>
    <t>妄動</t>
  </si>
  <si>
    <t>망령될 망, 움직일 동</t>
  </si>
  <si>
    <t>輕舉妄動 (경거망동)</t>
  </si>
  <si>
    <t>깊이 생각해보지도 않고 경솔하게 행동함</t>
  </si>
  <si>
    <t>( )臣( )子</t>
  </si>
  <si>
    <t>亂賊</t>
  </si>
  <si>
    <t>어지러울 란, 도적 적</t>
  </si>
  <si>
    <t>亂臣賊子 (난신적자)</t>
  </si>
  <si>
    <t>나라를 어지럽히는 신하와 불효하는 자식</t>
  </si>
  <si>
    <t>( )( )之危</t>
  </si>
  <si>
    <t>묶을 루, 알 란</t>
  </si>
  <si>
    <t>累卵之危 (누란지위)</t>
  </si>
  <si>
    <t>달걀을 포개어 놓은 것처럼 위태로운 형세</t>
  </si>
  <si>
    <t>瓜( )( )下</t>
  </si>
  <si>
    <t>田李</t>
  </si>
  <si>
    <t>밭 전, 오얏 리</t>
  </si>
  <si>
    <t>의심받을 만한 곳에는 가지 말라는 뜻</t>
  </si>
  <si>
    <t>命在( )( )</t>
  </si>
  <si>
    <t>이랑 경, 새길 각</t>
  </si>
  <si>
    <t>命在頃刻 (명재경각)</t>
  </si>
  <si>
    <t>거의 죽게 되어 숨이 곧 끊어질 지경</t>
  </si>
  <si>
    <t>姑息之( )</t>
  </si>
  <si>
    <t>計</t>
  </si>
  <si>
    <t>셀 계</t>
  </si>
  <si>
    <t>姑息之計 (고식지계)</t>
  </si>
  <si>
    <t>당장의 편안함만을 꾀하는 일시적인 방편</t>
  </si>
  <si>
    <t>犬( )之勞</t>
  </si>
  <si>
    <t>馬</t>
  </si>
  <si>
    <t>말 마</t>
  </si>
  <si>
    <t>犬馬之勞 (견마지로)</t>
  </si>
  <si>
    <t>자신의 노력을 낮추어 이르는 말</t>
  </si>
  <si>
    <t>群雄割( )</t>
  </si>
  <si>
    <t>여러 영웅이 각기 지방을 차지하고 위세를 부림</t>
  </si>
  <si>
    <t>두루미 학</t>
  </si>
  <si>
    <t>몹시 기다림을 이름.</t>
  </si>
  <si>
    <t>抱( )絶倒</t>
  </si>
  <si>
    <t>아주 우스운 형세를 이름.</t>
  </si>
  <si>
    <t>千( )一遇</t>
  </si>
  <si>
    <t>실을 재</t>
  </si>
  <si>
    <t>좀처럼 얻기 어려운 좋은 기회.</t>
  </si>
  <si>
    <t>맨발로 뛰어도 미치지 못함.</t>
  </si>
  <si>
    <t>풍류를 즐김.</t>
  </si>
  <si>
    <t>龍頭( )( )</t>
  </si>
  <si>
    <t>蛇尾</t>
  </si>
  <si>
    <t>뱀 사, 꼬리 미</t>
  </si>
  <si>
    <t>龍頭蛇尾 (용두사미)</t>
  </si>
  <si>
    <t>시작만 좋고 나중은 좋지 않음을 비유함.</t>
  </si>
  <si>
    <t>( )( )梨落</t>
  </si>
  <si>
    <t>烏飛</t>
  </si>
  <si>
    <t>까마귀 오, 날 비</t>
  </si>
  <si>
    <t>까마귀 날자 배 떨어진다.</t>
  </si>
  <si>
    <t>漁父( )( )</t>
  </si>
  <si>
    <t>之利</t>
  </si>
  <si>
    <t>갈 지, 이로울 리</t>
  </si>
  <si>
    <t>둘이서 싸우는 사이에 제삼자가 이익을 취함.</t>
  </si>
  <si>
    <t>( )乞( )乞</t>
  </si>
  <si>
    <t>哀伏</t>
  </si>
  <si>
    <t>슬플 애, 엎드릴 복</t>
  </si>
  <si>
    <t>哀乞伏乞 (애걸복걸)</t>
  </si>
  <si>
    <t>슬프게 빌고 엎드려 빈다.</t>
  </si>
  <si>
    <t>桑田( )( )</t>
  </si>
  <si>
    <t>碧海</t>
  </si>
  <si>
    <t>푸를 벽, 바다 해</t>
  </si>
  <si>
    <t>세상일의 변천이 심함.</t>
  </si>
  <si>
    <t>無爲( )( )</t>
  </si>
  <si>
    <t>徒食</t>
  </si>
  <si>
    <t>무리 도, 먹을 식</t>
  </si>
  <si>
    <t>아무 하는 일 없이 먹고 놀기만 함.</t>
  </si>
  <si>
    <t>( )( )狗肉</t>
  </si>
  <si>
    <t>羊頭</t>
  </si>
  <si>
    <t>양 양, 머리 두</t>
  </si>
  <si>
    <t>겉으로는 그럴듯하게 내세우나 내용은 변변치 못함.</t>
  </si>
  <si>
    <t>棟梁( )( )</t>
  </si>
  <si>
    <t>之材</t>
  </si>
  <si>
    <t>갈 지, 재목 재</t>
  </si>
  <si>
    <t>棟梁之材 (동량지재)</t>
  </si>
  <si>
    <t>한 집안이나 나라를 맡아 다스릴 재목.</t>
  </si>
  <si>
    <t>山海( )( )</t>
  </si>
  <si>
    <t>珍味</t>
  </si>
  <si>
    <t>보배 진, 맛 미</t>
  </si>
  <si>
    <t>山海珍味 (산해진미)</t>
  </si>
  <si>
    <t>잘 차린 진귀한 음식.</t>
  </si>
  <si>
    <t>不知( )( )</t>
  </si>
  <si>
    <t>其數</t>
  </si>
  <si>
    <t>그 기, 셀 수</t>
  </si>
  <si>
    <t>不知其數 (부지기수)</t>
  </si>
  <si>
    <t>너무 많아 그 수효를 알 수 없음.</t>
  </si>
  <si>
    <t>普遍( )( )</t>
  </si>
  <si>
    <t>妥當</t>
  </si>
  <si>
    <t>마땅할 타, 마땅할 당</t>
  </si>
  <si>
    <t>普遍妥當 (보편타당)</t>
  </si>
  <si>
    <t>특별하지 않고 사리에 맞아 타당함.</t>
  </si>
  <si>
    <t>巧言( )( )</t>
  </si>
  <si>
    <t>令色</t>
  </si>
  <si>
    <t>하여금 령, 빛 색</t>
  </si>
  <si>
    <t>남에게 아첨하는 말과 태도.</t>
  </si>
  <si>
    <t>男( )( )戴</t>
  </si>
  <si>
    <t>負女</t>
  </si>
  <si>
    <t>질 부, 계집 녀</t>
  </si>
  <si>
    <t>男負女戴 (남부녀대)</t>
  </si>
  <si>
    <t>남자는 지고 여자는 인다는 뜻.</t>
  </si>
  <si>
    <t>久深</t>
  </si>
  <si>
    <t>오랠 구, 깊을 심</t>
  </si>
  <si>
    <t>세월이 갈수록 더함을 이르는 말.</t>
  </si>
  <si>
    <t>( )( )難防</t>
  </si>
  <si>
    <t>衆口</t>
  </si>
  <si>
    <t>무리 중, 입 구</t>
  </si>
  <si>
    <t>衆口難防 (중구난방)</t>
  </si>
  <si>
    <t>막기 어려울 정도로 여러 사람이 마구 지껄임.</t>
  </si>
  <si>
    <t>( )( )墨客</t>
  </si>
  <si>
    <t>騷人</t>
  </si>
  <si>
    <t>시끄러울 소, 사람 인</t>
  </si>
  <si>
    <t>시문과 서화를 일삼는 사람.</t>
  </si>
  <si>
    <t>苦盡( )( )</t>
  </si>
  <si>
    <t>甘來</t>
  </si>
  <si>
    <t>달 감, 올 래</t>
  </si>
  <si>
    <t>고생 끝에 즐거움이 옴.</t>
  </si>
  <si>
    <t>( )( )碧海</t>
  </si>
  <si>
    <t>桑田</t>
  </si>
  <si>
    <t>세상 일이 덧없이 변천함이 심함.</t>
  </si>
  <si>
    <t>綠衣( )( )</t>
  </si>
  <si>
    <t>붉을 홍, 치마 상</t>
  </si>
  <si>
    <t>綠衣紅裳 (녹의홍상)</t>
  </si>
  <si>
    <t>젊은 여자의 곱게 치장한 복색.</t>
  </si>
  <si>
    <t>( )( )添足</t>
  </si>
  <si>
    <t>畫蛇</t>
  </si>
  <si>
    <t>그림 화, 뱀 사</t>
  </si>
  <si>
    <t>쓸데없는 일을 함을 비유하는 말.</t>
  </si>
  <si>
    <t>( )( )大失</t>
  </si>
  <si>
    <t>小貪</t>
  </si>
  <si>
    <t>작을 소, 탐할 탐</t>
  </si>
  <si>
    <t>작은 것을 탐하다 큰 것을 잃음.</t>
  </si>
  <si>
    <t>識字( )( )</t>
  </si>
  <si>
    <t>憂患</t>
  </si>
  <si>
    <t>근심 우, 근심 환</t>
  </si>
  <si>
    <t>識字憂患 (식자우환)</t>
  </si>
  <si>
    <t>아는 것이 병임을 이르는 말.</t>
  </si>
  <si>
    <t>( )( )風月</t>
  </si>
  <si>
    <t>堂狗</t>
  </si>
  <si>
    <t>집 당, 개 구</t>
  </si>
  <si>
    <t>서당개 삼 년에 풍월을 읊음.</t>
  </si>
  <si>
    <t>( )( )有骨</t>
  </si>
  <si>
    <t>鷄卵</t>
  </si>
  <si>
    <t>닭 계, 알 란</t>
  </si>
  <si>
    <t>鷄卵有骨 (계란유골)</t>
  </si>
  <si>
    <t>안 되는 사람은 운 좋게 얻은 일에도 탈이 생김.</t>
  </si>
  <si>
    <t>孤掌( )( )</t>
  </si>
  <si>
    <t>難鳴</t>
  </si>
  <si>
    <t>어려울 난, 울 명</t>
  </si>
  <si>
    <t>혼자 힘으로는 일을 이루기 어려움.</t>
  </si>
  <si>
    <t>하늘 아래 같이 살 수 없는 원수</t>
  </si>
  <si>
    <t>( )定晨省</t>
  </si>
  <si>
    <t>昏</t>
  </si>
  <si>
    <t>어두울 혼</t>
  </si>
  <si>
    <t>자식이 조석으로 부모 안부를 살핌</t>
  </si>
  <si>
    <t>( )膽相照</t>
  </si>
  <si>
    <t>莫( )之友</t>
  </si>
  <si>
    <t>莫逆之友 (막역지우)</t>
  </si>
  <si>
    <t>뜻이 서로 잘 맞는 친한 벗</t>
  </si>
  <si>
    <t>윗사람을 농락하여 권세를 부림</t>
  </si>
  <si>
    <t>어려운 처지끼리 서로 가엾게 여김</t>
  </si>
  <si>
    <t>( )角殺牛</t>
  </si>
  <si>
    <t>矯</t>
  </si>
  <si>
    <t>바로잡을 교</t>
  </si>
  <si>
    <t>결점을 고치려다 일을 그르침</t>
  </si>
  <si>
    <t>左瞻右( )</t>
  </si>
  <si>
    <t>左瞻右顧 (좌첨우고)</t>
  </si>
  <si>
    <t>이리저리 돌아보며 결단을 못 내림</t>
  </si>
  <si>
    <t>서로 밀접하여 한쪽이 망하면 같이 위태로움</t>
  </si>
  <si>
    <t>口( )腹劍</t>
  </si>
  <si>
    <t>蜜</t>
  </si>
  <si>
    <t>꿀 밀</t>
  </si>
  <si>
    <t>말은 친절하나 속으론 해칠 마음을 품음</t>
  </si>
  <si>
    <t>傍( )( )人</t>
  </si>
  <si>
    <t>若無</t>
  </si>
  <si>
    <t>같을 약, 없을 무</t>
  </si>
  <si>
    <t>곁에 아무도 없는 것과 같이 언행이 기탄없음.</t>
  </si>
  <si>
    <t>杜( )不( )</t>
  </si>
  <si>
    <t>門出</t>
  </si>
  <si>
    <t>문 문, 날 출</t>
  </si>
  <si>
    <t>문을 닫고 나오지 않는다는 데서, 세상과의 인연을 끊고 은거함을 말함.</t>
  </si>
  <si>
    <t>( )( )夜行</t>
  </si>
  <si>
    <t>錦衣</t>
  </si>
  <si>
    <t>비단 금, 옷 의</t>
  </si>
  <si>
    <t>비단옷을 입고 밤길을 걷는다는 뜻으로 아무 보람 없는 일을 함을 이르는 말.</t>
  </si>
  <si>
    <t>巧言( )色</t>
  </si>
  <si>
    <t>아첨하는 교묘한 말과 보기 좋게 꾸미는 얼굴 빛.</t>
  </si>
  <si>
    <t>群雄( )據</t>
  </si>
  <si>
    <t>여러 영웅이 각기 한 지방씩 차지하고 위세를 부림.</t>
  </si>
  <si>
    <t>牽( )附會</t>
  </si>
  <si>
    <t>강할 강</t>
  </si>
  <si>
    <t>이치에 맞지 않는 말들을 억지로 끌어 붙여 자기에게 유리하게 함.</t>
  </si>
  <si>
    <t>破邪( )正</t>
  </si>
  <si>
    <t>그릇된 생각을 깨뜨리고 바른 도리를 드러냄.</t>
  </si>
  <si>
    <t>( )( )度外</t>
  </si>
  <si>
    <t>置之</t>
  </si>
  <si>
    <t>둘 치, 갈 지</t>
  </si>
  <si>
    <t>내버려두어 문제로 삼지 아니함.</t>
  </si>
  <si>
    <t>拔本( )( )</t>
  </si>
  <si>
    <t>塞源</t>
  </si>
  <si>
    <t>막을 색, 근원 원</t>
  </si>
  <si>
    <t>폐단의 근본 원인을 아주 없앰.</t>
  </si>
  <si>
    <t>體髮</t>
  </si>
  <si>
    <t>몸과 머리털과 피부. 곧 몸 전체를 이르는 말.</t>
  </si>
  <si>
    <t>同( )異夢</t>
  </si>
  <si>
    <t>床</t>
  </si>
  <si>
    <t>평상 상</t>
  </si>
  <si>
    <t>동상이몽 (同床異夢)</t>
  </si>
  <si>
    <t>겉으로는 같이 행동하면서도 속으로는 각각 딴생각을 하고 있음.</t>
  </si>
  <si>
    <t>韋( )三絶</t>
  </si>
  <si>
    <t>編</t>
  </si>
  <si>
    <t>엮을 편</t>
  </si>
  <si>
    <t>책을 열심히 읽음.</t>
  </si>
  <si>
    <t>남의 도움을 받지 아니하고 힘에 벅찬 일을 잘해 나감.</t>
  </si>
  <si>
    <t>( )柔不斷</t>
  </si>
  <si>
    <t>우유부단 (優柔不斷)</t>
  </si>
  <si>
    <t>어물어물 망설이기만 하고 결단성이 없음.</t>
  </si>
  <si>
    <t>아주 많거나 넓은 것 가운데 있는 매우 하찮고 작은 것.</t>
  </si>
  <si>
    <t>( )離滅( )</t>
  </si>
  <si>
    <t>支裂</t>
  </si>
  <si>
    <t>지탱할 지, 찢길 렬</t>
  </si>
  <si>
    <t>이리저리 흩어지고 찢기어 갈피를 잡을 수 없음.</t>
  </si>
  <si>
    <t>( )衣還( )</t>
  </si>
  <si>
    <t>錦鄕</t>
  </si>
  <si>
    <t>비단 금, 시골 향</t>
  </si>
  <si>
    <t>錦衣還鄕 (금의환향)</t>
  </si>
  <si>
    <t>출세를 하여 고향에 돌아가거나 돌아옴.</t>
  </si>
  <si>
    <t>口( )腹( )</t>
  </si>
  <si>
    <t>蜜劍</t>
  </si>
  <si>
    <t>꿀 밀, 칼 검</t>
  </si>
  <si>
    <t>말로는 친한 듯하나 속으로는 해칠 생각이 있음.</t>
  </si>
  <si>
    <t>一網( )( )</t>
  </si>
  <si>
    <t>打盡</t>
  </si>
  <si>
    <t>칠 타, 다할 진</t>
  </si>
  <si>
    <t>일망타진 (一網打盡)</t>
  </si>
  <si>
    <t>어떤 무리를 한꺼번에 모조리 다 잡음.</t>
  </si>
  <si>
    <t>( )( )殺人</t>
  </si>
  <si>
    <t>寸鐵</t>
  </si>
  <si>
    <t>마디 촌, 쇠 철</t>
  </si>
  <si>
    <t>촌철살인 (寸鐵殺人)</t>
  </si>
  <si>
    <t>간단한 말로도 남을 감동하게 하거나 남의 약점을 찌를 수 있음.</t>
  </si>
  <si>
    <t>( )柯一( )</t>
  </si>
  <si>
    <t>南, 夢</t>
  </si>
  <si>
    <t>남녘 남, 꿈 몽</t>
  </si>
  <si>
    <t>꿈과 같이 헛된 한 때의 부귀영화를 이르는 말</t>
  </si>
  <si>
    <t>雪膚( )( )</t>
  </si>
  <si>
    <t>花, 容</t>
  </si>
  <si>
    <t>꽃 화, 얼굴 용</t>
  </si>
  <si>
    <t>눈처럼 흰 살갗과 꽃처럼 고운 얼굴이라는 뜻으로, 미인의 용모를 이르는 말</t>
  </si>
  <si>
    <t>改( )遷( )</t>
  </si>
  <si>
    <t>過, 善</t>
  </si>
  <si>
    <t>지날 과, 착할 선</t>
  </si>
  <si>
    <t>지난날의 잘못이나 허물을 고쳐 올바르고 착하게 됨</t>
  </si>
  <si>
    <t>破( )( )正</t>
  </si>
  <si>
    <t>邪, 顯</t>
  </si>
  <si>
    <t>간사할 사, 나타날 현</t>
  </si>
  <si>
    <t>그릇된 생각을 깨뜨리고 정법을 드러내는 일</t>
  </si>
  <si>
    <t>自( )自( )</t>
  </si>
  <si>
    <t>暴, 棄</t>
  </si>
  <si>
    <t>사나울 폭, 버릴 기</t>
  </si>
  <si>
    <t>절망에 빠져 자신을 스스로 포기하고 돌아보지 아니함</t>
  </si>
  <si>
    <t>危( )一( )</t>
  </si>
  <si>
    <t>機, 髮</t>
  </si>
  <si>
    <t>틀 기, 터럭 발</t>
  </si>
  <si>
    <t>如( )薄( )</t>
  </si>
  <si>
    <t>履, 氷</t>
  </si>
  <si>
    <t>밟을 리, 얼음 빙</t>
  </si>
  <si>
    <t>살얼음을 밟는 것과 같다는 뜻으로, 아슬아슬하고 위험한 일을 비유적으로 이르는 말</t>
  </si>
  <si>
    <t>手不( )( )</t>
  </si>
  <si>
    <t>釋, 卷</t>
  </si>
  <si>
    <t>풀 석, 책 권</t>
  </si>
  <si>
    <t>손에서 책을 놓지 아니하고 늘 글을 읽음</t>
  </si>
  <si>
    <t>( )身成( )</t>
  </si>
  <si>
    <t>殺, 仁</t>
  </si>
  <si>
    <t>죽일 살, 어질 인</t>
  </si>
  <si>
    <t>살신성인 (殺身成仁)</t>
  </si>
  <si>
    <t>옳은 일을 위해 자신을 희생함</t>
  </si>
  <si>
    <t>( )心焦( )</t>
  </si>
  <si>
    <t>勞, 思</t>
  </si>
  <si>
    <t>일할 로, 생각 사</t>
  </si>
  <si>
    <t>( )( )殺牛</t>
  </si>
  <si>
    <t>矯, 角</t>
  </si>
  <si>
    <t>바로잡을 교, 뿔 각</t>
  </si>
  <si>
    <t>잘못된 점을 고치려다가 오히려 일을 그르침</t>
  </si>
  <si>
    <t>붉은 입술과 하얀 치아. 아름다운 여자</t>
  </si>
  <si>
    <t>( )( )君子</t>
  </si>
  <si>
    <t>梁, 上</t>
  </si>
  <si>
    <t>들보 량, 위 상</t>
  </si>
  <si>
    <t>들보 위의 군자. 도둑을 완곡하게 이르는 말</t>
  </si>
  <si>
    <t>( )木求( )</t>
  </si>
  <si>
    <t>緣, 魚</t>
  </si>
  <si>
    <t>인연 연, 고기 어</t>
  </si>
  <si>
    <t>도저히 불가능한 일을 굳이 하려 함</t>
  </si>
  <si>
    <t>朝三( )四</t>
  </si>
  <si>
    <t>朝三暮四 (조삼모사)</t>
  </si>
  <si>
    <t>간사한 꾀로 남을 속여 희롱함</t>
  </si>
  <si>
    <t>( )晝夜讀</t>
  </si>
  <si>
    <t>耕</t>
  </si>
  <si>
    <t>밭갈 경</t>
  </si>
  <si>
    <t>주경야독 (晝耕夜讀)</t>
  </si>
  <si>
    <t>낮에는 일하고 밤에는 공부함</t>
  </si>
  <si>
    <t>( )( )觀天</t>
  </si>
  <si>
    <t>坐, 井</t>
  </si>
  <si>
    <t>앉을 좌, 우물 정</t>
  </si>
  <si>
    <t>우물 안에서 하늘을 봄. 견문이 좁음</t>
  </si>
  <si>
    <t>過猶( )( )</t>
  </si>
  <si>
    <t>不, 及</t>
  </si>
  <si>
    <t>아닐 불, 미칠 급</t>
  </si>
  <si>
    <t>( )定( )省</t>
  </si>
  <si>
    <t>昏, 晨</t>
  </si>
  <si>
    <t>어두울 혼, 새벽 신</t>
  </si>
  <si>
    <t>저녁에 잠자리를 살피고 아침에 문안을 드림</t>
  </si>
  <si>
    <t>恒( )( )事</t>
  </si>
  <si>
    <t>茶, 飯</t>
  </si>
  <si>
    <t>차 다, 밥 반</t>
  </si>
  <si>
    <t>( )脫不( )</t>
  </si>
  <si>
    <t>足, 及</t>
  </si>
  <si>
    <t>발 족, 미칠 급</t>
  </si>
  <si>
    <t>맨발로 뛰어도 미치지 못할 만큼 차이가 큼</t>
  </si>
  <si>
    <t>立( )揚( )</t>
  </si>
  <si>
    <t>身, 名</t>
  </si>
  <si>
    <t>몸 신, 이름 명</t>
  </si>
  <si>
    <t>입신양명 (立身揚名)</t>
  </si>
  <si>
    <t>출세하여 세상에 이름을 널리 알림</t>
  </si>
  <si>
    <t>泥( )( )狗</t>
  </si>
  <si>
    <t>田, 鬪</t>
  </si>
  <si>
    <t>밭 전, 싸울 투</t>
  </si>
  <si>
    <t>진흙탕에서 싸우는 개처럼 체면 없이 싸움</t>
  </si>
  <si>
    <t>( )骨( )風</t>
  </si>
  <si>
    <t>玉, 仙</t>
  </si>
  <si>
    <t>구슬 옥, 신선 선</t>
  </si>
  <si>
    <t>옥골선풍 (玉骨仙風)</t>
  </si>
  <si>
    <t>뛰어난 풍채와 고결한 모습</t>
  </si>
  <si>
    <t>( )禍召( )</t>
  </si>
  <si>
    <t>遠, 福</t>
  </si>
  <si>
    <t>멀 원, 복 복</t>
  </si>
  <si>
    <t>화를 멀리하고 복을 불러들임</t>
  </si>
  <si>
    <t>深山( )( )</t>
  </si>
  <si>
    <t>幽, 谷</t>
  </si>
  <si>
    <t>그윽할 유, 골 곡</t>
  </si>
  <si>
    <t>깊은 산속의 그윽한 골짜기</t>
  </si>
  <si>
    <t>( )出( )藍</t>
  </si>
  <si>
    <t>靑, 於</t>
  </si>
  <si>
    <t>푸를 청, 어조사 어</t>
  </si>
  <si>
    <t>咸( )( )使</t>
  </si>
  <si>
    <t>興, 差</t>
  </si>
  <si>
    <t>흥할 흥, 보낼 차</t>
  </si>
  <si>
    <t>심부름 간 사람이 돌아오지 않거나 소식이 없음</t>
  </si>
  <si>
    <t>近墨者( )</t>
  </si>
  <si>
    <t>나쁜 사람과 가까이하면 나쁘게 변함</t>
  </si>
  <si>
    <t>桑田( )海</t>
  </si>
  <si>
    <t>세상일이 몰라보게 변함</t>
  </si>
  <si>
    <t>잠자는 호랑이 코를 찌름 (화 초래)</t>
  </si>
  <si>
    <t>肝膽相( )</t>
  </si>
  <si>
    <t>進退( )谷</t>
  </si>
  <si>
    <t>維</t>
  </si>
  <si>
    <t>벼리 유</t>
  </si>
  <si>
    <t>進退維谷 (진퇴유곡)</t>
  </si>
  <si>
    <t>나아갈 수도 물러설 수도 없는 난처한 처지</t>
  </si>
  <si>
    <t>( )言逆耳</t>
  </si>
  <si>
    <t>忠</t>
  </si>
  <si>
    <t>충성 충</t>
  </si>
  <si>
    <t>忠言逆耳 (충언역이)</t>
  </si>
  <si>
    <t>충고는 귀에 거슬림</t>
  </si>
  <si>
    <t>( )腹絶倒</t>
  </si>
  <si>
    <t>안을 포</t>
  </si>
  <si>
    <t>快刀亂( )</t>
  </si>
  <si>
    <t>쾌도난마 (快刀亂麻)</t>
  </si>
  <si>
    <t>얽힌 문제를 솜씨 있게 해결함</t>
  </si>
  <si>
    <t>( )膚花( )</t>
  </si>
  <si>
    <t>雪, 容</t>
  </si>
  <si>
    <t>눈 설, 얼굴 용</t>
  </si>
  <si>
    <t>눈 같은 살결과 꽃 같은 얼굴, 미인을 이르는 말.</t>
  </si>
  <si>
    <t>畫( )( )足</t>
  </si>
  <si>
    <t>蛇, 添</t>
  </si>
  <si>
    <t>뱀 사, 더할 첨</t>
  </si>
  <si>
    <t>뱀을 그리면서 발을 보태어 넣는다는 데서, 쓸데없는 일을 함을 말함.</t>
  </si>
  <si>
    <t>( )談( )說</t>
  </si>
  <si>
    <t>街, 巷</t>
  </si>
  <si>
    <t>거리 가, 거리 항</t>
  </si>
  <si>
    <t>鵬( )( )里</t>
  </si>
  <si>
    <t>程, 萬</t>
  </si>
  <si>
    <t>길 정, 일만 만</t>
  </si>
  <si>
    <t>앞길이 매우 멀고도 큼을 일컫는 말.</t>
  </si>
  <si>
    <t>貪官( )( )</t>
  </si>
  <si>
    <t>汚, 吏</t>
  </si>
  <si>
    <t>더러울 오, 관리 리</t>
  </si>
  <si>
    <t>탐욕이 많고 행실이 깨끗하지 못한 벼슬아치.</t>
  </si>
  <si>
    <t>支離( )( )</t>
  </si>
  <si>
    <t>滅, 裂</t>
  </si>
  <si>
    <t>멸망할 멸, 찢을 렬</t>
  </si>
  <si>
    <t>서로 갈라져 흩어지고 찢기어 갈피를 잡을 수 없음을 이르는 말.</t>
  </si>
  <si>
    <t>( )飛( )落</t>
  </si>
  <si>
    <t>烏, 梨</t>
  </si>
  <si>
    <t>까마귀 오, 배나무 리</t>
  </si>
  <si>
    <t>까마귀 날자 배 떨어진다는 말로, 일이 공교롭게 같이 일어나 의심을 사게 됨.</t>
  </si>
  <si>
    <t>( )勝長( )</t>
  </si>
  <si>
    <t>乘, 驅</t>
  </si>
  <si>
    <t>탈 승, 몰 구</t>
  </si>
  <si>
    <t>싸움에서 이긴 기세를 타고 계속 적을 몰아침.</t>
  </si>
  <si>
    <t>( )兆( )生</t>
  </si>
  <si>
    <t>億, 蒼</t>
  </si>
  <si>
    <t>억 억, 푸를 창</t>
  </si>
  <si>
    <t>수많은 백성.</t>
  </si>
  <si>
    <t>푸른 버들과 아름다운 풀.</t>
  </si>
  <si>
    <t>( ) ( )不同</t>
  </si>
  <si>
    <t>才勝( ) ( )</t>
  </si>
  <si>
    <t>薄德</t>
  </si>
  <si>
    <t>엷을 박, 큰 덕</t>
  </si>
  <si>
    <t>才勝薄德 (재승박덕)</t>
  </si>
  <si>
    <t>재주는 뛰어나나 덕이 적음.</t>
  </si>
  <si>
    <t>( ) ( )之衆</t>
  </si>
  <si>
    <t>烏合</t>
  </si>
  <si>
    <t>까마귀 오, 합할 합</t>
  </si>
  <si>
    <t>烏合之衆 (오합지중)</t>
  </si>
  <si>
    <t>질서 없이 어중이떠중이가 모인 무리.</t>
  </si>
  <si>
    <t>外柔( ) ( )</t>
  </si>
  <si>
    <t>겉은 부드러우나 속은 꿋꿋하고 강함.</t>
  </si>
  <si>
    <t>錦衣( ) ( )</t>
  </si>
  <si>
    <t>還鄕</t>
  </si>
  <si>
    <t>돌아올 환, 시골 향</t>
  </si>
  <si>
    <t>출세하여 고향으로 돌아옴.</t>
  </si>
  <si>
    <t>( )( )爲福</t>
  </si>
  <si>
    <t>轉禍</t>
  </si>
  <si>
    <t>구를 전, 재앙 화</t>
  </si>
  <si>
    <t>( )( )三尺</t>
  </si>
  <si>
    <t>吾鼻</t>
  </si>
  <si>
    <t>나 오, 코 비</t>
  </si>
  <si>
    <t>내 코가 석 자(내 일도 감당하기 어려움).</t>
  </si>
  <si>
    <t>羊頭( )( )</t>
  </si>
  <si>
    <t>狗肉</t>
  </si>
  <si>
    <t>개 구, 고기 육</t>
  </si>
  <si>
    <t>겉은 훌륭하나 속은 변변치 못함.</t>
  </si>
  <si>
    <t>雪上( )( )</t>
  </si>
  <si>
    <t>加霜</t>
  </si>
  <si>
    <t>더할 가, 서리 상</t>
  </si>
  <si>
    <t>불행한 일이 겹쳐서 일어남.</t>
  </si>
  <si>
    <t>혼자서는 일을 이루기 어려움.</t>
  </si>
  <si>
    <t>의심받기 쉬운 행동을 삼가야 함.</t>
  </si>
  <si>
    <t>가난한 사람들이 떠돌아다니며 삶.</t>
  </si>
  <si>
    <t>붉은 입술과 하얀 이, 미인을 뜻함.</t>
  </si>
  <si>
    <t>杜門不( )</t>
  </si>
  <si>
    <t>집안에만 있고 밖으로 나오지 않음.</t>
  </si>
  <si>
    <t>畫( )添足</t>
  </si>
  <si>
    <t>쓸데없는 일을 덧붙여 도리어 망침.</t>
  </si>
  <si>
    <t>( )張聲勢</t>
  </si>
  <si>
    <t>실속 없이 허세만 부림.</t>
  </si>
  <si>
    <t>지난 잘못을 고치고 착한 사람이 됨.</t>
  </si>
  <si>
    <t>죽어서도 잊지 않고 은혜를 갚음.</t>
  </si>
  <si>
    <t>鷄鳴( )盜</t>
  </si>
  <si>
    <t>鷄鳴狗盜 (계명구도)</t>
  </si>
  <si>
    <t>보잘것없는 재주로 위기를 벗어남.</t>
  </si>
  <si>
    <t>( )事煩食</t>
  </si>
  <si>
    <t>少事煩食 (소사번식)</t>
  </si>
  <si>
    <t>하는 일은 적으면서 먹는 것만 밝힘.</t>
  </si>
  <si>
    <t>( )( )之功</t>
  </si>
  <si>
    <t>螢雪</t>
  </si>
  <si>
    <t>반딧불 형, 눈 설</t>
  </si>
  <si>
    <t>고생을 이기고 공부하여 이룬 공</t>
  </si>
  <si>
    <t>厚顔( )( )</t>
  </si>
  <si>
    <t>無恥</t>
  </si>
  <si>
    <t>없을 무, 부끄러울 치</t>
  </si>
  <si>
    <t>厚顔無恥 (후안무치)</t>
  </si>
  <si>
    <t>얼굴이 두꺼워 부끄러움이 없음</t>
  </si>
  <si>
    <t>아무 관계 없이 한 일이 공교롭게 의심을 삼</t>
  </si>
  <si>
    <t>폐단의 근본 원인을 뽑아 버림</t>
  </si>
  <si>
    <t>漸入( )( )</t>
  </si>
  <si>
    <t>佳境</t>
  </si>
  <si>
    <t>아름다울 가, 지경 경</t>
  </si>
  <si>
    <t>들어갈수록 점점 재미있는 경치나 지경에 이름</t>
  </si>
  <si>
    <t>轉禍( )( )</t>
  </si>
  <si>
    <t>爲福</t>
  </si>
  <si>
    <t>할 위, 복 복</t>
  </si>
  <si>
    <t>進退( )( )</t>
  </si>
  <si>
    <t>維谷</t>
  </si>
  <si>
    <t>벼리 유, 골짜기 곡</t>
  </si>
  <si>
    <t>나아갈 수도 물러설 수도 없는 궁지</t>
  </si>
  <si>
    <t>同價( )( )</t>
  </si>
  <si>
    <t>目不( )( )</t>
  </si>
  <si>
    <t>識丁</t>
  </si>
  <si>
    <t>알 식, 고무래 정</t>
  </si>
  <si>
    <t>目불識丁 (목불식정)</t>
  </si>
  <si>
    <t>낫 놓고 기역 자도 모를 만큼 무식함</t>
  </si>
  <si>
    <t>角者( )( )</t>
  </si>
  <si>
    <t>無齒</t>
  </si>
  <si>
    <t>없을 무, 이 치</t>
  </si>
  <si>
    <t>角者無齒 (각자무치)</t>
  </si>
  <si>
    <t>뿔이 있는 자는 이가 없다는 뜻으로, 복을 다 겸하지 못함</t>
  </si>
  <si>
    <t>뽕나무밭이 푸른 바다가 됨. 세상 일이 심하게 변함</t>
  </si>
  <si>
    <t>面( )腹( )</t>
  </si>
  <si>
    <t>從背</t>
  </si>
  <si>
    <t>좇을 종, 등 배</t>
  </si>
  <si>
    <t>겉으로는 복종하는 체하면서 내심으로는 배반함</t>
  </si>
  <si>
    <t>滄海( )( )</t>
  </si>
  <si>
    <t>一粟</t>
  </si>
  <si>
    <t>한 일, 조 속</t>
  </si>
  <si>
    <t>아주 큰 물건 속에 있는 아주 작은 물건</t>
  </si>
  <si>
    <t>세상에서 자기 혼자만이 존귀함</t>
  </si>
  <si>
    <t>守( )待兔</t>
  </si>
  <si>
    <t>株</t>
  </si>
  <si>
    <t>그루터기 주</t>
  </si>
  <si>
    <t>구습을 고수하여 변통할 줄 모름</t>
  </si>
  <si>
    <t>畫( )添( )</t>
  </si>
  <si>
    <t>蛇足</t>
  </si>
  <si>
    <t>뱀 사, 발 족</t>
  </si>
  <si>
    <t>쓸데없는 일을 함</t>
  </si>
  <si>
    <t>釋卷</t>
  </si>
  <si>
    <t>놓을 석, 책 권</t>
  </si>
  <si>
    <t>늘 글을 읽으며 열심히 공부함</t>
  </si>
  <si>
    <t>( )( )無盡</t>
  </si>
  <si>
    <t>縱橫</t>
  </si>
  <si>
    <t>세로 종, 가로 횡</t>
  </si>
  <si>
    <t>자유자재로 행동하여 거침이 없는 상태</t>
  </si>
  <si>
    <t>忠言( )( )</t>
  </si>
  <si>
    <t>逆耳</t>
  </si>
  <si>
    <t>거스를 역, 귀 이</t>
  </si>
  <si>
    <t>충고하는 말은 귀에 거슬림</t>
  </si>
  <si>
    <t>( )( )鬪狗</t>
  </si>
  <si>
    <t>泥田</t>
  </si>
  <si>
    <t>진흙 니, 밭 전</t>
  </si>
  <si>
    <t>진흙탕에서 싸우는 개처럼 명분이 없는 싸움</t>
  </si>
  <si>
    <t>路柳( )( )</t>
  </si>
  <si>
    <t>墻花</t>
  </si>
  <si>
    <t>담 장, 꽃 화</t>
  </si>
  <si>
    <t>路柳墻花 (노류장화)</t>
  </si>
  <si>
    <t>길가의 버들과 담 밑의 꽃 (누구나 꺾을 수 있는 여자)</t>
  </si>
  <si>
    <t>( )( )狀態</t>
  </si>
  <si>
    <t>어두울 혼, 졸음 수</t>
  </si>
  <si>
    <t>昏睡狀態 (혼수상태)</t>
  </si>
  <si>
    <t>정신이 어둡고 잠든 것처럼 의식이 없는 상태</t>
  </si>
  <si>
    <t>五里( )( )</t>
  </si>
  <si>
    <t>霧中</t>
  </si>
  <si>
    <t>안개 무, 가운데 중</t>
  </si>
  <si>
    <t>五里霧中 (오리무중)</t>
  </si>
  <si>
    <t>오 리나 되는 안개 속처럼 방향을 알 수 없음</t>
  </si>
  <si>
    <t>( )官( )吏</t>
  </si>
  <si>
    <t>貪, 汚</t>
  </si>
  <si>
    <t>탐낼 탐, 더러울 오</t>
  </si>
  <si>
    <t>탐욕이 많고 행실이 더러운 관리</t>
  </si>
  <si>
    <t>如( )( )氷</t>
  </si>
  <si>
    <t>履, 薄</t>
  </si>
  <si>
    <t>밟을 리, 엷을 박</t>
  </si>
  <si>
    <t>살얼음을 밟는 것과 같이 위태로운 상황</t>
  </si>
  <si>
    <t>( )妻( )下</t>
  </si>
  <si>
    <t>嚴, 侍</t>
  </si>
  <si>
    <t>엄할 엄, 모실 시</t>
  </si>
  <si>
    <t>嚴侍妻下 (엄시처하)</t>
  </si>
  <si>
    <t>엄한 아내를 모시고 사는 남편의 처지</t>
  </si>
  <si>
    <t>( )( )奉公</t>
  </si>
  <si>
    <t>滅, 私</t>
  </si>
  <si>
    <t>멸할 멸, 사사 사</t>
  </si>
  <si>
    <t>사익을 버리고 공익을 위해 힘씀</t>
  </si>
  <si>
    <t>폐단의 근원적 원인을 완전히 뽑아 버림</t>
  </si>
  <si>
    <t>守株( )( )</t>
  </si>
  <si>
    <t>類類( )( )</t>
  </si>
  <si>
    <t>( )( )不同</t>
  </si>
  <si>
    <t>咸興( )( )</t>
  </si>
  <si>
    <t>龍味( )( )</t>
  </si>
  <si>
    <t>( )( )同塵</t>
  </si>
  <si>
    <t>和光</t>
  </si>
  <si>
    <t>화할 화, 빛 광</t>
  </si>
  <si>
    <t>和光同塵 (화광동진)</t>
  </si>
  <si>
    <t>지혜를 감추고 속세의 티끌과 함께함</t>
  </si>
  <si>
    <t>刻骨( )( )</t>
  </si>
  <si>
    <t>痛恨</t>
  </si>
  <si>
    <t>아플 통, 한 한</t>
  </si>
  <si>
    <t>刻骨痛恨 (각골통한)</t>
  </si>
  <si>
    <t>뼈에 사무칠 만큼 맺힌 깊은 원한</t>
  </si>
  <si>
    <t>( )( )爲馬</t>
  </si>
  <si>
    <t>指鹿</t>
  </si>
  <si>
    <t>가리킬 지, 사슴 록</t>
  </si>
  <si>
    <t>사슴을 가리켜 말이라 함. 윗사람을 농락함</t>
  </si>
  <si>
    <t>昊天( )( )</t>
  </si>
  <si>
    <t>罔極</t>
  </si>
  <si>
    <t>없을 망, 다할 극</t>
  </si>
  <si>
    <t>昊天罔極 (호천망극)</t>
  </si>
  <si>
    <t>부모님의 은혜가 하늘같이 끝이 없음</t>
  </si>
  <si>
    <t>泥田( )( )</t>
  </si>
  <si>
    <t>鬪狗</t>
  </si>
  <si>
    <t>싸울 투, 개 구</t>
  </si>
  <si>
    <t>鷄( )( )盜</t>
  </si>
  <si>
    <t>鳴狗</t>
  </si>
  <si>
    <t>울 명, 개 구</t>
  </si>
  <si>
    <t>비굴하게 남을 속이는 하찮은 재주</t>
  </si>
  <si>
    <t>外( )內( )</t>
  </si>
  <si>
    <t>柔剛</t>
  </si>
  <si>
    <t>부드러울 유, 굳셀 강</t>
  </si>
  <si>
    <t>겉은 부드러우나 속은 굳셈</t>
  </si>
  <si>
    <t>齊眉</t>
  </si>
  <si>
    <t>아내가 밥상을 눈썹 높이로 들어 남편을 공경함</t>
  </si>
  <si>
    <t>몹시 고통스러운 지경에 빠짐</t>
  </si>
  <si>
    <t>群雄( )( )</t>
  </si>
  <si>
    <t>割據</t>
  </si>
  <si>
    <t>나눌 할, 근거 거</t>
  </si>
  <si>
    <t>여러 영웅이 각 지방을 차지하고 위세를 부림</t>
  </si>
  <si>
    <t>( )( )自重</t>
  </si>
  <si>
    <t>隱忍</t>
  </si>
  <si>
    <t>숨을 은, 참을 인</t>
  </si>
  <si>
    <t>속으로 참으며 행동을 신중히 함</t>
  </si>
  <si>
    <t>( )食( )衣</t>
  </si>
  <si>
    <t>飽暖</t>
  </si>
  <si>
    <t>배부를 포, 따뜻할 난</t>
  </si>
  <si>
    <t>宿( )( )( )</t>
  </si>
  <si>
    <t>虎衝鼻</t>
  </si>
  <si>
    <t>범 호, 찌를 충, 코 비</t>
  </si>
  <si>
    <t>자는 범의 코를 찔러 화를 스스로 불러들임</t>
  </si>
  <si>
    <t>( )強( )會</t>
  </si>
  <si>
    <t>牽附</t>
  </si>
  <si>
    <t>끌 견, 붙을 부</t>
  </si>
  <si>
    <t>過( )不( )</t>
  </si>
  <si>
    <t>猶及</t>
  </si>
  <si>
    <t>오히려 유, 미칠 급</t>
  </si>
  <si>
    <t>空前( )( )</t>
  </si>
  <si>
    <t>絶後</t>
  </si>
  <si>
    <t>끊을 절, 뒤 후</t>
  </si>
  <si>
    <t>空前絶後 (공전절후)</t>
  </si>
  <si>
    <t>전에도 없었고 앞으로도 없을 일</t>
  </si>
  <si>
    <t>뽕나무밭이 바다가 됨. 세상일의 변함이 심함</t>
  </si>
  <si>
    <t>손뼉도 마주쳐야 소리가 남. 혼자서는 일을 하기 어려움</t>
  </si>
  <si>
    <t>滅私</t>
  </si>
  <si>
    <t>사사로움을 버리고 공공을 위해 힘씀</t>
  </si>
  <si>
    <t>擧案( )( )</t>
  </si>
  <si>
    <t>밥상을 눈썹 높이로 들어 남편을 공경함</t>
  </si>
  <si>
    <t>눈 위에 서리가 덮임. 불행이 겹침</t>
  </si>
  <si>
    <t>( )( )思之</t>
  </si>
  <si>
    <t>易地</t>
  </si>
  <si>
    <t>바꿀 역, 땅 지</t>
  </si>
  <si>
    <t>克己( )( )</t>
  </si>
  <si>
    <t>復禮</t>
  </si>
  <si>
    <t>회복할 복, 예도 례</t>
  </si>
  <si>
    <t>사욕을 누르고 예의 범절을 따름</t>
  </si>
  <si>
    <t>( )( )求劍</t>
  </si>
  <si>
    <t>刻舟</t>
  </si>
  <si>
    <t>새길 각, 배 주</t>
  </si>
  <si>
    <t>배에 표시를 하고 칼을 찾음. 어리석고 융통성이 없음</t>
  </si>
  <si>
    <t>身言( )( )</t>
  </si>
  <si>
    <t>書判</t>
  </si>
  <si>
    <t>글 서, 판단할 판</t>
  </si>
  <si>
    <t>身言書판 (신언서판)</t>
  </si>
  <si>
    <t>인물을 선택하는 네 가지 기준</t>
  </si>
  <si>
    <t>結草( )( )</t>
  </si>
  <si>
    <t>報恩</t>
  </si>
  <si>
    <t>( )衣( )行</t>
  </si>
  <si>
    <t>錦, 夜</t>
  </si>
  <si>
    <t>蛇, 足</t>
  </si>
  <si>
    <t>夫( )婦( )</t>
  </si>
  <si>
    <t>唱, 隨</t>
  </si>
  <si>
    <t>부를 창, 따를 수</t>
  </si>
  <si>
    <t>( )日( )日</t>
  </si>
  <si>
    <t>此, 피</t>
  </si>
  <si>
    <t>이 차, 저 피</t>
  </si>
  <si>
    <t>此日彼日 (차일피일)</t>
  </si>
  <si>
    <t>기일을 자꾸 미룸</t>
  </si>
  <si>
    <t>億( )( )生</t>
  </si>
  <si>
    <t>兆, 蒼</t>
  </si>
  <si>
    <t>억 조, 푸를 창</t>
  </si>
  <si>
    <t>守( )待( )</t>
  </si>
  <si>
    <t>株, 兎</t>
  </si>
  <si>
    <t>그루터기 주, 토끼 토</t>
  </si>
  <si>
    <t>守株待兎 (수주대토)</t>
  </si>
  <si>
    <t>어리석게 한 가지 일에만 얽매임</t>
  </si>
  <si>
    <t>( )言書( )</t>
  </si>
  <si>
    <t>身, 判</t>
  </si>
  <si>
    <t>몸 신, 판단할 판</t>
  </si>
  <si>
    <t>身言書判 (신언서판)</t>
  </si>
  <si>
    <t>인물을 선택하는 네 가지 조건</t>
  </si>
  <si>
    <t>輕擧( )( )</t>
  </si>
  <si>
    <t>擧, 妄</t>
  </si>
  <si>
    <t>들 거, 망령될 망</t>
  </si>
  <si>
    <t>경솔한 행동</t>
  </si>
  <si>
    <t>近( )者( )</t>
  </si>
  <si>
    <t>墨, 黑</t>
  </si>
  <si>
    <t>먹 묵, 검을 흑</t>
  </si>
  <si>
    <t>나쁜 사람에 물듦</t>
  </si>
  <si>
    <t>氣( )萬( )</t>
  </si>
  <si>
    <t>高, 丈</t>
  </si>
  <si>
    <t>높을 고, 길 장</t>
  </si>
  <si>
    <t>기세가 대단함</t>
  </si>
  <si>
    <t>東( )西( )</t>
  </si>
  <si>
    <t>奔, 走</t>
  </si>
  <si>
    <t>달릴 분, 달릴 주</t>
  </si>
  <si>
    <t>사방으로 바삐 돌아다님</t>
  </si>
  <si>
    <t>자기의 이익을 위해 비열하게 싸움</t>
  </si>
  <si>
    <t>( )( )為福</t>
  </si>
  <si>
    <t>轉禍為福 (전화위복)</t>
  </si>
  <si>
    <t>興亡( )( )</t>
  </si>
  <si>
    <t>盛衰</t>
  </si>
  <si>
    <t>성할 성, 쇠할 쇠</t>
  </si>
  <si>
    <t>흥하고 망하고 성하고 쇠함</t>
  </si>
  <si>
    <t>( )( )齊眉</t>
  </si>
  <si>
    <t>舉案</t>
  </si>
  <si>
    <t>들 거, 책상 안</t>
  </si>
  <si>
    <t>同病( )( )</t>
  </si>
  <si>
    <t>같은 처지의 사람끼리 서로 동정함</t>
  </si>
  <si>
    <t>( )( )一貫</t>
  </si>
  <si>
    <t>처음 초, 뜻 지</t>
  </si>
  <si>
    <t>처음 세운 뜻을 끝까지 밀고 나감</t>
  </si>
  <si>
    <t>사욕을 누르고 예의를 회복함</t>
  </si>
  <si>
    <t>몹시 고생스러운 처지</t>
  </si>
  <si>
    <t>폐단의 근원을 아주 뽑아 버림</t>
  </si>
  <si>
    <t>( )( )奪胎</t>
  </si>
  <si>
    <t>換骨</t>
  </si>
  <si>
    <t>바꿀 환, 뼈 골</t>
  </si>
  <si>
    <t>낡은 제도를 바꾸어 새롭게 함</t>
  </si>
  <si>
    <t>( )瑟( )和</t>
  </si>
  <si>
    <t>琴, 相</t>
  </si>
  <si>
    <t>거문고 금, 서로 상</t>
  </si>
  <si>
    <t>琴瑟相和 (금슬상화)</t>
  </si>
  <si>
    <t>부부 사이가 다정함</t>
  </si>
  <si>
    <t>韋( )三( )</t>
  </si>
  <si>
    <t>編, 絶</t>
  </si>
  <si>
    <t>엮을 편, 끊을 절</t>
  </si>
  <si>
    <t>책을 열심히 읽음</t>
  </si>
  <si>
    <t>多( )( )賈</t>
  </si>
  <si>
    <t>錢, 善</t>
  </si>
  <si>
    <t>돈 전, 착할 선</t>
  </si>
  <si>
    <t>多錢善賈 (다전선가)</t>
  </si>
  <si>
    <t>밑천이 넉넉하면 장사가 잘됨</t>
  </si>
  <si>
    <t>( )城子( )</t>
  </si>
  <si>
    <t>妻, 獄</t>
  </si>
  <si>
    <t>아내 처, 감옥 옥</t>
  </si>
  <si>
    <t>妻城子獄 (처성자옥)</t>
  </si>
  <si>
    <t>처자가 있어 자유롭지 못함</t>
  </si>
  <si>
    <t>( )強扶( )</t>
  </si>
  <si>
    <t>抑, 弱</t>
  </si>
  <si>
    <t>누를 억, 약할 약</t>
  </si>
  <si>
    <t>抑強扶弱 (억강부약)</t>
  </si>
  <si>
    <t>강자를 누르고 약자를 도움</t>
  </si>
  <si>
    <t>脣( )輔( )</t>
  </si>
  <si>
    <t>齒, 車</t>
  </si>
  <si>
    <t>이 치, 수레 거</t>
  </si>
  <si>
    <t>脣齒輔車 (순치보거)</t>
  </si>
  <si>
    <t>서로 꼭 필요한 깊은 관계</t>
  </si>
  <si>
    <t>( )魯不( )</t>
  </si>
  <si>
    <t>魚, 辨</t>
  </si>
  <si>
    <t>고기 어, 분별할 변</t>
  </si>
  <si>
    <t>魚魯不辨 (어로불변)</t>
  </si>
  <si>
    <t>간단한 글자도 모르는 문맹</t>
  </si>
  <si>
    <t>( )三( )四</t>
  </si>
  <si>
    <t>간사한 꾀로 남을 속임</t>
  </si>
  <si>
    <t>( )鹿( )馬</t>
  </si>
  <si>
    <t>指, 爲</t>
  </si>
  <si>
    <t>가리킬 지, 할 위</t>
  </si>
  <si>
    <t>윗사람을 농락하여 권세를 휘두름</t>
  </si>
  <si>
    <t>厚( )無( )</t>
  </si>
  <si>
    <t>顏, 恥</t>
  </si>
  <si>
    <t>얼굴 안, 부끄러울 치</t>
  </si>
  <si>
    <t>厚顏無恥 (후안무치)</t>
  </si>
  <si>
    <t>뻔뻔스러워 부끄러움이 없음</t>
  </si>
  <si>
    <t>붕새가 지나는 길처럼 아주 먼 길.</t>
  </si>
  <si>
    <t>朝( )暮改</t>
  </si>
  <si>
    <t>명령 령</t>
  </si>
  <si>
    <t>아침에 명령을 내리고 저녁에 고침.</t>
  </si>
  <si>
    <t>遠禍( )福</t>
  </si>
  <si>
    <t>遠禍召福 (원화소복)</t>
  </si>
  <si>
    <t>화를 물리치고 복을 불러들임.</t>
  </si>
  <si>
    <t>紅爐( )雪</t>
  </si>
  <si>
    <t>紅爐點雪 (홍로점설)</t>
  </si>
  <si>
    <t>달아오른 화로 위의 한 점 눈처럼 금방 사라짐.</t>
  </si>
  <si>
    <t>蓋世之( )</t>
  </si>
  <si>
    <t>才</t>
  </si>
  <si>
    <t>재주 재</t>
  </si>
  <si>
    <t>蓋世之才 (개세지재)</t>
  </si>
  <si>
    <t>세상을 뒤덮을 만큼 뛰어난 재주.</t>
  </si>
  <si>
    <t>간과 쓸개를 서로 비춰 보듯 속마음을 터놓음.</t>
  </si>
  <si>
    <t>舉案齊( )</t>
  </si>
  <si>
    <t>밥상을 눈썹 높이로 들어 남편을 공경함.</t>
  </si>
  <si>
    <t>서당 개가 풍월을 읊음(무식한 자가 견문이 넓어짐).</t>
  </si>
  <si>
    <t>같은 하늘 아래서 함께 살 수 없는 원수.</t>
  </si>
  <si>
    <t>昏定晨( )</t>
  </si>
  <si>
    <t>저녁에 부모의 잠자리를 살피고 아침에 안부를 여쭘.</t>
  </si>
  <si>
    <t>한자 훈음</t>
  </si>
  <si>
    <t>홍보</t>
  </si>
  <si>
    <t>弘報</t>
  </si>
  <si>
    <t>클 홍, 알릴 보</t>
  </si>
  <si>
    <t>이끌 견, 끌 인</t>
  </si>
  <si>
    <t>축출</t>
  </si>
  <si>
    <t>逐出</t>
  </si>
  <si>
    <t>쫓을 축, 날 출</t>
  </si>
  <si>
    <t>냉각</t>
  </si>
  <si>
    <t>冷却</t>
  </si>
  <si>
    <t>찰 냉, 물리칠 각</t>
  </si>
  <si>
    <t>타결</t>
  </si>
  <si>
    <t>妥結</t>
  </si>
  <si>
    <t>타당할 타, 맺을 결</t>
  </si>
  <si>
    <t>비견</t>
  </si>
  <si>
    <t>比肩</t>
  </si>
  <si>
    <t>견줄 비, 어깨 견</t>
  </si>
  <si>
    <t>제휴</t>
  </si>
  <si>
    <t>提携</t>
  </si>
  <si>
    <t>끌 제, 이끌 휴</t>
  </si>
  <si>
    <t>돌 순, 고리 환</t>
  </si>
  <si>
    <t>무리 류, 닮을 사</t>
  </si>
  <si>
    <t>준할 준, 지킬 수</t>
  </si>
  <si>
    <t>역량</t>
  </si>
  <si>
    <t>力量</t>
  </si>
  <si>
    <t>힘 력, 헤아릴 량</t>
  </si>
  <si>
    <t>빈도</t>
  </si>
  <si>
    <t>頻度</t>
  </si>
  <si>
    <t>자주 빈, 법도 도</t>
  </si>
  <si>
    <t>약탈</t>
  </si>
  <si>
    <t>掠奪</t>
  </si>
  <si>
    <t>노략질할 약, 빼앗을 탈</t>
  </si>
  <si>
    <t>예의</t>
  </si>
  <si>
    <t>禮義</t>
  </si>
  <si>
    <t>예도 례, 옳을 의</t>
  </si>
  <si>
    <t>열악</t>
  </si>
  <si>
    <t>못할 렬, 악할 악</t>
  </si>
  <si>
    <t>여념</t>
  </si>
  <si>
    <t>餘念</t>
  </si>
  <si>
    <t>남을 여, 생각 념</t>
  </si>
  <si>
    <t>수행</t>
  </si>
  <si>
    <t>遂行</t>
  </si>
  <si>
    <t>드디어 수, 다닐 행</t>
  </si>
  <si>
    <t>隷屬</t>
  </si>
  <si>
    <t>종 례, 무리 속</t>
  </si>
  <si>
    <t>분석</t>
  </si>
  <si>
    <t>고갈</t>
  </si>
  <si>
    <t>枯渴</t>
  </si>
  <si>
    <t>마를 고, 목마를 갈</t>
  </si>
  <si>
    <t>음미</t>
  </si>
  <si>
    <t>吟味</t>
  </si>
  <si>
    <t>읊을 음, 맛 미</t>
  </si>
  <si>
    <t>소음</t>
  </si>
  <si>
    <t>騷音</t>
  </si>
  <si>
    <t>떠들 소, 소리 음</t>
  </si>
  <si>
    <t>혐의</t>
  </si>
  <si>
    <t>嫌疑</t>
  </si>
  <si>
    <t>싫어할 혐, 의심할 의</t>
  </si>
  <si>
    <t>궤도</t>
  </si>
  <si>
    <t>軌道</t>
  </si>
  <si>
    <t>바퀴 자국 궤, 길 도</t>
  </si>
  <si>
    <t>교정</t>
  </si>
  <si>
    <t>矯正</t>
  </si>
  <si>
    <t>바로잡을 교, 바를 정</t>
  </si>
  <si>
    <t>백성</t>
  </si>
  <si>
    <t>百姓</t>
  </si>
  <si>
    <t>백성 백, 성씨 성</t>
  </si>
  <si>
    <t>도전</t>
  </si>
  <si>
    <t>挑戰</t>
  </si>
  <si>
    <t>돋울 도, 싸움 전</t>
  </si>
  <si>
    <t>절규</t>
  </si>
  <si>
    <t>絶叫</t>
  </si>
  <si>
    <t>끊을 절, 부르짖을 규</t>
  </si>
  <si>
    <t>여행</t>
  </si>
  <si>
    <t>旅行</t>
  </si>
  <si>
    <t>나그네 려, 다닐 행</t>
  </si>
  <si>
    <t>방관</t>
  </si>
  <si>
    <t>傍觀</t>
  </si>
  <si>
    <t>곁 방, 볼 관</t>
  </si>
  <si>
    <t>감읍</t>
  </si>
  <si>
    <t>感泣</t>
  </si>
  <si>
    <t>느낄 감, 울 읍</t>
  </si>
  <si>
    <t>공사</t>
  </si>
  <si>
    <t>工事</t>
  </si>
  <si>
    <t>장인 공, 일 사</t>
  </si>
  <si>
    <t>수색</t>
  </si>
  <si>
    <t>搜索</t>
  </si>
  <si>
    <t>찾을 수, 찾을 색</t>
  </si>
  <si>
    <t>예리</t>
  </si>
  <si>
    <t>날카로울 예, 날카로울 리</t>
  </si>
  <si>
    <t>소득</t>
  </si>
  <si>
    <t>所得</t>
  </si>
  <si>
    <t>바 소, 얻을 득</t>
  </si>
  <si>
    <t>파기</t>
  </si>
  <si>
    <t>破棄</t>
  </si>
  <si>
    <t>깨뜨릴 파, 버릴 기</t>
  </si>
  <si>
    <t>참변</t>
  </si>
  <si>
    <t>慘變</t>
  </si>
  <si>
    <t>참혹할 참, 변할 변</t>
  </si>
  <si>
    <t>신용</t>
  </si>
  <si>
    <t>信用</t>
  </si>
  <si>
    <t>믿을 신, 쓸 용</t>
  </si>
  <si>
    <t>응모</t>
  </si>
  <si>
    <t>應募</t>
  </si>
  <si>
    <t>응할 응, 모을 모</t>
  </si>
  <si>
    <t>菜蔬</t>
  </si>
  <si>
    <t>나물 채, 나물 소</t>
  </si>
  <si>
    <t>경위</t>
  </si>
  <si>
    <t>經緯</t>
  </si>
  <si>
    <t>날 경, 씨 위</t>
  </si>
  <si>
    <t>창달</t>
  </si>
  <si>
    <t>暢達</t>
  </si>
  <si>
    <t>펴질 창, 통달할 달</t>
  </si>
  <si>
    <t>압류</t>
  </si>
  <si>
    <t>押留</t>
  </si>
  <si>
    <t>누를 압, 머무를 류</t>
  </si>
  <si>
    <t>편파</t>
  </si>
  <si>
    <t>제방</t>
  </si>
  <si>
    <t>堤防</t>
  </si>
  <si>
    <t>둑 제, 막을 방</t>
  </si>
  <si>
    <t>배척</t>
  </si>
  <si>
    <t>排斥</t>
  </si>
  <si>
    <t>밀칠 배, 물리칠 척</t>
  </si>
  <si>
    <t>돈독</t>
  </si>
  <si>
    <t>敦篤</t>
  </si>
  <si>
    <t>도타울 돈, 도타울 독</t>
  </si>
  <si>
    <t>확산</t>
  </si>
  <si>
    <t>擴散</t>
  </si>
  <si>
    <t>넓힐 확, 흩을 산</t>
  </si>
  <si>
    <t>검열</t>
  </si>
  <si>
    <t>檢閱</t>
  </si>
  <si>
    <t>검사할 검, 검열할 열</t>
  </si>
  <si>
    <t>태만</t>
  </si>
  <si>
    <t>게으를 태, 거만할 만</t>
  </si>
  <si>
    <t>활약</t>
  </si>
  <si>
    <t>活躍</t>
  </si>
  <si>
    <t>살 활, 뛸 약</t>
  </si>
  <si>
    <t>가을 추, 터럭 호</t>
  </si>
  <si>
    <t>부임</t>
  </si>
  <si>
    <t>赴任</t>
  </si>
  <si>
    <t>다다를 부, 맡길 임</t>
  </si>
  <si>
    <t>몰 구, 부릴 사</t>
  </si>
  <si>
    <t>갈망</t>
  </si>
  <si>
    <t>渴望</t>
  </si>
  <si>
    <t>목마를 갈, 바랄 망</t>
  </si>
  <si>
    <t>타천</t>
  </si>
  <si>
    <t>他薦</t>
  </si>
  <si>
    <t>다를 타, 천거할 천</t>
  </si>
  <si>
    <t>분실</t>
  </si>
  <si>
    <t>紛失</t>
  </si>
  <si>
    <t>어지러울 분, 잃을 실</t>
  </si>
  <si>
    <t>규탄</t>
  </si>
  <si>
    <t>糾彈</t>
  </si>
  <si>
    <t>얽힐 규, 탄알 탄</t>
  </si>
  <si>
    <t>죄수</t>
  </si>
  <si>
    <t>罪囚</t>
  </si>
  <si>
    <t>허물 죄, 가들 수</t>
  </si>
  <si>
    <t>순교</t>
  </si>
  <si>
    <t>殉教</t>
  </si>
  <si>
    <t>따를 순, 가르칠 교</t>
  </si>
  <si>
    <t>도울 도, 싸울 전</t>
  </si>
  <si>
    <t>사를 소, 물리칠 각</t>
  </si>
  <si>
    <t>唯獨</t>
  </si>
  <si>
    <t>오직 유, 홀로 독</t>
  </si>
  <si>
    <t>포옹</t>
  </si>
  <si>
    <t>抱擁</t>
  </si>
  <si>
    <t>안을 포, 안을 옹</t>
  </si>
  <si>
    <t>무너질 붕, 거느릴 어</t>
  </si>
  <si>
    <t>회고</t>
  </si>
  <si>
    <t>回顧</t>
  </si>
  <si>
    <t>돌아올 회, 돌아볼 고</t>
  </si>
  <si>
    <t>초록</t>
  </si>
  <si>
    <t>抄錄</t>
  </si>
  <si>
    <t>뽑을 초, 기록할 록</t>
  </si>
  <si>
    <t>사유</t>
  </si>
  <si>
    <t>思惟</t>
  </si>
  <si>
    <t>생각할 사, 생각할 유</t>
  </si>
  <si>
    <t>선언</t>
  </si>
  <si>
    <t>宣言</t>
  </si>
  <si>
    <t>베풀 선, 말씀 언</t>
  </si>
  <si>
    <t>사건</t>
  </si>
  <si>
    <t>事件</t>
  </si>
  <si>
    <t>일 사, 사건 건</t>
  </si>
  <si>
    <t>補佐</t>
  </si>
  <si>
    <t>도울 보, 도울 좌</t>
  </si>
  <si>
    <t>분개</t>
  </si>
  <si>
    <t>憤慨</t>
  </si>
  <si>
    <t>성낼 분, 슬퍼할 개</t>
  </si>
  <si>
    <t>기권</t>
  </si>
  <si>
    <t>棄權</t>
  </si>
  <si>
    <t>버릴 기, 권세 권</t>
  </si>
  <si>
    <t>인근</t>
  </si>
  <si>
    <t>隣近</t>
  </si>
  <si>
    <t>이웃 린, 가까울 근</t>
  </si>
  <si>
    <t>정예</t>
  </si>
  <si>
    <t>精銳</t>
  </si>
  <si>
    <t>정할 정, 날카로울 예</t>
  </si>
  <si>
    <t>모집</t>
  </si>
  <si>
    <t>募集</t>
  </si>
  <si>
    <t>모을 모, 모을 집</t>
  </si>
  <si>
    <t>초빙</t>
  </si>
  <si>
    <t>招聘</t>
  </si>
  <si>
    <t>부를 초, 부를 빙</t>
  </si>
  <si>
    <t>서술</t>
  </si>
  <si>
    <t>敍述</t>
  </si>
  <si>
    <t>펼 서, 펼 술</t>
  </si>
  <si>
    <t>수확</t>
  </si>
  <si>
    <t>收穫</t>
  </si>
  <si>
    <t>거둘 수, 거둘 확</t>
  </si>
  <si>
    <t>넓힐 홍, 갚을 보</t>
  </si>
  <si>
    <t>아재비 숙, 조카 질</t>
  </si>
  <si>
    <t>어두울 암, 뛸 약</t>
  </si>
  <si>
    <t>온당할 타, 맺을 결</t>
  </si>
  <si>
    <t>완만</t>
  </si>
  <si>
    <t>느슨할 완, 게으를 만</t>
  </si>
  <si>
    <t>균열</t>
  </si>
  <si>
    <t>龜裂</t>
  </si>
  <si>
    <t>땅이름 균, 찢을 렬</t>
  </si>
  <si>
    <t>움직일 동, 흔들릴 요</t>
  </si>
  <si>
    <t>마칠 필, 마침내 경</t>
  </si>
  <si>
    <t>모방</t>
  </si>
  <si>
    <t>본뜰 모, 본받을 방</t>
  </si>
  <si>
    <t>교체</t>
  </si>
  <si>
    <t>交替</t>
  </si>
  <si>
    <t>사귈 교, 바꿀 체</t>
  </si>
  <si>
    <t>해갈</t>
  </si>
  <si>
    <t>解渴</t>
  </si>
  <si>
    <t>풀 해, 목마를 갈</t>
  </si>
  <si>
    <t>惨殺</t>
  </si>
  <si>
    <t>참혹할 참, 죽일 살</t>
  </si>
  <si>
    <t>차압</t>
  </si>
  <si>
    <t>差押</t>
  </si>
  <si>
    <t>어긋날 차, 누를 압</t>
  </si>
  <si>
    <t>연계</t>
  </si>
  <si>
    <t>連繫</t>
  </si>
  <si>
    <t>이을 련, 맬 계</t>
  </si>
  <si>
    <t>지날 경, 씨 위</t>
  </si>
  <si>
    <t>요통</t>
  </si>
  <si>
    <t>腰痛</t>
  </si>
  <si>
    <t>허리 요, 아플 통</t>
  </si>
  <si>
    <t>흔들 요, 움직일 동</t>
  </si>
  <si>
    <t>서민</t>
  </si>
  <si>
    <t>庶民</t>
  </si>
  <si>
    <t>무리 서, 백성 민</t>
  </si>
  <si>
    <t>둔화</t>
  </si>
  <si>
    <t>鈍化</t>
  </si>
  <si>
    <t>둔할 둔, 될 화</t>
  </si>
  <si>
    <t>판서</t>
  </si>
  <si>
    <t>板書</t>
  </si>
  <si>
    <t>널 판, 글 서</t>
  </si>
  <si>
    <t>반환</t>
  </si>
  <si>
    <t>返還</t>
  </si>
  <si>
    <t>돌이킬 반, 돌아올 환</t>
  </si>
  <si>
    <t>휴대</t>
  </si>
  <si>
    <t>携帶</t>
  </si>
  <si>
    <t>가질 휴, 띠 대</t>
  </si>
  <si>
    <t>확실</t>
  </si>
  <si>
    <t>確實</t>
  </si>
  <si>
    <t>굳을 확, 참으로 실</t>
  </si>
  <si>
    <t>검사할 검, 볼 열</t>
  </si>
  <si>
    <t>발전</t>
  </si>
  <si>
    <t>發展</t>
  </si>
  <si>
    <t>펼 발, 넓힐 전</t>
  </si>
  <si>
    <t>모두</t>
  </si>
  <si>
    <t>덮을 모, 머리 두</t>
  </si>
  <si>
    <t>매복</t>
  </si>
  <si>
    <t>埋伏</t>
  </si>
  <si>
    <t>묻을 매, 엎드릴 복</t>
  </si>
  <si>
    <t>긴장</t>
  </si>
  <si>
    <t>緊張</t>
  </si>
  <si>
    <t>당길 긴, 베풀 장</t>
  </si>
  <si>
    <t>주재</t>
  </si>
  <si>
    <t>主宰</t>
  </si>
  <si>
    <t>주인 주, 맡을 재</t>
  </si>
  <si>
    <t>校訂</t>
  </si>
  <si>
    <t>학교 교, 정할 정</t>
  </si>
  <si>
    <t>결근</t>
  </si>
  <si>
    <t>缺勤</t>
  </si>
  <si>
    <t>이지러질 결, 부지런할 근</t>
  </si>
  <si>
    <t>산만</t>
  </si>
  <si>
    <t>散漫</t>
  </si>
  <si>
    <t>흩을 산, 질펀할 만</t>
  </si>
  <si>
    <t>취할 취, 버릴 사</t>
  </si>
  <si>
    <t>인척</t>
  </si>
  <si>
    <t>姻戚</t>
  </si>
  <si>
    <t>혼인 인, 겨레 척</t>
  </si>
  <si>
    <t>繫留</t>
  </si>
  <si>
    <t>맬 계, 머무를 류</t>
  </si>
  <si>
    <t>배영</t>
  </si>
  <si>
    <t>背泳</t>
  </si>
  <si>
    <t>등 배, 헤엄칠 영</t>
  </si>
  <si>
    <t>내빙</t>
  </si>
  <si>
    <t>來聘</t>
  </si>
  <si>
    <t>올 래, 부를 빙</t>
  </si>
  <si>
    <t>부를 호, 하소연할 소</t>
  </si>
  <si>
    <t>압송</t>
  </si>
  <si>
    <t>押送</t>
  </si>
  <si>
    <t>누를 압, 보낼 송</t>
  </si>
  <si>
    <t>둔탁</t>
  </si>
  <si>
    <t>독배</t>
  </si>
  <si>
    <t>毒杯</t>
  </si>
  <si>
    <t>독 독, 잔 배</t>
  </si>
  <si>
    <t>지체</t>
  </si>
  <si>
    <t>遲滯</t>
  </si>
  <si>
    <t>늦을 지, 막힐 체</t>
  </si>
  <si>
    <t>간섭</t>
  </si>
  <si>
    <t>파급</t>
  </si>
  <si>
    <t>波及</t>
  </si>
  <si>
    <t>물결 파, 미칠 급</t>
  </si>
  <si>
    <t>과민</t>
  </si>
  <si>
    <t>過敏</t>
  </si>
  <si>
    <t>지날 과, 민첩할 민</t>
  </si>
  <si>
    <t>마침내 수, 다닐 행</t>
  </si>
  <si>
    <t>수요</t>
  </si>
  <si>
    <t>사열</t>
  </si>
  <si>
    <t>査閱</t>
  </si>
  <si>
    <t>조사할 사, 볼 열</t>
  </si>
  <si>
    <t>포착</t>
  </si>
  <si>
    <t>捕捉</t>
  </si>
  <si>
    <t>잡을 포, 잡을 착</t>
  </si>
  <si>
    <t>질부</t>
  </si>
  <si>
    <t>妊婦</t>
  </si>
  <si>
    <t>아이밸 임, 아내 부</t>
  </si>
  <si>
    <t>시골 향, 근심 수</t>
  </si>
  <si>
    <t>충돌</t>
  </si>
  <si>
    <t>衝突</t>
  </si>
  <si>
    <t>찌를 충, 부딪칠 돌</t>
  </si>
  <si>
    <t>파견</t>
  </si>
  <si>
    <t>派遣</t>
  </si>
  <si>
    <t>보낼 파, 보낼 견</t>
  </si>
  <si>
    <t>속일 사, 속일 기</t>
  </si>
  <si>
    <t>참작</t>
  </si>
  <si>
    <t>參酌</t>
  </si>
  <si>
    <t>참여할 참, 술부을 작</t>
  </si>
  <si>
    <t>운치</t>
  </si>
  <si>
    <t>韻致</t>
  </si>
  <si>
    <t>운 운, 이를 치</t>
  </si>
  <si>
    <t>치장</t>
  </si>
  <si>
    <t>治粧</t>
  </si>
  <si>
    <t>다스릴 치, 꾸밀 장</t>
  </si>
  <si>
    <t>기획</t>
  </si>
  <si>
    <t>企劃</t>
  </si>
  <si>
    <t>꾀할 기, 그을 획</t>
  </si>
  <si>
    <t>산 활, 뛸 약</t>
  </si>
  <si>
    <t>維持</t>
  </si>
  <si>
    <t>맬 유, 지탱할 지</t>
  </si>
  <si>
    <t>전소</t>
  </si>
  <si>
    <t>全燒</t>
  </si>
  <si>
    <t>온전할 전, 사를 소</t>
  </si>
  <si>
    <t>비약</t>
  </si>
  <si>
    <t>飛躍</t>
  </si>
  <si>
    <t>날 비, 뛸 약</t>
  </si>
  <si>
    <t>넘칠 람, 쓸 용</t>
  </si>
  <si>
    <t>영민</t>
  </si>
  <si>
    <t>英敏</t>
  </si>
  <si>
    <t>꽃부리 영, 민첩할 민</t>
  </si>
  <si>
    <t>탐욕</t>
  </si>
  <si>
    <t>貪慾</t>
  </si>
  <si>
    <t>탐할 탐, 욕심 욕</t>
  </si>
  <si>
    <t>편입</t>
  </si>
  <si>
    <t>編入</t>
  </si>
  <si>
    <t>엮을 편, 들 입</t>
  </si>
  <si>
    <t>단호</t>
  </si>
  <si>
    <t>斷乎</t>
  </si>
  <si>
    <t>끊을 단, 어조사 호</t>
  </si>
  <si>
    <t>돌변</t>
  </si>
  <si>
    <t>突變</t>
  </si>
  <si>
    <t>갑자기 돌, 변할 변</t>
  </si>
  <si>
    <t>추태</t>
  </si>
  <si>
    <t>醜態</t>
  </si>
  <si>
    <t>추할 추, 모양 태</t>
  </si>
  <si>
    <t>돌이킬 반, 보낼 송</t>
  </si>
  <si>
    <t>수정</t>
  </si>
  <si>
    <t>修訂</t>
  </si>
  <si>
    <t>닦을 수, 바로잡을 정</t>
  </si>
  <si>
    <t>각축</t>
  </si>
  <si>
    <t>角逐</t>
  </si>
  <si>
    <t>뿔 각, 쫓을 축</t>
  </si>
  <si>
    <t>극복</t>
  </si>
  <si>
    <t>克服</t>
  </si>
  <si>
    <t>이길 극, 옷 복</t>
  </si>
  <si>
    <t>익숙할 관, 법식 례</t>
  </si>
  <si>
    <t>농담</t>
  </si>
  <si>
    <t>弄談</t>
  </si>
  <si>
    <t>희롱할 롱, 말씀 담</t>
  </si>
  <si>
    <t>인적</t>
  </si>
  <si>
    <t>人跡</t>
  </si>
  <si>
    <t>사람 인, 자취 적</t>
  </si>
  <si>
    <t>별장</t>
  </si>
  <si>
    <t>別莊</t>
  </si>
  <si>
    <t>나눌 별, 별장 장</t>
  </si>
  <si>
    <t>체포</t>
  </si>
  <si>
    <t>逮捕</t>
  </si>
  <si>
    <t>미칠 체, 잡을 포</t>
  </si>
  <si>
    <t>유랑</t>
  </si>
  <si>
    <t>流浪</t>
  </si>
  <si>
    <t>흐를 류, 물결 랑</t>
  </si>
  <si>
    <t>촉수</t>
  </si>
  <si>
    <t>觸手</t>
  </si>
  <si>
    <t>닿을 촉, 손 수</t>
  </si>
  <si>
    <t>노출</t>
  </si>
  <si>
    <t>露出</t>
  </si>
  <si>
    <t>이슬 로, 날 출</t>
  </si>
  <si>
    <t>용모</t>
  </si>
  <si>
    <t>容貌</t>
  </si>
  <si>
    <t>얼굴 용, 모양 모</t>
  </si>
  <si>
    <t>부호</t>
  </si>
  <si>
    <t>符號</t>
  </si>
  <si>
    <t>부호 부, 이름 호</t>
  </si>
  <si>
    <t>凝視</t>
  </si>
  <si>
    <t>엉길 응, 볼 시</t>
  </si>
  <si>
    <t>폐기</t>
  </si>
  <si>
    <t>廢棄</t>
  </si>
  <si>
    <t>폐할 폐, 버릴 기</t>
  </si>
  <si>
    <t>위태</t>
  </si>
  <si>
    <t>危殆</t>
  </si>
  <si>
    <t>위태할 위, 위태할 태</t>
  </si>
  <si>
    <t>공습</t>
  </si>
  <si>
    <t>空襲</t>
  </si>
  <si>
    <t>빌 공, 엄습할 습</t>
  </si>
  <si>
    <t>기결</t>
  </si>
  <si>
    <t>旣決</t>
  </si>
  <si>
    <t>이미 기, 결단할 결</t>
  </si>
  <si>
    <t>후대</t>
  </si>
  <si>
    <t>厚待</t>
  </si>
  <si>
    <t>두터울 후, 기다릴 대/대접할 대</t>
  </si>
  <si>
    <t>몇 기, 작을 미</t>
  </si>
  <si>
    <t>굴욕</t>
  </si>
  <si>
    <t>屈辱</t>
  </si>
  <si>
    <t>굽힐 굴, 욕되게 할 욕</t>
  </si>
  <si>
    <t>시향</t>
  </si>
  <si>
    <t>時享</t>
  </si>
  <si>
    <t>때 시, 누릴 향</t>
  </si>
  <si>
    <t>철저</t>
  </si>
  <si>
    <t>徹底</t>
  </si>
  <si>
    <t>통할 철, 밑 저</t>
  </si>
  <si>
    <t>서약</t>
  </si>
  <si>
    <t>誓約</t>
  </si>
  <si>
    <t>맹세할 서, 맺을 약</t>
  </si>
  <si>
    <t>섭취</t>
  </si>
  <si>
    <t>攝取</t>
  </si>
  <si>
    <t>당길 섭, 취할 취</t>
  </si>
  <si>
    <t>삭막</t>
  </si>
  <si>
    <t>索漠</t>
  </si>
  <si>
    <t>찾을 색/쓸쓸할 삭, 사막 막/쓸쓸할 막</t>
  </si>
  <si>
    <t>논술</t>
  </si>
  <si>
    <t>論述</t>
  </si>
  <si>
    <t>논할 논, 펼 술</t>
  </si>
  <si>
    <t>고무</t>
  </si>
  <si>
    <t>鼓舞</t>
  </si>
  <si>
    <t>북 고, 춤출 무</t>
  </si>
  <si>
    <t>유인</t>
  </si>
  <si>
    <t>誘引</t>
  </si>
  <si>
    <t>꾈 유, 끌 인</t>
  </si>
  <si>
    <t>완간</t>
  </si>
  <si>
    <t>完刊</t>
  </si>
  <si>
    <t>완전할 완, 책펴낼 간</t>
  </si>
  <si>
    <t>한산</t>
  </si>
  <si>
    <t>한가할 한, 흩을 산</t>
  </si>
  <si>
    <t>부기</t>
  </si>
  <si>
    <t>附記</t>
  </si>
  <si>
    <t>붙을 부, 기록할 기</t>
  </si>
  <si>
    <t>광채</t>
  </si>
  <si>
    <t>光彩</t>
  </si>
  <si>
    <t>빛 광, 채색 채</t>
  </si>
  <si>
    <t>기골</t>
  </si>
  <si>
    <t>氣骨</t>
  </si>
  <si>
    <t>기운 기, 뼈 골</t>
  </si>
  <si>
    <t>紅顏</t>
  </si>
  <si>
    <t>붉을 홍, 얼굴 안</t>
  </si>
  <si>
    <t>거창</t>
  </si>
  <si>
    <t>巨創</t>
  </si>
  <si>
    <t>클 거, 비롯할 창</t>
  </si>
  <si>
    <t>붕괴</t>
  </si>
  <si>
    <t>崩壞</t>
  </si>
  <si>
    <t>무너질 붕, 무너질 괴</t>
  </si>
  <si>
    <t>투자</t>
  </si>
  <si>
    <t>投資</t>
  </si>
  <si>
    <t>던질 투, 재물 자</t>
  </si>
  <si>
    <t>화촉</t>
  </si>
  <si>
    <t>華燭</t>
  </si>
  <si>
    <t>빛날 화, 촛불 촉</t>
  </si>
  <si>
    <t>무참</t>
  </si>
  <si>
    <t>無慘</t>
  </si>
  <si>
    <t>없을 무, 참혹할 참</t>
  </si>
  <si>
    <t>구차</t>
  </si>
  <si>
    <t>苟且</t>
  </si>
  <si>
    <t>진실로 구, 또 차</t>
  </si>
  <si>
    <t>엄수</t>
  </si>
  <si>
    <t>嚴囚</t>
  </si>
  <si>
    <t>엄할 엄, 가들 수</t>
  </si>
  <si>
    <t>점복</t>
  </si>
  <si>
    <t>占卜</t>
  </si>
  <si>
    <t>점칠 점, 점 복</t>
  </si>
  <si>
    <t>광폭</t>
  </si>
  <si>
    <t>廣幅</t>
  </si>
  <si>
    <t>넓을 광, 폭 폭</t>
  </si>
  <si>
    <t>희사</t>
  </si>
  <si>
    <t>喜捨</t>
  </si>
  <si>
    <t>기쁠 희, 버릴 사</t>
  </si>
  <si>
    <t>피복</t>
  </si>
  <si>
    <t>被覆</t>
  </si>
  <si>
    <t>입을 피, 덮을 복</t>
  </si>
  <si>
    <t>파업</t>
  </si>
  <si>
    <t>罷業</t>
  </si>
  <si>
    <t>마칠 파, 업 업</t>
  </si>
  <si>
    <t>두려워할 외, 공경할 경</t>
  </si>
  <si>
    <t>포섭</t>
  </si>
  <si>
    <t>包攝</t>
  </si>
  <si>
    <t>쌀 포, 당길 섭</t>
  </si>
  <si>
    <t>교섭</t>
  </si>
  <si>
    <t>소송</t>
  </si>
  <si>
    <t>訴訟</t>
  </si>
  <si>
    <t>호소할 소, 송사할 송</t>
  </si>
  <si>
    <t>내역</t>
  </si>
  <si>
    <t>內譯</t>
  </si>
  <si>
    <t>안 내, 번역할 역</t>
  </si>
  <si>
    <t>만취</t>
  </si>
  <si>
    <t>漫醉</t>
  </si>
  <si>
    <t>흩어질 만, 취할 취</t>
  </si>
  <si>
    <t>양해</t>
  </si>
  <si>
    <t>諒解</t>
  </si>
  <si>
    <t>살펴알 량, 풀 해</t>
  </si>
  <si>
    <t>추출</t>
  </si>
  <si>
    <t>抽出</t>
  </si>
  <si>
    <t>뽑을 추, 날 출</t>
  </si>
  <si>
    <t>견제</t>
  </si>
  <si>
    <t>牽制</t>
  </si>
  <si>
    <t>끌 견, 절제할 제</t>
  </si>
  <si>
    <t>어두울 암, 욀 송</t>
  </si>
  <si>
    <t>우선</t>
  </si>
  <si>
    <t>于先</t>
  </si>
  <si>
    <t>어조사 우, 먼저 선</t>
  </si>
  <si>
    <t>찰 랭, 물리칠 각</t>
  </si>
  <si>
    <t>탁류</t>
  </si>
  <si>
    <t>濁流</t>
  </si>
  <si>
    <t>흐릴 탁, 흐를 류</t>
  </si>
  <si>
    <t>숙달</t>
  </si>
  <si>
    <t>熟達</t>
  </si>
  <si>
    <t>익을 숙, 통달할 달</t>
  </si>
  <si>
    <t>잠재</t>
  </si>
  <si>
    <t>潛在</t>
  </si>
  <si>
    <t>잠길 잠, 있을 재</t>
  </si>
  <si>
    <t>여론</t>
  </si>
  <si>
    <t>輿論</t>
  </si>
  <si>
    <t>수레 여, 논할 논</t>
  </si>
  <si>
    <t>황혼</t>
  </si>
  <si>
    <t>黃昏</t>
  </si>
  <si>
    <t>누를 황, 어두울 혼</t>
  </si>
  <si>
    <t>확장</t>
  </si>
  <si>
    <t>擴張</t>
  </si>
  <si>
    <t>넓힐 확, 베풀 장</t>
  </si>
  <si>
    <t>철학</t>
  </si>
  <si>
    <t>哲學</t>
  </si>
  <si>
    <t>밝을 철, 배울 학</t>
  </si>
  <si>
    <t>건배</t>
  </si>
  <si>
    <t>乾杯</t>
  </si>
  <si>
    <t>하늘/마를 건, 잔 배</t>
  </si>
  <si>
    <t>향유</t>
  </si>
  <si>
    <t>享有</t>
  </si>
  <si>
    <t>누릴 향, 있을 유</t>
  </si>
  <si>
    <t>요절</t>
  </si>
  <si>
    <t>腰折</t>
  </si>
  <si>
    <t>허리 요, 꺾을 절</t>
  </si>
  <si>
    <t>통솔</t>
  </si>
  <si>
    <t>統率</t>
  </si>
  <si>
    <t>거느릴 통, 거느릴 솔</t>
  </si>
  <si>
    <t>별첨</t>
  </si>
  <si>
    <t>別添</t>
  </si>
  <si>
    <t>나눌 별, 더할 첨</t>
  </si>
  <si>
    <t>추억</t>
  </si>
  <si>
    <t>追憶</t>
  </si>
  <si>
    <t>쫓을 추, 생각할 억</t>
  </si>
  <si>
    <t>벗을 탈, 냄새 취</t>
  </si>
  <si>
    <t>탄생</t>
  </si>
  <si>
    <t>誕生</t>
  </si>
  <si>
    <t>탄생할 탄, 날 생</t>
  </si>
  <si>
    <t>출몰</t>
  </si>
  <si>
    <t>出沒</t>
  </si>
  <si>
    <t>날 출, 빠질 몰</t>
  </si>
  <si>
    <t>포함</t>
  </si>
  <si>
    <t>包含</t>
  </si>
  <si>
    <t>쌀 포, 머금을 함</t>
  </si>
  <si>
    <t>銅像</t>
  </si>
  <si>
    <t>구리 동, 형상 상</t>
  </si>
  <si>
    <t>끝 단, 실마리 서</t>
  </si>
  <si>
    <t>필수</t>
  </si>
  <si>
    <t>必須</t>
  </si>
  <si>
    <t>반드시 필, 모름지기 수</t>
  </si>
  <si>
    <t>요란</t>
  </si>
  <si>
    <t>搖亂</t>
  </si>
  <si>
    <t>흔들 요, 어지러울 란</t>
  </si>
  <si>
    <t>부심</t>
  </si>
  <si>
    <t>腐心</t>
  </si>
  <si>
    <t>응축</t>
  </si>
  <si>
    <t>凝縮</t>
  </si>
  <si>
    <t>엉길 응, 줄일 축</t>
  </si>
  <si>
    <t>찾을 심, 떳떳할 상</t>
  </si>
  <si>
    <t>초과</t>
  </si>
  <si>
    <t>超過</t>
  </si>
  <si>
    <t>뛰어넘을 초, 지날 과</t>
  </si>
  <si>
    <t>징계</t>
  </si>
  <si>
    <t>懲戒</t>
  </si>
  <si>
    <t>징계할 징, 경계할 계</t>
  </si>
  <si>
    <t>둔감</t>
  </si>
  <si>
    <t>鈍感</t>
  </si>
  <si>
    <t>둔할 둔, 느낄 감</t>
  </si>
  <si>
    <t>병행</t>
  </si>
  <si>
    <t>竝行</t>
  </si>
  <si>
    <t>아우를 병, 갈 행</t>
  </si>
  <si>
    <t>자랑할 과, 베풀 장</t>
  </si>
  <si>
    <t>침략</t>
  </si>
  <si>
    <t>侵掠</t>
  </si>
  <si>
    <t>침노할 침, 노략질할 략</t>
  </si>
  <si>
    <t>좇을 준, 지킬 수</t>
  </si>
  <si>
    <t>끌 제, 가질 휴</t>
  </si>
  <si>
    <t>혼탁</t>
  </si>
  <si>
    <t>混濁</t>
  </si>
  <si>
    <t>섞을 혼, 흐릴 탁</t>
  </si>
  <si>
    <t>위배</t>
  </si>
  <si>
    <t>違背</t>
  </si>
  <si>
    <t>어긋날 위, 등 배</t>
  </si>
  <si>
    <t>주기</t>
  </si>
  <si>
    <t>週忌</t>
  </si>
  <si>
    <t>돌 주, 꺼릴 기</t>
  </si>
  <si>
    <t>참상</t>
  </si>
  <si>
    <t>慘狀</t>
  </si>
  <si>
    <t>참혹할 참, 형상 상</t>
  </si>
  <si>
    <t>자의</t>
  </si>
  <si>
    <t>恣意</t>
  </si>
  <si>
    <t>방자할 자, 뜻 의</t>
  </si>
  <si>
    <t>혁파</t>
  </si>
  <si>
    <t>革罷</t>
  </si>
  <si>
    <t>가죽 혁, 마칠 파</t>
  </si>
  <si>
    <t>전할 전, 뿌릴 파</t>
  </si>
  <si>
    <t>안개 무, 흩을 산</t>
  </si>
  <si>
    <t>탄신</t>
  </si>
  <si>
    <t>誕辰</t>
  </si>
  <si>
    <t>태어날 탄, 별 진/때 신</t>
  </si>
  <si>
    <t>枯渇</t>
  </si>
  <si>
    <t>옹호</t>
  </si>
  <si>
    <t>擁護</t>
  </si>
  <si>
    <t>안을 옹, 보호할 호</t>
  </si>
  <si>
    <t>국빈</t>
  </si>
  <si>
    <t>國賓</t>
  </si>
  <si>
    <t>나라 국, 손님 빈</t>
  </si>
  <si>
    <t>판매량</t>
  </si>
  <si>
    <t>販賣量</t>
  </si>
  <si>
    <t>팔 판, 팔 매, 헤아릴 량</t>
  </si>
  <si>
    <t>밀 추, 천거할 천</t>
  </si>
  <si>
    <t>민감</t>
  </si>
  <si>
    <t>敏感</t>
  </si>
  <si>
    <t>민첩할 민, 느낄 감</t>
  </si>
  <si>
    <t>인접</t>
  </si>
  <si>
    <t>隣接</t>
  </si>
  <si>
    <t>이웃 린, 이을 접</t>
  </si>
  <si>
    <t>모반</t>
  </si>
  <si>
    <t>謀叛</t>
  </si>
  <si>
    <t>꾀할 모, 배반할 반</t>
  </si>
  <si>
    <t>가을 추, 가는털 호</t>
  </si>
  <si>
    <t>귀감</t>
  </si>
  <si>
    <t>龜鑑</t>
  </si>
  <si>
    <t>거북 구, 거울 감</t>
  </si>
  <si>
    <t>기혼</t>
  </si>
  <si>
    <t>既婚</t>
  </si>
  <si>
    <t>이미 기, 혼인할 혼</t>
  </si>
  <si>
    <t>오점</t>
  </si>
  <si>
    <t>汚點</t>
  </si>
  <si>
    <t>더러울 오, 점 점</t>
  </si>
  <si>
    <t>사나울 폭, 더울 서</t>
  </si>
  <si>
    <t>섭생</t>
  </si>
  <si>
    <t>攝生</t>
  </si>
  <si>
    <t>다스릴 섭, 날 생</t>
  </si>
  <si>
    <t>돈사</t>
  </si>
  <si>
    <t>豚舍</t>
  </si>
  <si>
    <t>돼지 돈, 집 사</t>
  </si>
  <si>
    <t>돋을 도, 싸울 전</t>
  </si>
  <si>
    <t>낭만</t>
  </si>
  <si>
    <t>浪漫</t>
  </si>
  <si>
    <t>물결 랑, 흩어질 만</t>
  </si>
  <si>
    <t>온당할 타, 화할 협</t>
  </si>
  <si>
    <t>서로 호, 바꿀 환</t>
  </si>
  <si>
    <t>약진</t>
  </si>
  <si>
    <t>躍進</t>
  </si>
  <si>
    <t>뛸 약, 나아갈 진</t>
  </si>
  <si>
    <t>노폭</t>
  </si>
  <si>
    <t>路幅</t>
  </si>
  <si>
    <t>길 로, 폭 폭</t>
  </si>
  <si>
    <t>확대</t>
  </si>
  <si>
    <t>넓힐 확, 큰 대</t>
  </si>
  <si>
    <t>터질 균</t>
  </si>
  <si>
    <t>살펴알 량, 알 지</t>
  </si>
  <si>
    <t>참패</t>
  </si>
  <si>
    <t>염치</t>
  </si>
  <si>
    <t>廉恥</t>
  </si>
  <si>
    <t>청렴할 렴, 부끄러워할 치</t>
  </si>
  <si>
    <t>지금</t>
  </si>
  <si>
    <t>只今</t>
  </si>
  <si>
    <t>다만 지, 이제 금</t>
  </si>
  <si>
    <t>학교 교, 바로잡을 정</t>
  </si>
  <si>
    <t>수금</t>
  </si>
  <si>
    <t>囚禁</t>
  </si>
  <si>
    <t>가들 수, 금할 금</t>
  </si>
  <si>
    <t>근신</t>
  </si>
  <si>
    <t>謹愼</t>
  </si>
  <si>
    <t>삼갈 근, 삼갈 신</t>
  </si>
  <si>
    <t>나락</t>
  </si>
  <si>
    <t>那落</t>
  </si>
  <si>
    <t>어찌 나, 떨어질 락</t>
  </si>
  <si>
    <t>조복</t>
  </si>
  <si>
    <t>朝服</t>
  </si>
  <si>
    <t>아침 조, 옷 복</t>
  </si>
  <si>
    <t>출하</t>
  </si>
  <si>
    <t>出荷</t>
  </si>
  <si>
    <t>날 출, 짐 하</t>
  </si>
  <si>
    <t>장려금</t>
  </si>
  <si>
    <t>獎勵金</t>
  </si>
  <si>
    <t>권장할 장, 힘쓸 려, 쇠 금</t>
  </si>
  <si>
    <t>지급</t>
  </si>
  <si>
    <t>支給</t>
  </si>
  <si>
    <t>지탱할 지, 줄 급</t>
  </si>
  <si>
    <t>성수기</t>
  </si>
  <si>
    <t>盛需期</t>
  </si>
  <si>
    <t>성할 성, 쓸 수, 기약할 기</t>
  </si>
  <si>
    <t>소비자</t>
  </si>
  <si>
    <t>消費者</t>
  </si>
  <si>
    <t>사라질 소, 쓸 비, 놈 자</t>
  </si>
  <si>
    <t>신뢰</t>
  </si>
  <si>
    <t>信賴</t>
  </si>
  <si>
    <t>믿을 신, 힘입을 뢰</t>
  </si>
  <si>
    <t>제고</t>
  </si>
  <si>
    <t>提高</t>
  </si>
  <si>
    <t>끌 제, 높을 고</t>
  </si>
  <si>
    <t>증오</t>
  </si>
  <si>
    <t>미워할 증, 미워할 오</t>
  </si>
  <si>
    <t>분노</t>
  </si>
  <si>
    <t>결낼 분, 성낼 노</t>
  </si>
  <si>
    <t>인내</t>
  </si>
  <si>
    <t>忍耐</t>
  </si>
  <si>
    <t>참을 인, 견딜 내</t>
  </si>
  <si>
    <t>용서</t>
  </si>
  <si>
    <t>容恕</t>
  </si>
  <si>
    <t>얼굴 용, 용서할 서</t>
  </si>
  <si>
    <t>화해</t>
  </si>
  <si>
    <t>和解</t>
  </si>
  <si>
    <t>화할 화, 풀 해</t>
  </si>
  <si>
    <t>강조</t>
  </si>
  <si>
    <t>強調</t>
  </si>
  <si>
    <t>강할 강, 고를 조</t>
  </si>
  <si>
    <t>통화</t>
  </si>
  <si>
    <t>通貨</t>
  </si>
  <si>
    <t>통할 통, 재화 화</t>
  </si>
  <si>
    <t>조건</t>
  </si>
  <si>
    <t>條件</t>
  </si>
  <si>
    <t>가지 조, 물건 건</t>
  </si>
  <si>
    <t>필 발, 펼 전</t>
  </si>
  <si>
    <t>변호사</t>
  </si>
  <si>
    <t>辯護士</t>
  </si>
  <si>
    <t>말잘할 변, 도울 호, 선비 사</t>
  </si>
  <si>
    <t>박람회</t>
  </si>
  <si>
    <t>博覽會</t>
  </si>
  <si>
    <t>넓을 박, 볼 람, 모일 회</t>
  </si>
  <si>
    <t>밀집</t>
  </si>
  <si>
    <t>密集</t>
  </si>
  <si>
    <t>빽빽할 밀, 모일 집</t>
  </si>
  <si>
    <t>우려</t>
  </si>
  <si>
    <t>憂慮</t>
  </si>
  <si>
    <t>근심 우, 생각할 려</t>
  </si>
  <si>
    <t>한파</t>
  </si>
  <si>
    <t>寒波</t>
  </si>
  <si>
    <t>찰 한, 물결 파</t>
  </si>
  <si>
    <t>방지</t>
  </si>
  <si>
    <t>防止</t>
  </si>
  <si>
    <t>막을 방, 그칠 지</t>
  </si>
  <si>
    <t>부동액</t>
  </si>
  <si>
    <t>不凍液</t>
  </si>
  <si>
    <t>아니 불, 얼 동, 진액 액</t>
  </si>
  <si>
    <t>노략질할 략, 빼앗을 탈</t>
  </si>
  <si>
    <t>범죄</t>
  </si>
  <si>
    <t>犯罪</t>
  </si>
  <si>
    <t>범할 범, 허물 죄</t>
  </si>
  <si>
    <t>기승</t>
  </si>
  <si>
    <t>氣勝</t>
  </si>
  <si>
    <t>기운 기, 이길 승</t>
  </si>
  <si>
    <t>폭파</t>
  </si>
  <si>
    <t>爆破</t>
  </si>
  <si>
    <t>터질 폭, 깨뜨릴 파</t>
  </si>
  <si>
    <t>협박</t>
  </si>
  <si>
    <t>脅迫</t>
  </si>
  <si>
    <t>위협할 협, 핍박할 박</t>
  </si>
  <si>
    <t>이륙</t>
  </si>
  <si>
    <t>離陸</t>
  </si>
  <si>
    <t>떠날 리, 뭍 륙</t>
  </si>
  <si>
    <t>지연</t>
  </si>
  <si>
    <t>遲延</t>
  </si>
  <si>
    <t>늦을 지, 끌 연</t>
  </si>
  <si>
    <t>직무</t>
  </si>
  <si>
    <t>職務</t>
  </si>
  <si>
    <t>직분 직, 힘쓸 무</t>
  </si>
  <si>
    <t>경고</t>
  </si>
  <si>
    <t>警告</t>
  </si>
  <si>
    <t>경계할 경, 고할 고</t>
  </si>
  <si>
    <t>장부</t>
  </si>
  <si>
    <t>帳簿</t>
  </si>
  <si>
    <t>휘장 장, 장부 부</t>
  </si>
  <si>
    <t>열람</t>
  </si>
  <si>
    <t>閱覽</t>
  </si>
  <si>
    <t>검열할 열, 볼 람</t>
  </si>
  <si>
    <t>파다</t>
  </si>
  <si>
    <t>頗多</t>
  </si>
  <si>
    <t>자못 파, 많을 다</t>
  </si>
  <si>
    <t>소홀</t>
  </si>
  <si>
    <t>疏忽</t>
  </si>
  <si>
    <t>트일 소, 소홀할 홀</t>
  </si>
  <si>
    <t>연민</t>
  </si>
  <si>
    <t>불쌍히여길 련, 민망할 민</t>
  </si>
  <si>
    <t>폐쇄</t>
  </si>
  <si>
    <t>閉鎖</t>
  </si>
  <si>
    <t>닫을 폐, 쇠사슬 쇄</t>
  </si>
  <si>
    <t>면허</t>
  </si>
  <si>
    <t>免許</t>
  </si>
  <si>
    <t>면할 면, 허락할 허</t>
  </si>
  <si>
    <t>계약</t>
  </si>
  <si>
    <t>契約</t>
  </si>
  <si>
    <t>맺을 계, 맺을 약</t>
  </si>
  <si>
    <t>분별할 변, 갚을 상</t>
  </si>
  <si>
    <t>오심</t>
  </si>
  <si>
    <t>誤審</t>
  </si>
  <si>
    <t>그르칠 오, 살필 심</t>
  </si>
  <si>
    <t>감독</t>
  </si>
  <si>
    <t>監督</t>
  </si>
  <si>
    <t>살펴볼 감, 살필 독</t>
  </si>
  <si>
    <t>촉각</t>
  </si>
  <si>
    <t>觸覺</t>
  </si>
  <si>
    <t>닿을 촉, 깨달을 각</t>
  </si>
  <si>
    <t>예민</t>
  </si>
  <si>
    <t>銳敏</t>
  </si>
  <si>
    <t>날카로울 예, 민첩할 민</t>
  </si>
  <si>
    <t>투철</t>
  </si>
  <si>
    <t>透徹</t>
  </si>
  <si>
    <t>사무칠 투, 통할 철</t>
  </si>
  <si>
    <t>호반 무, 꾸밀 장</t>
  </si>
  <si>
    <t>위헌</t>
  </si>
  <si>
    <t>違憲</t>
  </si>
  <si>
    <t>어긋날 위, 법 헌</t>
  </si>
  <si>
    <t>조항</t>
  </si>
  <si>
    <t>條項</t>
  </si>
  <si>
    <t>가지 조, 항목 항</t>
  </si>
  <si>
    <t>깎을 삭, 덜 제</t>
  </si>
  <si>
    <t>양봉</t>
  </si>
  <si>
    <t>養蜂</t>
  </si>
  <si>
    <t>기를 양, 벌 봉</t>
  </si>
  <si>
    <t>권장</t>
  </si>
  <si>
    <t>勸獎</t>
  </si>
  <si>
    <t>권할 권, 장려할 장</t>
  </si>
  <si>
    <t>쾌적</t>
  </si>
  <si>
    <t>快適</t>
  </si>
  <si>
    <t>쾌할 쾌, 맞을 적</t>
  </si>
  <si>
    <t>수면</t>
  </si>
  <si>
    <t>睡眠</t>
  </si>
  <si>
    <t>잘 수, 잘 면</t>
  </si>
  <si>
    <t>침구</t>
  </si>
  <si>
    <t>寢具</t>
  </si>
  <si>
    <t>잘 침, 갖출 구</t>
  </si>
  <si>
    <t>심각</t>
  </si>
  <si>
    <t>深刻</t>
  </si>
  <si>
    <t>깊을 심, 새길 각</t>
  </si>
  <si>
    <t>환경</t>
  </si>
  <si>
    <t>環境</t>
  </si>
  <si>
    <t>고리 환, 지경 경</t>
  </si>
  <si>
    <t>접영</t>
  </si>
  <si>
    <t>蝶泳</t>
  </si>
  <si>
    <t>나비 접, 헤엄칠 영</t>
  </si>
  <si>
    <t>과격</t>
  </si>
  <si>
    <t>지날 과, 격할 격</t>
  </si>
  <si>
    <t>조사할 사, 검열할 열</t>
  </si>
  <si>
    <t>헌화</t>
  </si>
  <si>
    <t>獻花</t>
  </si>
  <si>
    <t>바칠 헌, 꽃 화</t>
  </si>
  <si>
    <t>묵념</t>
  </si>
  <si>
    <t>默念</t>
  </si>
  <si>
    <t>잠잠할 묵, 생각 념</t>
  </si>
  <si>
    <t>부여</t>
  </si>
  <si>
    <t>附與</t>
  </si>
  <si>
    <t>붙을 부, 줄 여</t>
  </si>
  <si>
    <t>책무</t>
  </si>
  <si>
    <t>責務</t>
  </si>
  <si>
    <t>꾸짖을 책/책임 책, 힘쓸 무</t>
  </si>
  <si>
    <t>완수</t>
  </si>
  <si>
    <t>完遂</t>
  </si>
  <si>
    <t>완전할 완, 드디어 수</t>
  </si>
  <si>
    <t>사퇴</t>
  </si>
  <si>
    <t>辭退</t>
  </si>
  <si>
    <t>말씀 사, 물러날 퇴</t>
  </si>
  <si>
    <t>직권</t>
  </si>
  <si>
    <t>職權</t>
  </si>
  <si>
    <t>직분 직, 권세 권</t>
  </si>
  <si>
    <t>헌법</t>
  </si>
  <si>
    <t>憲法</t>
  </si>
  <si>
    <t>법 헌, 법 법</t>
  </si>
  <si>
    <t>이식</t>
  </si>
  <si>
    <t>移植</t>
  </si>
  <si>
    <t>옮길 이, 심을 식</t>
  </si>
  <si>
    <t>오장 장, 그릇 기</t>
  </si>
  <si>
    <t>기증</t>
  </si>
  <si>
    <t>寄贈</t>
  </si>
  <si>
    <t>부칠 기, 드릴 증</t>
  </si>
  <si>
    <t>뿌리 근, 줄기 간</t>
  </si>
  <si>
    <t>基盤</t>
  </si>
  <si>
    <t>터 기, 소반 반</t>
  </si>
  <si>
    <t>첨단</t>
  </si>
  <si>
    <t>尖端</t>
  </si>
  <si>
    <t>뾰족할 첨, 끝 단</t>
  </si>
  <si>
    <t>전환</t>
  </si>
  <si>
    <t>轉換</t>
  </si>
  <si>
    <t>구를 전, 바꿀 환</t>
  </si>
  <si>
    <t>파종</t>
  </si>
  <si>
    <t>播種</t>
  </si>
  <si>
    <t>뿌릴 파, 씨 종</t>
  </si>
  <si>
    <t>발아</t>
  </si>
  <si>
    <t>發芽</t>
  </si>
  <si>
    <t>필 발, 싹 아</t>
  </si>
  <si>
    <t>건각</t>
  </si>
  <si>
    <t>健脚</t>
  </si>
  <si>
    <t>굳셀 건, 다리 각</t>
  </si>
  <si>
    <t>질주</t>
  </si>
  <si>
    <t>疾走</t>
  </si>
  <si>
    <t>병 질(빠를 질, 달릴 주</t>
  </si>
  <si>
    <t>각료</t>
  </si>
  <si>
    <t>閣僚</t>
  </si>
  <si>
    <t>집 각, 동료 료</t>
  </si>
  <si>
    <t>정책</t>
  </si>
  <si>
    <t>政策</t>
  </si>
  <si>
    <t>정사 정, 꾀 책</t>
  </si>
  <si>
    <t>토의</t>
  </si>
  <si>
    <t>討議</t>
  </si>
  <si>
    <t>칠 토, 의논할 의</t>
  </si>
  <si>
    <t>줄기 간, 줄 선</t>
  </si>
  <si>
    <t>청사</t>
  </si>
  <si>
    <t>廳舍</t>
  </si>
  <si>
    <t>관청 청, 집 사</t>
  </si>
  <si>
    <t>험지</t>
  </si>
  <si>
    <t>險地</t>
  </si>
  <si>
    <t>험할 험, 땅 지</t>
  </si>
  <si>
    <t>갈래 파, 보낼 견</t>
  </si>
  <si>
    <t>근무</t>
  </si>
  <si>
    <t>勤務</t>
  </si>
  <si>
    <t>부지런할 근, 힘쓸 무</t>
  </si>
  <si>
    <t>위로</t>
  </si>
  <si>
    <t>慰勞</t>
  </si>
  <si>
    <t>위로할 위, 일할 로</t>
  </si>
  <si>
    <t>비결</t>
  </si>
  <si>
    <t>秘訣</t>
  </si>
  <si>
    <t>숨길 비, 결단할 결</t>
  </si>
  <si>
    <t>겸허</t>
  </si>
  <si>
    <t>謙虛</t>
  </si>
  <si>
    <t>겸손할 겸, 빌 허</t>
  </si>
  <si>
    <t>자세</t>
  </si>
  <si>
    <t>姿勢</t>
  </si>
  <si>
    <t>모양 자, 형세 세</t>
  </si>
  <si>
    <t>곡물</t>
  </si>
  <si>
    <t>穀物</t>
  </si>
  <si>
    <t>곡식 곡, 만물 물</t>
  </si>
  <si>
    <t>경작</t>
  </si>
  <si>
    <t>耕作</t>
  </si>
  <si>
    <t>밭갈 경, 지을 작</t>
  </si>
  <si>
    <t>견딜 내, 벼락 진(떨 진</t>
  </si>
  <si>
    <t>견고</t>
  </si>
  <si>
    <t>堅固</t>
  </si>
  <si>
    <t>굳을 견, 굳을 고</t>
  </si>
  <si>
    <t>관행</t>
  </si>
  <si>
    <t>慣行</t>
  </si>
  <si>
    <t>익숙할 관, 다닐 행</t>
  </si>
  <si>
    <t>답습</t>
  </si>
  <si>
    <t>踏襲</t>
  </si>
  <si>
    <t>밟을 답, 엄습할 습</t>
  </si>
  <si>
    <t>진영</t>
  </si>
  <si>
    <t>陣營</t>
  </si>
  <si>
    <t>진 칠 진, 경영할 영</t>
  </si>
  <si>
    <t>찌를 충, 갑자기 돌</t>
  </si>
  <si>
    <t>증권</t>
  </si>
  <si>
    <t>證券</t>
  </si>
  <si>
    <t>증거 증, 문서 권</t>
  </si>
  <si>
    <t>그루 주, 법 식</t>
  </si>
  <si>
    <t>등락</t>
  </si>
  <si>
    <t>騰落</t>
  </si>
  <si>
    <t>오를 등, 떨어질 락</t>
  </si>
  <si>
    <t>선린</t>
  </si>
  <si>
    <t>善隣</t>
  </si>
  <si>
    <t>착할 선, 이웃 린</t>
  </si>
  <si>
    <t>벼리 유, 가질 지</t>
  </si>
  <si>
    <t>배려</t>
  </si>
  <si>
    <t>配慮</t>
  </si>
  <si>
    <t>나눌 배, 생각할 려</t>
  </si>
  <si>
    <t>화목</t>
  </si>
  <si>
    <t>和睦</t>
  </si>
  <si>
    <t>화할 화, 화목할 목</t>
  </si>
  <si>
    <t>사랑 자, 슬플 비</t>
  </si>
  <si>
    <t>방자</t>
  </si>
  <si>
    <t>放恣</t>
  </si>
  <si>
    <t>놓을 방, 방자할 자</t>
  </si>
  <si>
    <t>지탄</t>
  </si>
  <si>
    <t>指彈</t>
  </si>
  <si>
    <t>가리킬 지, 탄알 탄</t>
  </si>
  <si>
    <t>형사</t>
  </si>
  <si>
    <t>刑事</t>
  </si>
  <si>
    <t>형벌 형, 일 사</t>
  </si>
  <si>
    <t>잠길 잠, 엎드릴 복</t>
  </si>
  <si>
    <t>독재</t>
  </si>
  <si>
    <t>獨裁</t>
  </si>
  <si>
    <t>홀로 독, 마를 재</t>
  </si>
  <si>
    <t>저항</t>
  </si>
  <si>
    <t>抵抗</t>
  </si>
  <si>
    <t>막을 저, 겨룰 항</t>
  </si>
  <si>
    <t>투쟁</t>
  </si>
  <si>
    <t>鬪爭</t>
  </si>
  <si>
    <t>싸움 투, 다툴 쟁</t>
  </si>
  <si>
    <t>정적</t>
  </si>
  <si>
    <t>靜寂</t>
  </si>
  <si>
    <t>고요할 정, 고요할 적</t>
  </si>
  <si>
    <t>기적</t>
  </si>
  <si>
    <t>汽笛</t>
  </si>
  <si>
    <t>김 기, 피리 적</t>
  </si>
  <si>
    <t>번뇌</t>
  </si>
  <si>
    <t>煩惱</t>
  </si>
  <si>
    <t>괴로워할 번, 괴로워할 뇌</t>
  </si>
  <si>
    <t>좌선</t>
  </si>
  <si>
    <t>坐禪</t>
  </si>
  <si>
    <t>앉을 좌, 고요할 선</t>
  </si>
  <si>
    <t>복잡</t>
  </si>
  <si>
    <t>複雜</t>
  </si>
  <si>
    <t>겹칠 복, 섞일 잡</t>
  </si>
  <si>
    <t>형상 상, 상황 황</t>
  </si>
  <si>
    <t>지각</t>
  </si>
  <si>
    <t>遲刻</t>
  </si>
  <si>
    <t>늦을 지, 새길 각</t>
  </si>
  <si>
    <t>눈깜짝일 순, 사이 간</t>
  </si>
  <si>
    <t>사냥 렵, 총 총</t>
  </si>
  <si>
    <t>발사</t>
  </si>
  <si>
    <t>發射</t>
  </si>
  <si>
    <t>필 발, 쏠 사</t>
  </si>
  <si>
    <t>과오</t>
  </si>
  <si>
    <t>過誤</t>
  </si>
  <si>
    <t>지날 과, 그르칠 오</t>
  </si>
  <si>
    <t>참회</t>
  </si>
  <si>
    <t>慙悔</t>
  </si>
  <si>
    <t>부끄러워할 참, 뉘우칠 회</t>
  </si>
  <si>
    <t>사나울 폭, 불꽃 염</t>
  </si>
  <si>
    <t>갈증</t>
  </si>
  <si>
    <t>渴症</t>
  </si>
  <si>
    <t>목마를 갈, 증세 증</t>
  </si>
  <si>
    <t>고장</t>
  </si>
  <si>
    <t>故障</t>
  </si>
  <si>
    <t>연고 고, 막을 장</t>
  </si>
  <si>
    <t>끌 견, 끌 인</t>
  </si>
  <si>
    <t>의뢰</t>
  </si>
  <si>
    <t>依賴</t>
  </si>
  <si>
    <t>의지할 의, 힘입을 뢰</t>
  </si>
  <si>
    <t>뜻 지, 잡을 조</t>
  </si>
  <si>
    <t>정신</t>
  </si>
  <si>
    <t>精神</t>
  </si>
  <si>
    <t>정할 정, 귀신 신</t>
  </si>
  <si>
    <t>육체</t>
  </si>
  <si>
    <t>肉體</t>
  </si>
  <si>
    <t>고기 육, 몸 체</t>
  </si>
  <si>
    <t>변절</t>
  </si>
  <si>
    <t>變節</t>
  </si>
  <si>
    <t>변할 변, 마디 절</t>
  </si>
  <si>
    <t>이욕</t>
  </si>
  <si>
    <t>利慾</t>
  </si>
  <si>
    <t>이로울 리, 욕심 욕</t>
  </si>
  <si>
    <t>매수</t>
  </si>
  <si>
    <t>買收</t>
  </si>
  <si>
    <t>살 매, 거둘 수</t>
  </si>
  <si>
    <t>방종</t>
  </si>
  <si>
    <t>放縱</t>
  </si>
  <si>
    <t>놓을 방, 세로 종</t>
  </si>
  <si>
    <t>최악</t>
  </si>
  <si>
    <t>最惡</t>
  </si>
  <si>
    <t>가장 최, 악할 악</t>
  </si>
  <si>
    <t>곤욕</t>
  </si>
  <si>
    <t>困辱</t>
  </si>
  <si>
    <t>곤할 곤, 욕되게할 욕</t>
  </si>
  <si>
    <t>각오</t>
  </si>
  <si>
    <t>覺悟</t>
  </si>
  <si>
    <t>깨달을 각, 깨달을 오</t>
  </si>
  <si>
    <t>당국</t>
  </si>
  <si>
    <t>當局</t>
  </si>
  <si>
    <t>마땅 당, 판 국</t>
  </si>
  <si>
    <t>현행</t>
  </si>
  <si>
    <t>現行</t>
  </si>
  <si>
    <t>나타날 현, 다닐 행</t>
  </si>
  <si>
    <t>단계</t>
  </si>
  <si>
    <t>段階</t>
  </si>
  <si>
    <t>층계 단, 층계 계</t>
  </si>
  <si>
    <t>운영</t>
  </si>
  <si>
    <t>運營</t>
  </si>
  <si>
    <t>운전할 운, 경영할 영</t>
  </si>
  <si>
    <t>계획</t>
  </si>
  <si>
    <t>計劃</t>
  </si>
  <si>
    <t>셀 계, 그을 획</t>
  </si>
  <si>
    <t>수업</t>
  </si>
  <si>
    <t>授業</t>
  </si>
  <si>
    <t>줄 수, 업 업</t>
  </si>
  <si>
    <t>여부</t>
  </si>
  <si>
    <t>與否</t>
  </si>
  <si>
    <t>줄 여(더불 여, 아닐 부</t>
  </si>
  <si>
    <t>민족</t>
  </si>
  <si>
    <t>民族</t>
  </si>
  <si>
    <t>백성 민, 겨레 족</t>
  </si>
  <si>
    <t>피해</t>
  </si>
  <si>
    <t>被害</t>
  </si>
  <si>
    <t>입을 피, 해할 해</t>
  </si>
  <si>
    <t>여유</t>
  </si>
  <si>
    <t>餘裕</t>
  </si>
  <si>
    <t>남을 여, 넉넉할 유</t>
  </si>
  <si>
    <t>낭비</t>
  </si>
  <si>
    <t>浪費</t>
  </si>
  <si>
    <t>물결 랑, 쓸 비</t>
  </si>
  <si>
    <t>유효</t>
  </si>
  <si>
    <t>有效</t>
  </si>
  <si>
    <t>있을 유, 본받을 효(공 효</t>
  </si>
  <si>
    <t>적절</t>
  </si>
  <si>
    <t>適切</t>
  </si>
  <si>
    <t>맞을 적, 끊을 절</t>
  </si>
  <si>
    <t>활용</t>
  </si>
  <si>
    <t>活用</t>
  </si>
  <si>
    <t>살 활, 쓸 용</t>
  </si>
  <si>
    <t>습관</t>
  </si>
  <si>
    <t>習慣</t>
  </si>
  <si>
    <t>익힐 습, 관습 관</t>
  </si>
  <si>
    <t>醫師</t>
  </si>
  <si>
    <t>의원 의, 스승 사</t>
  </si>
  <si>
    <t>건강</t>
  </si>
  <si>
    <t>健康</t>
  </si>
  <si>
    <t>굳셀 건, 편안 강</t>
  </si>
  <si>
    <t>예심</t>
  </si>
  <si>
    <t>豫審</t>
  </si>
  <si>
    <t>미리 예, 살필 심</t>
  </si>
  <si>
    <t>신중</t>
  </si>
  <si>
    <t>慎重</t>
  </si>
  <si>
    <t>삼갈 신, 무거울 중</t>
  </si>
  <si>
    <t>오염</t>
  </si>
  <si>
    <t>汚染</t>
  </si>
  <si>
    <t>더러울 오, 물들 염</t>
  </si>
  <si>
    <t>재앙 재, 재앙 앙</t>
  </si>
  <si>
    <t>개근</t>
  </si>
  <si>
    <t>皆勤</t>
  </si>
  <si>
    <t>다 개, 부지런할 근</t>
  </si>
  <si>
    <t>상장</t>
  </si>
  <si>
    <t>賞狀</t>
  </si>
  <si>
    <t>상줄 상, 문서 장</t>
  </si>
  <si>
    <t>수여</t>
  </si>
  <si>
    <t>授與</t>
  </si>
  <si>
    <t>줄 수, 줄 여</t>
  </si>
  <si>
    <t>후보</t>
  </si>
  <si>
    <t>候補</t>
  </si>
  <si>
    <t>기다릴 후, 기울 보</t>
  </si>
  <si>
    <t>지지</t>
  </si>
  <si>
    <t>支持</t>
  </si>
  <si>
    <t>지탱할 지, 가질 지</t>
  </si>
  <si>
    <t>긴박</t>
  </si>
  <si>
    <t>緊迫</t>
  </si>
  <si>
    <t>긴할 긴, 핍박할 박</t>
  </si>
  <si>
    <t>침착</t>
  </si>
  <si>
    <t>沈着</t>
  </si>
  <si>
    <t>잠길 침, 붙을 착</t>
  </si>
  <si>
    <t>압도</t>
  </si>
  <si>
    <t>壓倒</t>
  </si>
  <si>
    <t>누를 압, 넘어질 도</t>
  </si>
  <si>
    <t>심을 재, 북돋울 배</t>
  </si>
  <si>
    <t>격감</t>
  </si>
  <si>
    <t>激減</t>
  </si>
  <si>
    <t>격할 격, 덜 감</t>
  </si>
  <si>
    <t>가격</t>
  </si>
  <si>
    <t>價格</t>
  </si>
  <si>
    <t>값 가, 격식 격</t>
  </si>
  <si>
    <t>폭등</t>
  </si>
  <si>
    <t>暴騰</t>
  </si>
  <si>
    <t>사나울 폭, 오를 등</t>
  </si>
  <si>
    <t>경찰</t>
  </si>
  <si>
    <t>警察</t>
  </si>
  <si>
    <t>경계할 경, 살필 찰</t>
  </si>
  <si>
    <t>소통</t>
  </si>
  <si>
    <t>疏通</t>
  </si>
  <si>
    <t>트일 소, 통할 통</t>
  </si>
  <si>
    <t>노점</t>
  </si>
  <si>
    <t>露店</t>
  </si>
  <si>
    <t>이슬 로, 가게 점</t>
  </si>
  <si>
    <t>둥글 단, 묶을 속</t>
  </si>
  <si>
    <t>농약</t>
  </si>
  <si>
    <t>農藥</t>
  </si>
  <si>
    <t>농사 농, 약 약</t>
  </si>
  <si>
    <t>선호</t>
  </si>
  <si>
    <t>選好</t>
  </si>
  <si>
    <t>가릴 선, 좋을 호</t>
  </si>
  <si>
    <t>최대</t>
  </si>
  <si>
    <t>最大</t>
  </si>
  <si>
    <t>가장 최, 큰 대</t>
  </si>
  <si>
    <t>반도체</t>
  </si>
  <si>
    <t>半導體</t>
  </si>
  <si>
    <t>반 반, 인도할 도, 몸 체</t>
  </si>
  <si>
    <t>박사</t>
  </si>
  <si>
    <t>博士</t>
  </si>
  <si>
    <t>넓을 박, 선비 사</t>
  </si>
  <si>
    <t>관계</t>
  </si>
  <si>
    <t>關係</t>
  </si>
  <si>
    <t>빗장 관, 맬 계</t>
  </si>
  <si>
    <t>연구</t>
  </si>
  <si>
    <t>硏究</t>
  </si>
  <si>
    <t>갈 연, 연구할 구</t>
  </si>
  <si>
    <t>신념</t>
  </si>
  <si>
    <t>信念</t>
  </si>
  <si>
    <t>믿을 신, 생각 념</t>
  </si>
  <si>
    <t>기자</t>
  </si>
  <si>
    <t>記者</t>
  </si>
  <si>
    <t>기록할 기, 놈 자</t>
  </si>
  <si>
    <t>전달</t>
  </si>
  <si>
    <t>傳達</t>
  </si>
  <si>
    <t>전할 전, 통달할 달</t>
  </si>
  <si>
    <t>基礎</t>
  </si>
  <si>
    <t>터 기, 주춧돌 초</t>
  </si>
  <si>
    <t>위험</t>
  </si>
  <si>
    <t>危險</t>
  </si>
  <si>
    <t>위태할 위, 험할 험</t>
  </si>
  <si>
    <t>제왕</t>
  </si>
  <si>
    <t>帝王</t>
  </si>
  <si>
    <t>임금 제, 임금 왕</t>
  </si>
  <si>
    <t>충성</t>
  </si>
  <si>
    <t>忠誠</t>
  </si>
  <si>
    <t>충성 충, 정성 성</t>
  </si>
  <si>
    <t>등용</t>
  </si>
  <si>
    <t>登用</t>
  </si>
  <si>
    <t>오를 등, 쓸 용</t>
  </si>
  <si>
    <t>교수</t>
  </si>
  <si>
    <t>敎授</t>
  </si>
  <si>
    <t>가르칠 교, 줄 수</t>
  </si>
  <si>
    <t>명망</t>
  </si>
  <si>
    <t>名望</t>
  </si>
  <si>
    <t>이름 명, 바랄 망</t>
  </si>
  <si>
    <t>칭송</t>
  </si>
  <si>
    <t>稱頌</t>
  </si>
  <si>
    <t>일컬을 칭, 기릴 송</t>
  </si>
  <si>
    <t>장군</t>
  </si>
  <si>
    <t>將軍</t>
  </si>
  <si>
    <t>장차 장, 군사 군</t>
  </si>
  <si>
    <t>상벌</t>
  </si>
  <si>
    <t>賞罰</t>
  </si>
  <si>
    <t>상줄 상, 벌할 벌</t>
  </si>
  <si>
    <t>명확</t>
  </si>
  <si>
    <t>明確</t>
  </si>
  <si>
    <t>밝을 명, 굳을 확</t>
  </si>
  <si>
    <t>通商</t>
  </si>
  <si>
    <t>통할 통, 장사 상</t>
  </si>
  <si>
    <t>교역</t>
  </si>
  <si>
    <t>交易</t>
  </si>
  <si>
    <t>사귈 교, 바꿀 역</t>
  </si>
  <si>
    <t>급증</t>
  </si>
  <si>
    <t>急增</t>
  </si>
  <si>
    <t>급할 급, 더할 증</t>
  </si>
  <si>
    <t>석탑</t>
  </si>
  <si>
    <t>石塔</t>
  </si>
  <si>
    <t>돌 석, 탑 탑</t>
  </si>
  <si>
    <t>세월</t>
  </si>
  <si>
    <t>歲月</t>
  </si>
  <si>
    <t>해 세, 달 월</t>
  </si>
  <si>
    <t>풍상</t>
  </si>
  <si>
    <t>風霜</t>
  </si>
  <si>
    <t>바람 풍, 서리 상</t>
  </si>
  <si>
    <t>원고</t>
  </si>
  <si>
    <t>原稿</t>
  </si>
  <si>
    <t>근원 원, 볏짚 고</t>
  </si>
  <si>
    <t>한가</t>
  </si>
  <si>
    <t>閑暇</t>
  </si>
  <si>
    <t>한가할 한, 겨를 가</t>
  </si>
  <si>
    <t>휴식</t>
  </si>
  <si>
    <t>休息</t>
  </si>
  <si>
    <t>쉴 휴, 숨쉴 식</t>
  </si>
  <si>
    <t>완충</t>
  </si>
  <si>
    <t>緩衝</t>
  </si>
  <si>
    <t>느릴 완, 찌를 충</t>
  </si>
  <si>
    <t>상표</t>
  </si>
  <si>
    <t>商標</t>
  </si>
  <si>
    <t>장사 상, 표할 표</t>
  </si>
  <si>
    <t>제거</t>
  </si>
  <si>
    <t>除去</t>
  </si>
  <si>
    <t>덜 제, 갈 거</t>
  </si>
  <si>
    <t>배출</t>
  </si>
  <si>
    <t>排出</t>
  </si>
  <si>
    <t>밀칠 배, 날 출</t>
  </si>
  <si>
    <t>단체</t>
  </si>
  <si>
    <t>團體</t>
  </si>
  <si>
    <t>둥글 단, 몸 체</t>
  </si>
  <si>
    <t>자금</t>
  </si>
  <si>
    <t>資金</t>
  </si>
  <si>
    <t>재물 자, 쇠 금</t>
  </si>
  <si>
    <t>옮길 운, 경영할 영</t>
  </si>
  <si>
    <t>귀납</t>
  </si>
  <si>
    <t>歸納</t>
  </si>
  <si>
    <t>돌아갈 귀, 들일 납</t>
  </si>
  <si>
    <t>의거</t>
  </si>
  <si>
    <t>依據</t>
  </si>
  <si>
    <t>의지할 의, 근거 거</t>
  </si>
  <si>
    <t>비행</t>
  </si>
  <si>
    <t>非行</t>
  </si>
  <si>
    <t>아닐 비, 다닐 행</t>
  </si>
  <si>
    <t>조속</t>
  </si>
  <si>
    <t>早速</t>
  </si>
  <si>
    <t>이를 조, 빠를 속</t>
  </si>
  <si>
    <t>처리</t>
  </si>
  <si>
    <t>處理</t>
  </si>
  <si>
    <t>곳 처, 다스릴 리</t>
  </si>
  <si>
    <t>우유</t>
  </si>
  <si>
    <t>牛乳</t>
  </si>
  <si>
    <t>소 우, 젖 유</t>
  </si>
  <si>
    <t>멸균</t>
  </si>
  <si>
    <t>滅菌</t>
  </si>
  <si>
    <t>멸할 멸, 버섯 균</t>
  </si>
  <si>
    <t>파괴</t>
  </si>
  <si>
    <t>방침</t>
  </si>
  <si>
    <t>方針</t>
  </si>
  <si>
    <t>모 방, 바늘 침</t>
  </si>
  <si>
    <t>번복</t>
  </si>
  <si>
    <t>飜覆</t>
  </si>
  <si>
    <t>뒤칠 번, 다시 복</t>
  </si>
  <si>
    <t>현장</t>
  </si>
  <si>
    <t>現場</t>
  </si>
  <si>
    <t>나타날 현, 마당 장</t>
  </si>
  <si>
    <t>참고</t>
  </si>
  <si>
    <t>參考</t>
  </si>
  <si>
    <t>참여할 참, 상고할 고</t>
  </si>
  <si>
    <t>서적</t>
  </si>
  <si>
    <t>書籍</t>
  </si>
  <si>
    <t>글 서, 서적 적</t>
  </si>
  <si>
    <t>추이</t>
  </si>
  <si>
    <t>推移</t>
  </si>
  <si>
    <t>밀 추, 옮길 이</t>
  </si>
  <si>
    <t>줄 여, 아닐 부</t>
  </si>
  <si>
    <t>경기</t>
  </si>
  <si>
    <t>競技</t>
  </si>
  <si>
    <t>다툴 경, 재주 기</t>
  </si>
  <si>
    <t>만족</t>
  </si>
  <si>
    <t>滿足</t>
  </si>
  <si>
    <t>찰 만, 발 족</t>
  </si>
  <si>
    <t>귀 밝을 총, 밝을 명</t>
  </si>
  <si>
    <t>정숙</t>
  </si>
  <si>
    <t>貞淑</t>
  </si>
  <si>
    <t>곧을 정, 맑을 숙</t>
  </si>
  <si>
    <t>경제</t>
  </si>
  <si>
    <t>經濟</t>
  </si>
  <si>
    <t>지날 경, 건널 제</t>
  </si>
  <si>
    <t>전망</t>
  </si>
  <si>
    <t>展望</t>
  </si>
  <si>
    <t>펼 전, 바랄 망</t>
  </si>
  <si>
    <t>면밀</t>
  </si>
  <si>
    <t>綿密</t>
  </si>
  <si>
    <t>이어질 면, 빽빽할 밀</t>
  </si>
  <si>
    <t>규제</t>
  </si>
  <si>
    <t>規制</t>
  </si>
  <si>
    <t>법 규, 절제할 제</t>
  </si>
  <si>
    <t>개혁</t>
  </si>
  <si>
    <t>改革</t>
  </si>
  <si>
    <t>고칠 개, 가죽 혁</t>
  </si>
  <si>
    <t>산업</t>
  </si>
  <si>
    <t>產業</t>
  </si>
  <si>
    <t>낳을 산, 업 업</t>
  </si>
  <si>
    <t>확보</t>
  </si>
  <si>
    <t>確保</t>
  </si>
  <si>
    <t>굳셀 확, 지킬 보</t>
  </si>
  <si>
    <t>탁월</t>
  </si>
  <si>
    <t>卓越</t>
  </si>
  <si>
    <t>높을 탁, 넘을 월</t>
  </si>
  <si>
    <t>발휘</t>
  </si>
  <si>
    <t>發揮</t>
  </si>
  <si>
    <t>필 발, 휘두를 휘</t>
  </si>
  <si>
    <t>해상</t>
  </si>
  <si>
    <t>海上</t>
  </si>
  <si>
    <t>바다 해, 윗 상</t>
  </si>
  <si>
    <t>무역</t>
  </si>
  <si>
    <t>貿易</t>
  </si>
  <si>
    <t>무역할 무, 바꿀 역</t>
  </si>
  <si>
    <t>제현</t>
  </si>
  <si>
    <t>諸賢</t>
  </si>
  <si>
    <t>모두 제, 어질 현</t>
  </si>
  <si>
    <t>성원</t>
  </si>
  <si>
    <t>聲援</t>
  </si>
  <si>
    <t>소리 성, 도울 원</t>
  </si>
  <si>
    <t>필요</t>
  </si>
  <si>
    <t>必要</t>
  </si>
  <si>
    <t>반드시 필, 요긴할 요</t>
  </si>
  <si>
    <t>준비</t>
  </si>
  <si>
    <t>準備</t>
  </si>
  <si>
    <t>준할 준, 갖출 비</t>
  </si>
  <si>
    <t>병원</t>
  </si>
  <si>
    <t>病院</t>
  </si>
  <si>
    <t>병 병, 집 원</t>
  </si>
  <si>
    <t>환자</t>
  </si>
  <si>
    <t>患者</t>
  </si>
  <si>
    <t>병들 환, 놈 자</t>
  </si>
  <si>
    <t>집착</t>
  </si>
  <si>
    <t>執着</t>
  </si>
  <si>
    <t>잡을 집, 붙을 착</t>
  </si>
  <si>
    <t>傾向</t>
  </si>
  <si>
    <t>기울 경, 향할 향</t>
  </si>
  <si>
    <t>정서</t>
  </si>
  <si>
    <t>情緒</t>
  </si>
  <si>
    <t>뜻 정, 실마리 서</t>
  </si>
  <si>
    <t>심판</t>
  </si>
  <si>
    <t>審判</t>
  </si>
  <si>
    <t>살필 심, 판단할 판</t>
  </si>
  <si>
    <t>운동</t>
  </si>
  <si>
    <t>運動</t>
  </si>
  <si>
    <t>옮길 운, 움직일 동</t>
  </si>
  <si>
    <t>각인</t>
  </si>
  <si>
    <t>刻印</t>
  </si>
  <si>
    <t>새길 각, 도장 인</t>
  </si>
  <si>
    <t>소생</t>
  </si>
  <si>
    <t>蘇生</t>
  </si>
  <si>
    <t>되살아날 소, 날 생</t>
  </si>
  <si>
    <t>빌 기, 원할 원</t>
  </si>
  <si>
    <t>기울 경, 비낄 사</t>
  </si>
  <si>
    <t>느릴 완, 게으를 만</t>
  </si>
  <si>
    <t>구리 동, 돈 전</t>
  </si>
  <si>
    <t>士氣</t>
  </si>
  <si>
    <t>선비 사, 기운 기</t>
  </si>
  <si>
    <t>북 고, 불 취</t>
  </si>
  <si>
    <t>입안</t>
  </si>
  <si>
    <t>立案</t>
  </si>
  <si>
    <t>설립할 립, 책상 안</t>
  </si>
  <si>
    <t>실천</t>
  </si>
  <si>
    <t>實踐</t>
  </si>
  <si>
    <t>열매 실, 밟을 천</t>
  </si>
  <si>
    <t>숭모</t>
  </si>
  <si>
    <t>崇慕</t>
  </si>
  <si>
    <t>높일 숭, 사모할 모</t>
  </si>
  <si>
    <t>훼손</t>
  </si>
  <si>
    <t>毀損</t>
  </si>
  <si>
    <t>헐 훼, 덜 손</t>
  </si>
  <si>
    <t>복구</t>
  </si>
  <si>
    <t>復舊</t>
  </si>
  <si>
    <t>회복할 복, 옛 구</t>
  </si>
  <si>
    <t>함몰</t>
  </si>
  <si>
    <t>친척</t>
  </si>
  <si>
    <t>親戚</t>
  </si>
  <si>
    <t>친할 친, 겨레 척</t>
  </si>
  <si>
    <t>돈목</t>
  </si>
  <si>
    <t>敦睦</t>
  </si>
  <si>
    <t>도타울 돈, 화목할 목</t>
  </si>
  <si>
    <t>투표율</t>
  </si>
  <si>
    <t>投票率</t>
  </si>
  <si>
    <t>던질 투, 표 표, 비율 률</t>
  </si>
  <si>
    <t>효도</t>
  </si>
  <si>
    <t>孝道</t>
  </si>
  <si>
    <t>효도 효, 길 도</t>
  </si>
  <si>
    <t>칭찬</t>
  </si>
  <si>
    <t>稱讚</t>
  </si>
  <si>
    <t>일컬을 칭, 기릴 찬</t>
  </si>
  <si>
    <t>영화</t>
  </si>
  <si>
    <t>映畫</t>
  </si>
  <si>
    <t>비칠 영, 그림 화</t>
  </si>
  <si>
    <t>볼 감, 살필 독</t>
  </si>
  <si>
    <t>바칠 공, 바칠 헌</t>
  </si>
  <si>
    <t>황야</t>
  </si>
  <si>
    <t>荒野</t>
  </si>
  <si>
    <t>거칠 황, 들 야</t>
  </si>
  <si>
    <t>경박</t>
  </si>
  <si>
    <t>호전</t>
  </si>
  <si>
    <t>좋을 호, 구를 전</t>
  </si>
  <si>
    <t>외환</t>
  </si>
  <si>
    <t>外換</t>
  </si>
  <si>
    <t>바깥 외, 바꿀 환</t>
  </si>
  <si>
    <t>주가</t>
  </si>
  <si>
    <t>株價</t>
  </si>
  <si>
    <t>그루 주, 값 가</t>
  </si>
  <si>
    <t>급등</t>
  </si>
  <si>
    <t>急騰</t>
  </si>
  <si>
    <t>급할 급, 오를 등</t>
  </si>
  <si>
    <t>유산</t>
  </si>
  <si>
    <t>遺産</t>
  </si>
  <si>
    <t>남길 유, 낳을 산</t>
  </si>
  <si>
    <t>종묘</t>
  </si>
  <si>
    <t>宗廟</t>
  </si>
  <si>
    <t>마루 종, 사당 묘</t>
  </si>
  <si>
    <t>보존</t>
  </si>
  <si>
    <t>保存</t>
  </si>
  <si>
    <t>지킬 보, 있을 존</t>
  </si>
  <si>
    <t>변호</t>
  </si>
  <si>
    <t>辯護</t>
  </si>
  <si>
    <t>말잘할 변, 도울 호</t>
  </si>
  <si>
    <t>판결</t>
  </si>
  <si>
    <t>判決</t>
  </si>
  <si>
    <t>판단할 판, 결단할 결</t>
  </si>
  <si>
    <t>영향</t>
  </si>
  <si>
    <t>影響</t>
  </si>
  <si>
    <t>그림자 영, 메아리 향</t>
  </si>
  <si>
    <t>사격</t>
  </si>
  <si>
    <t>射擊</t>
  </si>
  <si>
    <t>쏠 사, 칠 격</t>
  </si>
  <si>
    <t>수영</t>
  </si>
  <si>
    <t>水泳</t>
  </si>
  <si>
    <t>물 수, 헤엄칠 영</t>
  </si>
  <si>
    <t>전쟁</t>
  </si>
  <si>
    <t>戰爭</t>
  </si>
  <si>
    <t>싸움 전, 다툴 쟁</t>
  </si>
  <si>
    <t>난민</t>
  </si>
  <si>
    <t>難民</t>
  </si>
  <si>
    <t>어려울 난, 백성 민</t>
  </si>
  <si>
    <t>지속</t>
  </si>
  <si>
    <t>持續</t>
  </si>
  <si>
    <t>가질 지, 이을 속</t>
  </si>
  <si>
    <t>묘역</t>
  </si>
  <si>
    <t>墓域</t>
  </si>
  <si>
    <t>무덤 묘, 지경 역</t>
  </si>
  <si>
    <t>탄압</t>
  </si>
  <si>
    <t>彈壓</t>
  </si>
  <si>
    <t>탄알 탄, 누를 압</t>
  </si>
  <si>
    <t>용감</t>
  </si>
  <si>
    <t>勇敢</t>
  </si>
  <si>
    <t>날랠 용, 감히 감</t>
  </si>
  <si>
    <t>선열</t>
  </si>
  <si>
    <t>先烈</t>
  </si>
  <si>
    <t>먼저 선, 매울 렬</t>
  </si>
  <si>
    <t>군중</t>
  </si>
  <si>
    <t>群衆</t>
  </si>
  <si>
    <t>무리 군, 무리 중</t>
  </si>
  <si>
    <t>운집</t>
  </si>
  <si>
    <t>雲集</t>
  </si>
  <si>
    <t>구름 운, 모일 집</t>
  </si>
  <si>
    <t>월등</t>
  </si>
  <si>
    <t>越等</t>
  </si>
  <si>
    <t>넘을 월, 등급 등</t>
  </si>
  <si>
    <t>장학금</t>
  </si>
  <si>
    <t>獎學金</t>
  </si>
  <si>
    <t>권장할 장, 배울 학, 쇠 금</t>
  </si>
  <si>
    <t>수혜</t>
  </si>
  <si>
    <t>受惠</t>
  </si>
  <si>
    <t>받을 수, 은혜 혜</t>
  </si>
  <si>
    <t>등록</t>
  </si>
  <si>
    <t>登錄</t>
  </si>
  <si>
    <t>오를 등, 기록할 록</t>
  </si>
  <si>
    <t>番號</t>
  </si>
  <si>
    <t>차례 번, 이름 호</t>
  </si>
  <si>
    <t>고유</t>
  </si>
  <si>
    <t>固有</t>
  </si>
  <si>
    <t>굳을 고, 있을 유</t>
  </si>
  <si>
    <t>불우</t>
  </si>
  <si>
    <t>不遇</t>
  </si>
  <si>
    <t>아니 불, 만날 우</t>
  </si>
  <si>
    <t>끌 인, 이끌 도</t>
  </si>
  <si>
    <t>습격</t>
  </si>
  <si>
    <t>襲擊</t>
  </si>
  <si>
    <t>엄습할 습, 칠 격</t>
  </si>
  <si>
    <t>퇴각</t>
  </si>
  <si>
    <t>退却</t>
  </si>
  <si>
    <t>물러날 퇴, 물리칠 각</t>
  </si>
  <si>
    <t>따라죽을 순, 직분 직</t>
  </si>
  <si>
    <t>묘지</t>
  </si>
  <si>
    <t>墓地</t>
  </si>
  <si>
    <t>무덤 묘, 땅 지</t>
  </si>
  <si>
    <t>매장</t>
  </si>
  <si>
    <t>埋葬</t>
  </si>
  <si>
    <t>묻을 매, 장사지낼 장</t>
  </si>
  <si>
    <t>청정</t>
  </si>
  <si>
    <t>清淨</t>
  </si>
  <si>
    <t>맑을 청, 깨끗할 정</t>
  </si>
  <si>
    <t>밀사</t>
  </si>
  <si>
    <t>密使</t>
  </si>
  <si>
    <t>빽빽할 밀, 하여금 사</t>
  </si>
  <si>
    <t>접촉</t>
  </si>
  <si>
    <t>接觸</t>
  </si>
  <si>
    <t>이을 접, 닿을 촉</t>
  </si>
  <si>
    <t>집념</t>
  </si>
  <si>
    <t>執念</t>
  </si>
  <si>
    <t>잡을 집, 생각 념</t>
  </si>
  <si>
    <t>꾈 유, 미혹할 혹</t>
  </si>
  <si>
    <t>참사</t>
  </si>
  <si>
    <t>慘事</t>
  </si>
  <si>
    <t>참혹할 참, 일 사</t>
  </si>
  <si>
    <t>빈발</t>
  </si>
  <si>
    <t>頻發</t>
  </si>
  <si>
    <t>자주 빈, 필 발</t>
  </si>
  <si>
    <t>유창</t>
  </si>
  <si>
    <t>流暢</t>
  </si>
  <si>
    <t>흐를 류, 화창할 창</t>
  </si>
  <si>
    <t>언변</t>
  </si>
  <si>
    <t>言辯</t>
  </si>
  <si>
    <t>말씀 언, 말잘할 변</t>
  </si>
  <si>
    <t>추구</t>
  </si>
  <si>
    <t>追求</t>
  </si>
  <si>
    <t>쫓을 추, 구할 구</t>
  </si>
  <si>
    <t>판매</t>
  </si>
  <si>
    <t>販賣</t>
  </si>
  <si>
    <t>팔 판, 팔 매</t>
  </si>
  <si>
    <t>손상</t>
  </si>
  <si>
    <t>損傷</t>
  </si>
  <si>
    <t>덜 손, 상할 상</t>
  </si>
  <si>
    <t>환수</t>
  </si>
  <si>
    <t>還收</t>
  </si>
  <si>
    <t>돌아올 환, 거둘 수</t>
  </si>
  <si>
    <t>투혼</t>
  </si>
  <si>
    <t>鬪魂</t>
  </si>
  <si>
    <t>싸움 투, 넋 혼</t>
  </si>
  <si>
    <t>격월</t>
  </si>
  <si>
    <t>隔月</t>
  </si>
  <si>
    <t>사이뜰 격, 달 월</t>
  </si>
  <si>
    <t>분규</t>
  </si>
  <si>
    <t>紛糾</t>
  </si>
  <si>
    <t>어지러울 분, 얽힐 규</t>
  </si>
  <si>
    <t>양보</t>
  </si>
  <si>
    <t>讓步</t>
  </si>
  <si>
    <t>사양할 양, 걸음 보</t>
  </si>
  <si>
    <t>번영</t>
  </si>
  <si>
    <t>繁榮</t>
  </si>
  <si>
    <t>번성할 번, 영화 영</t>
  </si>
  <si>
    <t>철야</t>
  </si>
  <si>
    <t>徹夜</t>
  </si>
  <si>
    <t>통할 철, 밤 야</t>
  </si>
  <si>
    <t>研究</t>
  </si>
  <si>
    <t>제품</t>
  </si>
  <si>
    <t>製品</t>
  </si>
  <si>
    <t>마를 제, 물건 품</t>
  </si>
  <si>
    <t>장막</t>
  </si>
  <si>
    <t>帳幕</t>
  </si>
  <si>
    <t>휘장 장, 막 막</t>
  </si>
  <si>
    <t>심할 극, 둥글 단</t>
  </si>
  <si>
    <t>무대</t>
  </si>
  <si>
    <t>舞臺</t>
  </si>
  <si>
    <t>춤출 무, 대 대</t>
  </si>
  <si>
    <t>매몰</t>
  </si>
  <si>
    <t>묻을 매, 빠질 몰</t>
  </si>
  <si>
    <t>비참</t>
  </si>
  <si>
    <t>悲慘</t>
  </si>
  <si>
    <t>슬플 비, 참혹할 참</t>
  </si>
  <si>
    <t>미세</t>
  </si>
  <si>
    <t>微細</t>
  </si>
  <si>
    <t>작을 미, 가늘 세</t>
  </si>
  <si>
    <t>저감</t>
  </si>
  <si>
    <t>低減</t>
  </si>
  <si>
    <t>낮을 저, 덜 감</t>
  </si>
  <si>
    <t>희박</t>
  </si>
  <si>
    <t>배구</t>
  </si>
  <si>
    <t>排球</t>
  </si>
  <si>
    <t>밀칠 배, 공 구</t>
  </si>
  <si>
    <t>축배</t>
  </si>
  <si>
    <t>祝杯</t>
  </si>
  <si>
    <t>빌 축, 잔 배</t>
  </si>
  <si>
    <t>부패</t>
  </si>
  <si>
    <t>腐敗</t>
  </si>
  <si>
    <t>썩을 부, 패할 패</t>
  </si>
  <si>
    <t>복통</t>
  </si>
  <si>
    <t>腹痛</t>
  </si>
  <si>
    <t>배 복, 아플 통</t>
  </si>
  <si>
    <t>情緖</t>
  </si>
  <si>
    <t>모험</t>
  </si>
  <si>
    <t>冒險</t>
  </si>
  <si>
    <t>무릅쓸 모, 험할 험</t>
  </si>
  <si>
    <t>우아</t>
  </si>
  <si>
    <t>優雅</t>
  </si>
  <si>
    <t>넉넉할 우, 맑을 아</t>
  </si>
  <si>
    <t>자태</t>
  </si>
  <si>
    <t>姿態</t>
  </si>
  <si>
    <t>맵시 자, 모양 태</t>
  </si>
  <si>
    <t>희열</t>
  </si>
  <si>
    <t>喜悅</t>
  </si>
  <si>
    <t>기쁠 희, 기쁠 열</t>
  </si>
  <si>
    <t>우상</t>
  </si>
  <si>
    <t>偶像</t>
  </si>
  <si>
    <t>짝 우, 형상 상</t>
  </si>
  <si>
    <t>숭배</t>
  </si>
  <si>
    <t>崇拜</t>
  </si>
  <si>
    <t>높일 숭, 절 배</t>
  </si>
  <si>
    <t>여운</t>
  </si>
  <si>
    <t>餘韻</t>
  </si>
  <si>
    <t>남을 여, 운 운</t>
  </si>
  <si>
    <t>이기</t>
  </si>
  <si>
    <t>利器</t>
  </si>
  <si>
    <t>이로울 리, 그릇 기</t>
  </si>
  <si>
    <t>혜택</t>
  </si>
  <si>
    <t>惠澤</t>
  </si>
  <si>
    <t>은혜 혜, 못 택</t>
  </si>
  <si>
    <t>附與 / 賦與</t>
  </si>
  <si>
    <t>붙을 부(구실 부, 줄 여</t>
  </si>
  <si>
    <t>정보</t>
  </si>
  <si>
    <t>情報</t>
  </si>
  <si>
    <t>뜻 정, 알릴 보</t>
  </si>
  <si>
    <t>약속</t>
  </si>
  <si>
    <t>約束</t>
  </si>
  <si>
    <t>맺을 약, 묶을 속</t>
  </si>
  <si>
    <t>그림자 영, 울림 향</t>
  </si>
  <si>
    <t>충분</t>
  </si>
  <si>
    <t>充分</t>
  </si>
  <si>
    <t>찰 충, 나눌 분</t>
  </si>
  <si>
    <t>갈 연, 구멍 구</t>
  </si>
  <si>
    <t>근거</t>
  </si>
  <si>
    <t>根據</t>
  </si>
  <si>
    <t>뿌리 근, 근거 거</t>
  </si>
  <si>
    <t>중독</t>
  </si>
  <si>
    <t>中毒</t>
  </si>
  <si>
    <t>가운데 중, 독 독</t>
  </si>
  <si>
    <t>광고</t>
  </si>
  <si>
    <t>廣告</t>
  </si>
  <si>
    <t>넓을 광, 고할 고</t>
  </si>
  <si>
    <t>사고</t>
  </si>
  <si>
    <t>思考</t>
  </si>
  <si>
    <t>생각할 사, 생각할 고</t>
  </si>
  <si>
    <t>영역</t>
  </si>
  <si>
    <t>領域</t>
  </si>
  <si>
    <t>옷깃 령, 지경 역</t>
  </si>
  <si>
    <t>계열</t>
  </si>
  <si>
    <t>系列</t>
  </si>
  <si>
    <t>이어맬 계, 벌일 렬</t>
  </si>
  <si>
    <t>심층</t>
  </si>
  <si>
    <t>深層</t>
  </si>
  <si>
    <t>깊을 심, 층 층</t>
  </si>
  <si>
    <t>뽑을 추, 모양 상</t>
  </si>
  <si>
    <t>개념</t>
  </si>
  <si>
    <t>概念</t>
  </si>
  <si>
    <t>대개 개, 생각 념</t>
  </si>
  <si>
    <t>화면</t>
  </si>
  <si>
    <t>畫面</t>
  </si>
  <si>
    <t>그림 화, 낯 면</t>
  </si>
  <si>
    <t>말단</t>
  </si>
  <si>
    <t>末端</t>
  </si>
  <si>
    <t>끝 말, 끝 단</t>
  </si>
  <si>
    <t>해악</t>
  </si>
  <si>
    <t>害惡</t>
  </si>
  <si>
    <t>해할 해, 악할 악</t>
  </si>
  <si>
    <t>注油</t>
  </si>
  <si>
    <t>물댈 주, 기름 유</t>
  </si>
  <si>
    <t>연상</t>
  </si>
  <si>
    <t>聯想</t>
  </si>
  <si>
    <t>이을 련, 생각할 상</t>
  </si>
  <si>
    <t>정치</t>
  </si>
  <si>
    <t>政治</t>
  </si>
  <si>
    <t>정사 정, 다스릴 치</t>
  </si>
  <si>
    <t>건물</t>
  </si>
  <si>
    <t>建物</t>
  </si>
  <si>
    <t>세울 건, 물건 물</t>
  </si>
  <si>
    <t>정도</t>
  </si>
  <si>
    <t>程度</t>
  </si>
  <si>
    <t>한도 정, 법도 도</t>
  </si>
  <si>
    <t>폭탄</t>
  </si>
  <si>
    <t>爆彈</t>
  </si>
  <si>
    <t>터질 폭, 탄알 탄</t>
  </si>
  <si>
    <t>형평</t>
  </si>
  <si>
    <t>衡平</t>
  </si>
  <si>
    <t>저울대 형, 평평할 평</t>
  </si>
  <si>
    <t>회한</t>
  </si>
  <si>
    <t>悔恨</t>
  </si>
  <si>
    <t>뉘우칠 회, 한활 한</t>
  </si>
  <si>
    <t>위력</t>
  </si>
  <si>
    <t>威力</t>
  </si>
  <si>
    <t>위엄 위, 힘 력</t>
  </si>
  <si>
    <t>위임장</t>
  </si>
  <si>
    <t>委任狀</t>
  </si>
  <si>
    <t>맡길 위, 맡길 임, 문서 장</t>
  </si>
  <si>
    <t>소동</t>
  </si>
  <si>
    <t>騷動</t>
  </si>
  <si>
    <t>떠들 소, 움직일 동</t>
  </si>
  <si>
    <t>조사</t>
  </si>
  <si>
    <t>調査</t>
  </si>
  <si>
    <t>고를 조, 살필 사</t>
  </si>
  <si>
    <t>암벽</t>
  </si>
  <si>
    <t>巖壁</t>
  </si>
  <si>
    <t>바위 암, 벽 벽</t>
  </si>
  <si>
    <t>시범</t>
  </si>
  <si>
    <t>示範</t>
  </si>
  <si>
    <t>보일 시, 법 범</t>
  </si>
  <si>
    <t>융숭</t>
  </si>
  <si>
    <t>隆崇</t>
  </si>
  <si>
    <t>높을 융, 높을 숭</t>
  </si>
  <si>
    <t>이발</t>
  </si>
  <si>
    <t>理髮</t>
  </si>
  <si>
    <t>다스릴 리, 터럭 발</t>
  </si>
  <si>
    <t>경미</t>
  </si>
  <si>
    <t>輕微</t>
  </si>
  <si>
    <t>가벼울 경, 작을 미</t>
  </si>
  <si>
    <t>질 부, 다칠 상</t>
  </si>
  <si>
    <t>납득</t>
  </si>
  <si>
    <t>納得</t>
  </si>
  <si>
    <t>들일 납, 얻을 득</t>
  </si>
  <si>
    <t>개막식</t>
  </si>
  <si>
    <t>開幕式</t>
  </si>
  <si>
    <t>열 개, 막 막, 법 식</t>
  </si>
  <si>
    <t>도피</t>
  </si>
  <si>
    <t>逃避</t>
  </si>
  <si>
    <t>달아날 도, 피할 피</t>
  </si>
  <si>
    <t>돌입</t>
  </si>
  <si>
    <t>突入</t>
  </si>
  <si>
    <t>갑자기 돌, 들 입</t>
  </si>
  <si>
    <t>가사</t>
  </si>
  <si>
    <t>歌詞</t>
  </si>
  <si>
    <t>노래 가, 말씀 사</t>
  </si>
  <si>
    <t>운율</t>
  </si>
  <si>
    <t>韻律</t>
  </si>
  <si>
    <t>운 운, 법 률</t>
  </si>
  <si>
    <t>신경</t>
  </si>
  <si>
    <t>神經</t>
  </si>
  <si>
    <t>귀신 신, 지날 경</t>
  </si>
  <si>
    <t>잠시</t>
  </si>
  <si>
    <t>暫時</t>
  </si>
  <si>
    <t>잠깐 잠, 때 시</t>
  </si>
  <si>
    <t>제대</t>
  </si>
  <si>
    <t>除隊</t>
  </si>
  <si>
    <t>덜 제, 무리 대</t>
  </si>
  <si>
    <t>통제</t>
  </si>
  <si>
    <t>統制</t>
  </si>
  <si>
    <t>거느릴 통, 절제할 제</t>
  </si>
  <si>
    <t>하중</t>
  </si>
  <si>
    <t>荷重</t>
  </si>
  <si>
    <t>맬 하, 무거울 중</t>
  </si>
  <si>
    <t>책봉</t>
  </si>
  <si>
    <t>冊封</t>
  </si>
  <si>
    <t>책 책, 봉할 봉</t>
  </si>
  <si>
    <t>묘책</t>
  </si>
  <si>
    <t>妙策</t>
  </si>
  <si>
    <t>묘할 묘, 꾀 책</t>
  </si>
  <si>
    <t>난간</t>
  </si>
  <si>
    <t>欄干</t>
  </si>
  <si>
    <t>난간 란, 방패 간</t>
  </si>
  <si>
    <t>자격</t>
  </si>
  <si>
    <t>資格</t>
  </si>
  <si>
    <t>바탕 자, 격식 격</t>
  </si>
  <si>
    <t>훈련</t>
  </si>
  <si>
    <t>訓練</t>
  </si>
  <si>
    <t>가르칠 훈, 익힐 련</t>
  </si>
  <si>
    <t>이수</t>
  </si>
  <si>
    <t>履修</t>
  </si>
  <si>
    <t>밟을 리, 닦을 수</t>
  </si>
  <si>
    <t>과정</t>
  </si>
  <si>
    <t>過程</t>
  </si>
  <si>
    <t>지날 과, 한도 정</t>
  </si>
  <si>
    <t>보장</t>
  </si>
  <si>
    <t>保障</t>
  </si>
  <si>
    <t>지킬 보, 가로막을 장</t>
  </si>
  <si>
    <t>거론</t>
  </si>
  <si>
    <t>擧論</t>
  </si>
  <si>
    <t>들 거, 논할 논</t>
  </si>
  <si>
    <t>추측</t>
  </si>
  <si>
    <t>推測</t>
  </si>
  <si>
    <t>밀 추, 잴 측</t>
  </si>
  <si>
    <t>징역</t>
  </si>
  <si>
    <t>懲役</t>
  </si>
  <si>
    <t>징계할 징, 부릴 역</t>
  </si>
  <si>
    <t>선고</t>
  </si>
  <si>
    <t>宣告</t>
  </si>
  <si>
    <t>베풀 선, 고할 고</t>
  </si>
  <si>
    <t>應試</t>
  </si>
  <si>
    <t>응할 응, 시험 시</t>
  </si>
  <si>
    <t>냉철</t>
  </si>
  <si>
    <t>冷徹</t>
  </si>
  <si>
    <t>찰 랭, 통할 철</t>
  </si>
  <si>
    <t>판단</t>
  </si>
  <si>
    <t>判斷</t>
  </si>
  <si>
    <t>판단할 판, 끊을 단</t>
  </si>
  <si>
    <t>편력</t>
  </si>
  <si>
    <t>遍歷</t>
  </si>
  <si>
    <t>두루 편, 지날 력</t>
  </si>
  <si>
    <t>저술</t>
  </si>
  <si>
    <t>著述</t>
  </si>
  <si>
    <t>나타날 저, 지을 술</t>
  </si>
  <si>
    <t>업적</t>
  </si>
  <si>
    <t>業績</t>
  </si>
  <si>
    <t>업 업, 공적 적</t>
  </si>
  <si>
    <t>사죄</t>
  </si>
  <si>
    <t>謝罪</t>
  </si>
  <si>
    <t>사례할 사, 허물 죄</t>
  </si>
  <si>
    <t>수용</t>
  </si>
  <si>
    <t>受容</t>
  </si>
  <si>
    <t>받을 수, 얼굴 용</t>
  </si>
  <si>
    <t>막을 거, 아닐 부</t>
  </si>
  <si>
    <t>갈등</t>
  </si>
  <si>
    <t>葛藤</t>
  </si>
  <si>
    <t>칡 갈, 등나무 등</t>
  </si>
  <si>
    <t>유발</t>
  </si>
  <si>
    <t>誘發</t>
  </si>
  <si>
    <t>꾈 유, 필 발</t>
  </si>
  <si>
    <t>항구</t>
  </si>
  <si>
    <t>港口</t>
  </si>
  <si>
    <t>항구 항, 입 구</t>
  </si>
  <si>
    <t>화창</t>
  </si>
  <si>
    <t>和暢</t>
  </si>
  <si>
    <t>화할 화, 화창할 창</t>
  </si>
  <si>
    <t>대피</t>
  </si>
  <si>
    <t>待避</t>
  </si>
  <si>
    <t>기다릴 대, 피할 피</t>
  </si>
  <si>
    <t>심난</t>
  </si>
  <si>
    <t>甚難</t>
  </si>
  <si>
    <t>심할 심, 어려울 난</t>
  </si>
  <si>
    <t>이길 극, 이길 복</t>
  </si>
  <si>
    <t>재앙 액, 옮길 운</t>
  </si>
  <si>
    <t>정성</t>
  </si>
  <si>
    <t>精誠</t>
  </si>
  <si>
    <t>정할 정, 정성 성</t>
  </si>
  <si>
    <t>조업</t>
  </si>
  <si>
    <t>操業</t>
  </si>
  <si>
    <t>잡을 조, 업 업</t>
  </si>
  <si>
    <t>억류</t>
  </si>
  <si>
    <t>抑留</t>
  </si>
  <si>
    <t>누를 억, 머무를 류</t>
  </si>
  <si>
    <t>석방</t>
  </si>
  <si>
    <t>釋放</t>
  </si>
  <si>
    <t>풀 석, 놓을 방</t>
  </si>
  <si>
    <t>搖亂 / 擾亂</t>
  </si>
  <si>
    <t>흔들 요, 어지러울 란 / 어지러울 요, 어지러울 란</t>
  </si>
  <si>
    <t>유연</t>
  </si>
  <si>
    <t>柔軟</t>
  </si>
  <si>
    <t>부드러울 유, 연할 연</t>
  </si>
  <si>
    <t>제압</t>
  </si>
  <si>
    <t>制壓</t>
  </si>
  <si>
    <t>절제할 제, 누를 압</t>
  </si>
  <si>
    <t>정벌</t>
  </si>
  <si>
    <t>征伐</t>
  </si>
  <si>
    <t>칠 정, 칠 벌</t>
  </si>
  <si>
    <t>병 질, 달릴 주</t>
  </si>
  <si>
    <t>추적</t>
  </si>
  <si>
    <t>追跡</t>
  </si>
  <si>
    <t>쫓을 추, 자취 적</t>
  </si>
  <si>
    <t>철강</t>
  </si>
  <si>
    <t>鐵鋼</t>
  </si>
  <si>
    <t>쇠 철, 강철 강</t>
  </si>
  <si>
    <t>관세</t>
  </si>
  <si>
    <t>關稅</t>
  </si>
  <si>
    <t>빗장 관, 세금 세</t>
  </si>
  <si>
    <t>부과</t>
  </si>
  <si>
    <t>賦課</t>
  </si>
  <si>
    <t>구실 부, 매길 과</t>
  </si>
  <si>
    <t>피고</t>
  </si>
  <si>
    <t>被告</t>
  </si>
  <si>
    <t>입을 피, 고할 고</t>
  </si>
  <si>
    <t>후회</t>
  </si>
  <si>
    <t>後悔</t>
  </si>
  <si>
    <t>뒤 후, 뉘우칠 회</t>
  </si>
  <si>
    <t>물갈래 파, 보낼 견</t>
  </si>
  <si>
    <t>고객</t>
  </si>
  <si>
    <t>顧客</t>
  </si>
  <si>
    <t>돌아볼 고, 손 객</t>
  </si>
  <si>
    <t>결합</t>
  </si>
  <si>
    <t>結合</t>
  </si>
  <si>
    <t>맺을 결, 합할 합</t>
  </si>
  <si>
    <t>도치</t>
  </si>
  <si>
    <t>倒置</t>
  </si>
  <si>
    <t>넘어질 도, 둘 치</t>
  </si>
  <si>
    <t>공존</t>
  </si>
  <si>
    <t>共存</t>
  </si>
  <si>
    <t>한가지 공, 있을 존</t>
  </si>
  <si>
    <t>언중</t>
  </si>
  <si>
    <t>言衆</t>
  </si>
  <si>
    <t>말씀 언, 무리 중</t>
  </si>
  <si>
    <t>소멸</t>
  </si>
  <si>
    <t>消滅</t>
  </si>
  <si>
    <t>꺼질 소, 멸망할 멸</t>
  </si>
  <si>
    <t>예측</t>
  </si>
  <si>
    <t>豫測</t>
  </si>
  <si>
    <t>미리 예, 잴 측</t>
  </si>
  <si>
    <t>퇴계</t>
  </si>
  <si>
    <t>退溪</t>
  </si>
  <si>
    <t>물러날 퇴, 시내 계</t>
  </si>
  <si>
    <t>인품</t>
  </si>
  <si>
    <t>人品</t>
  </si>
  <si>
    <t>사람 인, 물건 품</t>
  </si>
  <si>
    <t>장중</t>
  </si>
  <si>
    <t>莊重</t>
  </si>
  <si>
    <t>엄숙할 장, 무거울 중</t>
  </si>
  <si>
    <t>통찰</t>
  </si>
  <si>
    <t>洞察</t>
  </si>
  <si>
    <t>꿰뚫을 통, 살필 찰</t>
  </si>
  <si>
    <t>이해</t>
  </si>
  <si>
    <t>利害</t>
  </si>
  <si>
    <t>이로울 리, 해할 해</t>
  </si>
  <si>
    <t>오만</t>
  </si>
  <si>
    <t>傲慢</t>
  </si>
  <si>
    <t>거만할 오, 게으를 만</t>
  </si>
  <si>
    <t>엄격</t>
  </si>
  <si>
    <t>세속</t>
  </si>
  <si>
    <t>世俗</t>
  </si>
  <si>
    <t>인간 세, 풍속 속</t>
  </si>
  <si>
    <t>구차할 구, 또 차</t>
  </si>
  <si>
    <t>율곡</t>
  </si>
  <si>
    <t>栗谷</t>
  </si>
  <si>
    <t>밤 률, 골 곡</t>
  </si>
  <si>
    <t>아침 조, 고울 선</t>
  </si>
  <si>
    <t>점차</t>
  </si>
  <si>
    <t>漸次</t>
  </si>
  <si>
    <t>점점 점, 차례 차</t>
  </si>
  <si>
    <t>쇠잔</t>
  </si>
  <si>
    <t>衰殘</t>
  </si>
  <si>
    <t>쇠할 쇠, 남을 잔</t>
  </si>
  <si>
    <t>유학</t>
  </si>
  <si>
    <t>儒學</t>
  </si>
  <si>
    <t>선비 유, 배울 학</t>
  </si>
  <si>
    <t>전후</t>
  </si>
  <si>
    <t>戰後</t>
  </si>
  <si>
    <t>싸움 전, 뒤 후</t>
  </si>
  <si>
    <t>사화</t>
  </si>
  <si>
    <t>士禍</t>
  </si>
  <si>
    <t>선비 사, 재앙 화</t>
  </si>
  <si>
    <t>출사</t>
  </si>
  <si>
    <t>出仕</t>
  </si>
  <si>
    <t>날 출, 벼슬 사</t>
  </si>
  <si>
    <t>몰두</t>
  </si>
  <si>
    <t>沒頭</t>
  </si>
  <si>
    <t>빠질 몰, 머리 두</t>
  </si>
  <si>
    <t>관용</t>
  </si>
  <si>
    <t>寬容</t>
  </si>
  <si>
    <t>너그러울 관, 얼굴 용</t>
  </si>
  <si>
    <t>준법</t>
  </si>
  <si>
    <t>遵法</t>
  </si>
  <si>
    <t>좇을 준, 법 법</t>
  </si>
  <si>
    <t>비만</t>
  </si>
  <si>
    <t>肥滿</t>
  </si>
  <si>
    <t>살찔 비, 가득할 만</t>
  </si>
  <si>
    <t>신 리, 닦을 수</t>
  </si>
  <si>
    <t>신축</t>
  </si>
  <si>
    <t>伸縮</t>
  </si>
  <si>
    <t>펼 신, 줄어들 축</t>
  </si>
  <si>
    <t>첨예</t>
  </si>
  <si>
    <t>尖銳</t>
  </si>
  <si>
    <t>뾰족할 첨, 날카로울 예</t>
  </si>
  <si>
    <t>확충</t>
  </si>
  <si>
    <t>擴充</t>
  </si>
  <si>
    <t>넓힐 확, 채울 충</t>
  </si>
  <si>
    <t>끌 제, 이바지할 공</t>
  </si>
  <si>
    <t>색인</t>
  </si>
  <si>
    <t>索引</t>
  </si>
  <si>
    <t>찾을 색, 끌 인</t>
  </si>
  <si>
    <t>악취</t>
  </si>
  <si>
    <t>惡臭</t>
  </si>
  <si>
    <t>악할 악, 냄새 취</t>
  </si>
  <si>
    <t>귀밝을 총, 밝을 명</t>
  </si>
  <si>
    <t>도약</t>
  </si>
  <si>
    <t>跳躍</t>
  </si>
  <si>
    <t>뛸 도, 뛸 약</t>
  </si>
  <si>
    <t>기피</t>
  </si>
  <si>
    <t>忌避</t>
  </si>
  <si>
    <t>꺼릴 기, 피할 피</t>
  </si>
  <si>
    <t>졸속</t>
  </si>
  <si>
    <t>拙速</t>
  </si>
  <si>
    <t>옹졸할 졸, 빠를 속</t>
  </si>
  <si>
    <t>표류</t>
  </si>
  <si>
    <t>격차</t>
  </si>
  <si>
    <t>隔差</t>
  </si>
  <si>
    <t>사이 뜰 격, 어긋날 차</t>
  </si>
  <si>
    <t>중요</t>
  </si>
  <si>
    <t>重要</t>
  </si>
  <si>
    <t>무거울 중, 요긴할 요</t>
  </si>
  <si>
    <t>덕목</t>
  </si>
  <si>
    <t>德目</t>
  </si>
  <si>
    <t>큰 덕, 눈 목</t>
  </si>
  <si>
    <t>형벌</t>
  </si>
  <si>
    <t>刑罰</t>
  </si>
  <si>
    <t>형벌 형, 벌할 벌</t>
  </si>
  <si>
    <t>법령</t>
  </si>
  <si>
    <t>法令</t>
  </si>
  <si>
    <t>법 법, 하여금 령</t>
  </si>
  <si>
    <t>비교</t>
  </si>
  <si>
    <t>比較</t>
  </si>
  <si>
    <t>견줄 비, 견줄 교</t>
  </si>
  <si>
    <t>감성</t>
  </si>
  <si>
    <t>感性</t>
  </si>
  <si>
    <t>느낄 감, 성품 성</t>
  </si>
  <si>
    <t>조직</t>
  </si>
  <si>
    <t>組織</t>
  </si>
  <si>
    <t>짤 조, 짤 직</t>
  </si>
  <si>
    <t>향기</t>
  </si>
  <si>
    <t>香氣</t>
  </si>
  <si>
    <t>향기 향, 기운 기</t>
  </si>
  <si>
    <t>격정</t>
  </si>
  <si>
    <t>激情</t>
  </si>
  <si>
    <t>격할 격, 뜻 정</t>
  </si>
  <si>
    <t>변화</t>
  </si>
  <si>
    <t>變化</t>
  </si>
  <si>
    <t>변할 변, 될 화</t>
  </si>
  <si>
    <t>시기</t>
  </si>
  <si>
    <t>時期</t>
  </si>
  <si>
    <t>때 시, 기약할 기</t>
  </si>
  <si>
    <t>최고</t>
  </si>
  <si>
    <t>最高</t>
  </si>
  <si>
    <t>가장 최, 높을 고</t>
  </si>
  <si>
    <t>사표</t>
  </si>
  <si>
    <t>師表</t>
  </si>
  <si>
    <t>스승 사, 겉 표</t>
  </si>
  <si>
    <t>불혹</t>
  </si>
  <si>
    <t>不惑</t>
  </si>
  <si>
    <t>아닐 불, 미혹할 혹</t>
  </si>
  <si>
    <t>대부</t>
  </si>
  <si>
    <t>大夫</t>
  </si>
  <si>
    <t>큰 대, 사내 부</t>
  </si>
  <si>
    <t>공직</t>
  </si>
  <si>
    <t>公職</t>
  </si>
  <si>
    <t>공평할 공, 직분 직</t>
  </si>
  <si>
    <t>꾀할 모, 빠질 함</t>
  </si>
  <si>
    <t>방랑</t>
  </si>
  <si>
    <t>放浪</t>
  </si>
  <si>
    <t>놓을 방, 물결 랑</t>
  </si>
  <si>
    <t>굳셀 건, 편안할 강</t>
  </si>
  <si>
    <t>고집</t>
  </si>
  <si>
    <t>固執</t>
  </si>
  <si>
    <t>굳을 고, 잡을 집</t>
  </si>
  <si>
    <t>편견</t>
  </si>
  <si>
    <t>偏見</t>
  </si>
  <si>
    <t>치우칠 편, 볼 견</t>
  </si>
  <si>
    <t>명예</t>
  </si>
  <si>
    <t>名譽</t>
  </si>
  <si>
    <t>이름 명, 기릴 예</t>
  </si>
  <si>
    <t>화두</t>
  </si>
  <si>
    <t>話頭</t>
  </si>
  <si>
    <t>말씀 화, 머리 두</t>
  </si>
  <si>
    <t>의지</t>
  </si>
  <si>
    <t>意志</t>
  </si>
  <si>
    <t>뜻 의, 뜻 지</t>
  </si>
  <si>
    <t>주체</t>
  </si>
  <si>
    <t>主體</t>
  </si>
  <si>
    <t>주인 주, 몸 체</t>
  </si>
  <si>
    <t>과시</t>
  </si>
  <si>
    <t>誇示</t>
  </si>
  <si>
    <t>자랑할 과, 보일 시</t>
  </si>
  <si>
    <t>원리</t>
  </si>
  <si>
    <t>原理</t>
  </si>
  <si>
    <t>근원 원, 다스릴 리</t>
  </si>
  <si>
    <t>군림</t>
  </si>
  <si>
    <t>君臨</t>
  </si>
  <si>
    <t>임금 군, 임할 림</t>
  </si>
  <si>
    <t>열연</t>
  </si>
  <si>
    <t>熱演</t>
  </si>
  <si>
    <t>더울 열, 펼 연</t>
  </si>
  <si>
    <t>관중</t>
  </si>
  <si>
    <t>觀衆</t>
  </si>
  <si>
    <t>볼 관, 무리 중</t>
  </si>
  <si>
    <t>격찬</t>
  </si>
  <si>
    <t>激讚</t>
  </si>
  <si>
    <t>격할 격, 기릴 찬</t>
  </si>
  <si>
    <t>도로</t>
  </si>
  <si>
    <t>道路</t>
  </si>
  <si>
    <t>길 도, 길 로</t>
  </si>
  <si>
    <t>통행</t>
  </si>
  <si>
    <t>通行</t>
  </si>
  <si>
    <t>통할 통, 다닐 행</t>
  </si>
  <si>
    <t>정체</t>
  </si>
  <si>
    <t>停滯</t>
  </si>
  <si>
    <t>머무를 정, 막힐 체</t>
  </si>
  <si>
    <t>상태</t>
  </si>
  <si>
    <t>狀態</t>
  </si>
  <si>
    <t>형상 상, 모습 태</t>
  </si>
  <si>
    <t>대폭</t>
  </si>
  <si>
    <t>大幅</t>
  </si>
  <si>
    <t>큰 대, 너비 폭</t>
  </si>
  <si>
    <t>고려</t>
  </si>
  <si>
    <t>高麗</t>
  </si>
  <si>
    <t>높을 고, 고울 려</t>
  </si>
  <si>
    <t>대표</t>
  </si>
  <si>
    <t>代表</t>
  </si>
  <si>
    <t>대신할 대, 겉 표</t>
  </si>
  <si>
    <t>예술품</t>
  </si>
  <si>
    <t>藝術品</t>
  </si>
  <si>
    <t>재주 예, 재주 술, 물건 품</t>
  </si>
  <si>
    <t>가지 조, 건수 건</t>
  </si>
  <si>
    <t>성실</t>
  </si>
  <si>
    <t>誠實</t>
  </si>
  <si>
    <t>정성 성, 열매 실</t>
  </si>
  <si>
    <t>임원</t>
  </si>
  <si>
    <t>任員</t>
  </si>
  <si>
    <t>맡길 임, 수효 원</t>
  </si>
  <si>
    <t>자산</t>
  </si>
  <si>
    <t>資産</t>
  </si>
  <si>
    <t>재물 자, 낳을 산</t>
  </si>
  <si>
    <t>선수</t>
  </si>
  <si>
    <t>選手</t>
  </si>
  <si>
    <t>가릴 선, 손 수</t>
  </si>
  <si>
    <t>재기</t>
  </si>
  <si>
    <t>再起</t>
  </si>
  <si>
    <t>다시 재, 일어날 기</t>
  </si>
  <si>
    <t>창조</t>
  </si>
  <si>
    <t>創造</t>
  </si>
  <si>
    <t>비로소 창, 지을 조</t>
  </si>
  <si>
    <t>건설</t>
  </si>
  <si>
    <t>냉기</t>
  </si>
  <si>
    <t>冷氣</t>
  </si>
  <si>
    <t>차가울 랭, 기운 기</t>
  </si>
  <si>
    <t>형광등</t>
  </si>
  <si>
    <t>螢光燈</t>
  </si>
  <si>
    <t>개똥벌레 형, 빛 광, 등잔 등</t>
  </si>
  <si>
    <t>시간</t>
  </si>
  <si>
    <t>時間</t>
  </si>
  <si>
    <t>때 시, 사이 간</t>
  </si>
  <si>
    <t>세기</t>
  </si>
  <si>
    <t>世紀</t>
  </si>
  <si>
    <t>대 세, 벼리 기</t>
  </si>
  <si>
    <t>기사</t>
  </si>
  <si>
    <t>騎士</t>
  </si>
  <si>
    <t>말탈 기, 선비 사</t>
  </si>
  <si>
    <t>진실</t>
  </si>
  <si>
    <t>真實</t>
  </si>
  <si>
    <t>참 진, 열매 실</t>
  </si>
  <si>
    <t>禮儀</t>
  </si>
  <si>
    <t>예도 례, 거동 의</t>
  </si>
  <si>
    <t>야당</t>
  </si>
  <si>
    <t>野黨</t>
  </si>
  <si>
    <t>들 야, 무리 당</t>
  </si>
  <si>
    <t>우롱</t>
  </si>
  <si>
    <t>愚弄</t>
  </si>
  <si>
    <t>어리석을 우, 희롱할 롱</t>
  </si>
  <si>
    <t>촌평</t>
  </si>
  <si>
    <t>寸評</t>
  </si>
  <si>
    <t>마디 촌, 평할 평</t>
  </si>
  <si>
    <t>갈 연, 구비할 구</t>
  </si>
  <si>
    <t>발군</t>
  </si>
  <si>
    <t>拔群</t>
  </si>
  <si>
    <t>뽑을 발, 무리 군</t>
  </si>
  <si>
    <t>교육</t>
  </si>
  <si>
    <t>教育</t>
  </si>
  <si>
    <t>가르칠 교, 기를 육</t>
  </si>
  <si>
    <t>수준</t>
  </si>
  <si>
    <t>水準</t>
  </si>
  <si>
    <t>물 수, 평평할 준</t>
  </si>
  <si>
    <t>다스릴 정, 다스릴 치</t>
  </si>
  <si>
    <t>겸양</t>
  </si>
  <si>
    <t>謙讓</t>
  </si>
  <si>
    <t>겸손할 겸, 사양할 양</t>
  </si>
  <si>
    <t>역사</t>
  </si>
  <si>
    <t>歷史</t>
  </si>
  <si>
    <t>지낼 력, 사기 사</t>
  </si>
  <si>
    <t>권선</t>
  </si>
  <si>
    <t>勸善</t>
  </si>
  <si>
    <t>권할 권, 착할 선</t>
  </si>
  <si>
    <t>징악</t>
  </si>
  <si>
    <t>懲惡</t>
  </si>
  <si>
    <t>응징할 징, 악할 악</t>
  </si>
  <si>
    <t>가치</t>
  </si>
  <si>
    <t>價值</t>
  </si>
  <si>
    <t>값 가, 값 치</t>
  </si>
  <si>
    <t>생동감</t>
  </si>
  <si>
    <t>生動感</t>
  </si>
  <si>
    <t>날 생, 움직일 동, 느낄 감</t>
  </si>
  <si>
    <t>賦與</t>
  </si>
  <si>
    <t>구실 부, 줄 여</t>
  </si>
  <si>
    <t>거느릴 령, 지경 역</t>
  </si>
  <si>
    <t>조어원</t>
  </si>
  <si>
    <t>造語源</t>
  </si>
  <si>
    <t>지을 조, 말씀 어, 근원 원</t>
  </si>
  <si>
    <t>지적</t>
  </si>
  <si>
    <t>指摘</t>
  </si>
  <si>
    <t>가리킬 지, 딸 적</t>
  </si>
  <si>
    <t>광막</t>
  </si>
  <si>
    <t>廣漠</t>
  </si>
  <si>
    <t>넓을 광, 넓을 막</t>
  </si>
  <si>
    <t>부응</t>
  </si>
  <si>
    <t>副應</t>
  </si>
  <si>
    <t>버금 부, 응할 응</t>
  </si>
  <si>
    <t>윤택</t>
  </si>
  <si>
    <t>潤澤</t>
  </si>
  <si>
    <t>윤택할 윤, 못 택</t>
  </si>
  <si>
    <t>의미</t>
  </si>
  <si>
    <t>意味</t>
  </si>
  <si>
    <t>뜻 의, 맛 미</t>
  </si>
  <si>
    <t>구호</t>
  </si>
  <si>
    <t>口號</t>
  </si>
  <si>
    <t>입 구, 이름 호</t>
  </si>
  <si>
    <t>나열</t>
  </si>
  <si>
    <t>羅列</t>
  </si>
  <si>
    <t>그물 라, 벌릴 렬</t>
  </si>
  <si>
    <t>편중</t>
  </si>
  <si>
    <t>偏重</t>
  </si>
  <si>
    <t>치우칠 편, 무거울 중</t>
  </si>
  <si>
    <t>구조</t>
  </si>
  <si>
    <t>構造</t>
  </si>
  <si>
    <t>얽을 구, 지을 조</t>
  </si>
  <si>
    <t>한계</t>
  </si>
  <si>
    <t>限界</t>
  </si>
  <si>
    <t>한계 한, 지경 계</t>
  </si>
  <si>
    <t>익힐 습, 버릇 관</t>
  </si>
  <si>
    <t>성격</t>
  </si>
  <si>
    <t>性格</t>
  </si>
  <si>
    <t>성품 성, 격식 격</t>
  </si>
  <si>
    <t>아동</t>
  </si>
  <si>
    <t>兒童</t>
  </si>
  <si>
    <t>아이 아, 아이 동</t>
  </si>
  <si>
    <t>지형</t>
  </si>
  <si>
    <t>地形</t>
  </si>
  <si>
    <t>땅 지, 형상 형</t>
  </si>
  <si>
    <t>강할 강, 떨릴 진</t>
  </si>
  <si>
    <t>확률</t>
  </si>
  <si>
    <t>確率</t>
  </si>
  <si>
    <t>굳을 확, 비율 률</t>
  </si>
  <si>
    <t>입증</t>
  </si>
  <si>
    <t>立證</t>
  </si>
  <si>
    <t>설 립, 증거 증</t>
  </si>
  <si>
    <t>믿을 량, 풀 해</t>
  </si>
  <si>
    <t>적극</t>
  </si>
  <si>
    <t>積極</t>
  </si>
  <si>
    <t>쌓을 적, 다할 극</t>
  </si>
  <si>
    <t>협조</t>
  </si>
  <si>
    <t>協助</t>
  </si>
  <si>
    <t>도울 협, 도울 조</t>
  </si>
  <si>
    <t>요청</t>
  </si>
  <si>
    <t>要請</t>
  </si>
  <si>
    <t>요긴할 요, 청할 청</t>
  </si>
  <si>
    <t>열심</t>
  </si>
  <si>
    <t>熱心</t>
  </si>
  <si>
    <t>더울 열, 마음 심</t>
  </si>
  <si>
    <t>설득</t>
  </si>
  <si>
    <t>說得</t>
  </si>
  <si>
    <t>말씀 설, 얻을 득</t>
  </si>
  <si>
    <t>믿을 신, 의지할 뢰</t>
  </si>
  <si>
    <t>상실</t>
  </si>
  <si>
    <t>잃을 상, 잃을 실</t>
  </si>
  <si>
    <t>위기</t>
  </si>
  <si>
    <t>危機</t>
  </si>
  <si>
    <t>위태할 위, 틀 기</t>
  </si>
  <si>
    <t>징조</t>
  </si>
  <si>
    <t>徵兆</t>
  </si>
  <si>
    <t>부를 징, 조짐 조</t>
  </si>
  <si>
    <t>자식</t>
  </si>
  <si>
    <t>子息</t>
  </si>
  <si>
    <t>아들 자, 숨쉴 식</t>
  </si>
  <si>
    <t>보호</t>
  </si>
  <si>
    <t>保護</t>
  </si>
  <si>
    <t>지킬 보, 도울 호</t>
  </si>
  <si>
    <t>청결</t>
  </si>
  <si>
    <t>清潔</t>
  </si>
  <si>
    <t>맑을 청, 깨끗할 결</t>
  </si>
  <si>
    <t>세안</t>
  </si>
  <si>
    <t>洗顔</t>
  </si>
  <si>
    <t>씻을 세, 얼굴 안</t>
  </si>
  <si>
    <t>함흥</t>
  </si>
  <si>
    <t>咸興</t>
  </si>
  <si>
    <t>다 함, 일어날 흥</t>
  </si>
  <si>
    <t>차사</t>
  </si>
  <si>
    <t>差使</t>
  </si>
  <si>
    <t>어긋날 차, 하여금 사</t>
  </si>
  <si>
    <t>배경</t>
  </si>
  <si>
    <t>背景</t>
  </si>
  <si>
    <t>등 배, 볕 경</t>
  </si>
  <si>
    <t>주목</t>
  </si>
  <si>
    <t>注目</t>
  </si>
  <si>
    <t>부을 주, 눈 목</t>
  </si>
  <si>
    <t>기해</t>
  </si>
  <si>
    <t>己亥</t>
  </si>
  <si>
    <t>몸 기, 돼지 해</t>
  </si>
  <si>
    <t>복제</t>
  </si>
  <si>
    <t>服制</t>
  </si>
  <si>
    <t>옷 복, 절제할 제</t>
  </si>
  <si>
    <t>장지</t>
  </si>
  <si>
    <t>葬地</t>
  </si>
  <si>
    <t>장사지낼 장, 땅 지</t>
  </si>
  <si>
    <t>예송</t>
  </si>
  <si>
    <t>禮訟</t>
  </si>
  <si>
    <t>예도 례, 송사할 송</t>
  </si>
  <si>
    <t>곤경</t>
  </si>
  <si>
    <t>困境</t>
  </si>
  <si>
    <t>곤할 곤, 지경 경</t>
  </si>
  <si>
    <t>여사</t>
  </si>
  <si>
    <t>旅舍</t>
  </si>
  <si>
    <t>나그네 려, 집 사</t>
  </si>
  <si>
    <t>간곡</t>
  </si>
  <si>
    <t>懇曲</t>
  </si>
  <si>
    <t>간절할 건, 굽을 곡</t>
  </si>
  <si>
    <t>사직</t>
  </si>
  <si>
    <t>辭職</t>
  </si>
  <si>
    <t>말씀 사, 직분 직</t>
  </si>
  <si>
    <t>대비</t>
  </si>
  <si>
    <t>大妃</t>
  </si>
  <si>
    <t>큰 대, 왕비 비</t>
  </si>
  <si>
    <t>파동</t>
  </si>
  <si>
    <t>波動</t>
  </si>
  <si>
    <t>물결 파, 움직일 동</t>
  </si>
  <si>
    <t>당쟁</t>
  </si>
  <si>
    <t>黨爭</t>
  </si>
  <si>
    <t>무리 당, 다툴 쟁</t>
  </si>
  <si>
    <t>제물</t>
  </si>
  <si>
    <t>祭物</t>
  </si>
  <si>
    <t>제사 제, 물건 품</t>
  </si>
  <si>
    <t>처형</t>
  </si>
  <si>
    <t>處刑</t>
  </si>
  <si>
    <t>곳 처, 형벌 형</t>
  </si>
  <si>
    <t>암투</t>
  </si>
  <si>
    <t>暗鬪</t>
  </si>
  <si>
    <t>어두울 암, 싸울 투</t>
  </si>
  <si>
    <t>모략</t>
  </si>
  <si>
    <t>謀略</t>
  </si>
  <si>
    <t>꾀할 모, 다스릴 략</t>
  </si>
  <si>
    <t>제신</t>
  </si>
  <si>
    <t>諸臣</t>
  </si>
  <si>
    <t>모두 제, 신하 신</t>
  </si>
  <si>
    <t>강론</t>
  </si>
  <si>
    <t>講論</t>
  </si>
  <si>
    <t>익힐 강, 논할 론</t>
  </si>
  <si>
    <t>진작</t>
  </si>
  <si>
    <t>振作</t>
  </si>
  <si>
    <t>떨칠 진, 지을 조</t>
  </si>
  <si>
    <t>무단</t>
  </si>
  <si>
    <t>武斷</t>
  </si>
  <si>
    <t>호반 무, 끊을 단</t>
  </si>
  <si>
    <t>청산</t>
  </si>
  <si>
    <t>清算</t>
  </si>
  <si>
    <t>맑을 청, 셈 산</t>
  </si>
  <si>
    <t>발현</t>
  </si>
  <si>
    <t>發現</t>
  </si>
  <si>
    <t>필 발, 나타날 현</t>
  </si>
  <si>
    <t>근육질</t>
  </si>
  <si>
    <t>筋肉質</t>
  </si>
  <si>
    <t>힘줄 근, 고기 육, 바탕 질</t>
  </si>
  <si>
    <t>단상</t>
  </si>
  <si>
    <t>壇上</t>
  </si>
  <si>
    <t>단 단, 위 상</t>
  </si>
  <si>
    <t>순서</t>
  </si>
  <si>
    <t>順序</t>
  </si>
  <si>
    <t>순할 순, 차례 서</t>
  </si>
  <si>
    <t>오차</t>
  </si>
  <si>
    <t>誤差</t>
  </si>
  <si>
    <t>그릇될 오, 어긋날 차</t>
  </si>
  <si>
    <t>정연</t>
  </si>
  <si>
    <t>整然</t>
  </si>
  <si>
    <t>가지런할 정, 그러할 연</t>
  </si>
  <si>
    <t>청중</t>
  </si>
  <si>
    <t>聽眾</t>
  </si>
  <si>
    <t>들을 청, 무리 중</t>
  </si>
  <si>
    <t>지휘</t>
  </si>
  <si>
    <t>指揮</t>
  </si>
  <si>
    <t>가리킬 지, 휘두를 휘</t>
  </si>
  <si>
    <t>연주</t>
  </si>
  <si>
    <t>演奏</t>
  </si>
  <si>
    <t>펼 연, 아뢸 주</t>
  </si>
  <si>
    <t>주시</t>
  </si>
  <si>
    <t>注視</t>
  </si>
  <si>
    <t>부을 주, 볼 시</t>
  </si>
  <si>
    <t>폭우</t>
  </si>
  <si>
    <t>暴雨</t>
  </si>
  <si>
    <t>사나울 폭, 비 우</t>
  </si>
  <si>
    <t>이직률</t>
  </si>
  <si>
    <t>離職率</t>
  </si>
  <si>
    <t>떠날 리, 직분 직, 비율 률</t>
  </si>
  <si>
    <t>과감</t>
  </si>
  <si>
    <t>果敢</t>
  </si>
  <si>
    <t>열매 과, 감히 감</t>
  </si>
  <si>
    <t>확신</t>
  </si>
  <si>
    <t>確信</t>
  </si>
  <si>
    <t>굳을 확, 믿을 신</t>
  </si>
  <si>
    <t>체취</t>
  </si>
  <si>
    <t>體臭</t>
  </si>
  <si>
    <t>몸 체, 냄새 취</t>
  </si>
  <si>
    <t>낙도</t>
  </si>
  <si>
    <t>落島</t>
  </si>
  <si>
    <t>떨어질 락, 섬 도</t>
  </si>
  <si>
    <t>자매</t>
  </si>
  <si>
    <t>姉妹</t>
  </si>
  <si>
    <t>손윗누이 자, 손아랫누이 매</t>
  </si>
  <si>
    <t>결연</t>
  </si>
  <si>
    <t>結緣</t>
  </si>
  <si>
    <t>맺을 결, 인연 연</t>
  </si>
  <si>
    <t>온천</t>
  </si>
  <si>
    <t>溫泉</t>
  </si>
  <si>
    <t>따뜻할 온, 샘 천</t>
  </si>
  <si>
    <t>유람</t>
  </si>
  <si>
    <t>遊覽</t>
  </si>
  <si>
    <t>놀 유, 볼 람</t>
  </si>
  <si>
    <t>시설</t>
  </si>
  <si>
    <t>施設</t>
  </si>
  <si>
    <t>베풀 시, 베풀 설</t>
  </si>
  <si>
    <t>패배</t>
  </si>
  <si>
    <t>敗北</t>
  </si>
  <si>
    <t>패할 패, 북녘 북</t>
  </si>
  <si>
    <t>책임</t>
  </si>
  <si>
    <t>責任</t>
  </si>
  <si>
    <t>꾸짖을 책, 맡길 임</t>
  </si>
  <si>
    <t>쌀 미, 목숨 수</t>
  </si>
  <si>
    <t>하연</t>
  </si>
  <si>
    <t>賀宴</t>
  </si>
  <si>
    <t>하례할 하, 잔치 연</t>
  </si>
  <si>
    <t>격의</t>
  </si>
  <si>
    <t>隔意</t>
  </si>
  <si>
    <t>사이 뜰 격, 뜻 의</t>
  </si>
  <si>
    <t>우정</t>
  </si>
  <si>
    <t>友情</t>
  </si>
  <si>
    <t>벗 우, 뜻 정</t>
  </si>
  <si>
    <t>만추</t>
  </si>
  <si>
    <t>晚秋</t>
  </si>
  <si>
    <t>늦을 만, 가을 추</t>
  </si>
  <si>
    <t>낙엽</t>
  </si>
  <si>
    <t>落葉</t>
  </si>
  <si>
    <t>떨어질 락, 잎 엽</t>
  </si>
  <si>
    <t>孤寂</t>
  </si>
  <si>
    <t>외로울 고, 고요할 적</t>
  </si>
  <si>
    <t>유행</t>
  </si>
  <si>
    <t>流行</t>
  </si>
  <si>
    <t>흐를 류, 다닐 행</t>
  </si>
  <si>
    <t>비속</t>
  </si>
  <si>
    <t>넓힐 확, 흩어질 산</t>
  </si>
  <si>
    <t>절망</t>
  </si>
  <si>
    <t>絶望</t>
  </si>
  <si>
    <t>끊을 절, 바랄 망</t>
  </si>
  <si>
    <t>난관</t>
  </si>
  <si>
    <t>難關</t>
  </si>
  <si>
    <t>어려울 난, 빗장 관</t>
  </si>
  <si>
    <t>현명</t>
  </si>
  <si>
    <t>賢明</t>
  </si>
  <si>
    <t>어질 현, 밝을 명</t>
  </si>
  <si>
    <t>태도</t>
  </si>
  <si>
    <t>態度</t>
  </si>
  <si>
    <t>모습 태, 법도 도</t>
  </si>
  <si>
    <t>연면</t>
  </si>
  <si>
    <t>連綿</t>
  </si>
  <si>
    <t>이을 련, 이을 면</t>
  </si>
  <si>
    <t>확인</t>
  </si>
  <si>
    <t>確認</t>
  </si>
  <si>
    <t>굳을 확, 알 인</t>
  </si>
  <si>
    <t>무조건</t>
  </si>
  <si>
    <t>無條件</t>
  </si>
  <si>
    <t>없을 무, 가지 조, 건수 건</t>
  </si>
  <si>
    <t>성찰</t>
  </si>
  <si>
    <t>省察</t>
  </si>
  <si>
    <t>살필 성, 살필 찰</t>
  </si>
  <si>
    <t>계기</t>
  </si>
  <si>
    <t>契機</t>
  </si>
  <si>
    <t>맺을 계, 틀 기</t>
  </si>
  <si>
    <t>고를 조, 화할 화</t>
  </si>
  <si>
    <t>변별</t>
  </si>
  <si>
    <t>辨別</t>
  </si>
  <si>
    <t>분별할 변, 나눌 별</t>
  </si>
  <si>
    <t>지혜</t>
  </si>
  <si>
    <t>智慧</t>
  </si>
  <si>
    <t>알 지, 슬기로울 혜</t>
  </si>
  <si>
    <t>집단</t>
  </si>
  <si>
    <t>集團</t>
  </si>
  <si>
    <t>모을 집, 둥글 단</t>
  </si>
  <si>
    <t>유사성</t>
  </si>
  <si>
    <t>類似性</t>
  </si>
  <si>
    <t>무리 류, 닮을 사, 성품 성</t>
  </si>
  <si>
    <t>초래</t>
  </si>
  <si>
    <t>招來</t>
  </si>
  <si>
    <t>부를 초, 올 래</t>
  </si>
  <si>
    <t>불과</t>
  </si>
  <si>
    <t>不過</t>
  </si>
  <si>
    <t>아닐 불, 지날 과</t>
  </si>
  <si>
    <t>간결</t>
  </si>
  <si>
    <t>簡潔</t>
  </si>
  <si>
    <t>대쪽 간, 깨끗할 결</t>
  </si>
  <si>
    <t>영원</t>
  </si>
  <si>
    <t>永遠</t>
  </si>
  <si>
    <t>길 영, 멀 원</t>
  </si>
  <si>
    <t>신비</t>
  </si>
  <si>
    <t>神秘</t>
  </si>
  <si>
    <t>귀신 신, 숨길 비</t>
  </si>
  <si>
    <t>불쌍히 여길 련, 불쌍히 여길 민</t>
  </si>
  <si>
    <t>안일</t>
  </si>
  <si>
    <t>安逸</t>
  </si>
  <si>
    <t>편안할 안, 편안할 일</t>
  </si>
  <si>
    <t>애착</t>
  </si>
  <si>
    <t>愛着</t>
  </si>
  <si>
    <t>사랑할 애, 붙을 착</t>
  </si>
  <si>
    <t>흥행</t>
  </si>
  <si>
    <t>興行</t>
  </si>
  <si>
    <t>일어날 흥, 다닐 행</t>
  </si>
  <si>
    <t>바칠 공, 드릴 헌</t>
  </si>
  <si>
    <t>멜 하, 무거울 중</t>
  </si>
  <si>
    <t>여러 서, 백성 민</t>
  </si>
  <si>
    <t>계층</t>
  </si>
  <si>
    <t>階層</t>
  </si>
  <si>
    <t>섬돌 계, 층 층</t>
  </si>
  <si>
    <t>다할 극, 다할 진</t>
  </si>
  <si>
    <t>예술</t>
  </si>
  <si>
    <t>藝術</t>
  </si>
  <si>
    <t>재주 예, 재주 술</t>
  </si>
  <si>
    <t>초기</t>
  </si>
  <si>
    <t>初期</t>
  </si>
  <si>
    <t>처음 초, 기약할 기</t>
  </si>
  <si>
    <t>계몽</t>
  </si>
  <si>
    <t>啓蒙</t>
  </si>
  <si>
    <t>열 계, 어두울 몽</t>
  </si>
  <si>
    <t>사상</t>
  </si>
  <si>
    <t>思想</t>
  </si>
  <si>
    <t>생각 사, 생각 상</t>
  </si>
  <si>
    <t>감정</t>
  </si>
  <si>
    <t>感情</t>
  </si>
  <si>
    <t>느낄 감, 뜻 정</t>
  </si>
  <si>
    <t>强調</t>
  </si>
  <si>
    <t>오락</t>
  </si>
  <si>
    <t>娛樂</t>
  </si>
  <si>
    <t>즐길 오, 즐거울 락</t>
  </si>
  <si>
    <t>거울 감, 상줄 상</t>
  </si>
  <si>
    <t>지극</t>
  </si>
  <si>
    <t>至極</t>
  </si>
  <si>
    <t>이를 지, 다할 극</t>
  </si>
  <si>
    <t>험난</t>
  </si>
  <si>
    <t>險難</t>
  </si>
  <si>
    <t>험할 험, 어려울 난</t>
  </si>
  <si>
    <t>외세</t>
  </si>
  <si>
    <t>外勢</t>
  </si>
  <si>
    <t>바깥 외, 형세 세</t>
  </si>
  <si>
    <t>압박</t>
  </si>
  <si>
    <t>壓迫</t>
  </si>
  <si>
    <t>누를 압, 핍박할 박</t>
  </si>
  <si>
    <t>통치</t>
  </si>
  <si>
    <t>統治</t>
  </si>
  <si>
    <t>거느릴 통, 다스릴 치</t>
  </si>
  <si>
    <t>정리</t>
  </si>
  <si>
    <t>整理</t>
  </si>
  <si>
    <t>가지런할 정, 다스릴 리</t>
  </si>
  <si>
    <t>보급</t>
  </si>
  <si>
    <t>普及</t>
  </si>
  <si>
    <t>널리 펼 보, 미칠 급</t>
  </si>
  <si>
    <t>낳을 탄, 날 생</t>
  </si>
  <si>
    <t>주권</t>
  </si>
  <si>
    <t>主權</t>
  </si>
  <si>
    <t>임금 주, 권세 권</t>
  </si>
  <si>
    <t>등장</t>
  </si>
  <si>
    <t>登場</t>
  </si>
  <si>
    <t>오를 등, 마당 장</t>
  </si>
  <si>
    <t>비판</t>
  </si>
  <si>
    <t>批判</t>
  </si>
  <si>
    <t>비평할 비, 판단할 판</t>
  </si>
  <si>
    <t>부담</t>
  </si>
  <si>
    <t>負擔</t>
  </si>
  <si>
    <t>질 부, 메일 담</t>
  </si>
  <si>
    <t>증가</t>
  </si>
  <si>
    <t>착오</t>
  </si>
  <si>
    <t>錯誤</t>
  </si>
  <si>
    <t>섞일 착, 그르칠 오</t>
  </si>
  <si>
    <t>발상</t>
  </si>
  <si>
    <t>發想</t>
  </si>
  <si>
    <t>필 발, 생각 상</t>
  </si>
  <si>
    <t>수레 여, 의논할 론</t>
  </si>
  <si>
    <t>기준</t>
  </si>
  <si>
    <t>基準</t>
  </si>
  <si>
    <t>터 기, 법도 준</t>
  </si>
  <si>
    <t>형태</t>
  </si>
  <si>
    <t>形態</t>
  </si>
  <si>
    <t>모양 형, 모양 태</t>
  </si>
  <si>
    <t>혼종</t>
  </si>
  <si>
    <t>混種</t>
  </si>
  <si>
    <t>섞을 혼, 씨앗 종</t>
  </si>
  <si>
    <t>한정할 한, 지경 계</t>
  </si>
  <si>
    <t>관련</t>
  </si>
  <si>
    <t>關聯</t>
  </si>
  <si>
    <t>빗장 관, 이을 련</t>
  </si>
  <si>
    <t>지식</t>
  </si>
  <si>
    <t>知識</t>
  </si>
  <si>
    <t>알 지, 알 식</t>
  </si>
  <si>
    <t>풍부</t>
  </si>
  <si>
    <t>豊富</t>
  </si>
  <si>
    <t>풍성할 풍, 부유할 부</t>
  </si>
  <si>
    <t>재고</t>
  </si>
  <si>
    <t>在庫</t>
  </si>
  <si>
    <t>있을 재, 창고 고</t>
  </si>
  <si>
    <t>減産</t>
  </si>
  <si>
    <t>덜 감, 낳을 산</t>
  </si>
  <si>
    <t>당산</t>
  </si>
  <si>
    <t>堂山</t>
  </si>
  <si>
    <t>집 당, 뫼 산</t>
  </si>
  <si>
    <t>枯死</t>
  </si>
  <si>
    <t>마를 고, 죽을 사</t>
  </si>
  <si>
    <t>불길</t>
  </si>
  <si>
    <t>난방</t>
  </si>
  <si>
    <t>暖房</t>
  </si>
  <si>
    <t>따뜻할 난, 방 방</t>
  </si>
  <si>
    <t>깜짝일 순, 사이 간</t>
  </si>
  <si>
    <t>폭발</t>
  </si>
  <si>
    <t>爆發</t>
  </si>
  <si>
    <t>터질 폭, 필 발</t>
  </si>
  <si>
    <t>화재</t>
  </si>
  <si>
    <t>火災</t>
  </si>
  <si>
    <t>불 화, 재앙 재</t>
  </si>
  <si>
    <t>정교</t>
  </si>
  <si>
    <t>精巧</t>
  </si>
  <si>
    <t>정할 정, 공교할 교</t>
  </si>
  <si>
    <t>화려</t>
  </si>
  <si>
    <t>華麗</t>
  </si>
  <si>
    <t>빛날 화, 고울 려</t>
  </si>
  <si>
    <t>세공</t>
  </si>
  <si>
    <t>細工</t>
  </si>
  <si>
    <t>가늘 세, 장인 공</t>
  </si>
  <si>
    <t>장식품</t>
  </si>
  <si>
    <t>裝飾品</t>
  </si>
  <si>
    <t>꾸밀 장, 꾸밀 식, 물건 품</t>
  </si>
  <si>
    <t>장교복</t>
  </si>
  <si>
    <t>將校服</t>
  </si>
  <si>
    <t>장수 장, 학교 교, 옷 복</t>
  </si>
  <si>
    <t>이을 련, 생각 상</t>
  </si>
  <si>
    <t>번역</t>
  </si>
  <si>
    <t>飜譯</t>
  </si>
  <si>
    <t>번역할 번, 번역할 역</t>
  </si>
  <si>
    <t>창작</t>
  </si>
  <si>
    <t>創作</t>
  </si>
  <si>
    <t>비롯할 창, 지을 작</t>
  </si>
  <si>
    <t>신문</t>
  </si>
  <si>
    <t>新聞</t>
  </si>
  <si>
    <t>새 신, 들을 문</t>
  </si>
  <si>
    <t>자신</t>
  </si>
  <si>
    <t>自身</t>
  </si>
  <si>
    <t>스스로 자, 몸 신</t>
  </si>
  <si>
    <t>재단</t>
  </si>
  <si>
    <t>財團</t>
  </si>
  <si>
    <t>재물 재, 모임 단</t>
  </si>
  <si>
    <t>기부</t>
  </si>
  <si>
    <t>寄附</t>
  </si>
  <si>
    <t>부칠 기, 붙을 부</t>
  </si>
  <si>
    <t>유언</t>
  </si>
  <si>
    <t>遺言</t>
  </si>
  <si>
    <t>남길 유, 말씀 언</t>
  </si>
  <si>
    <t>조명</t>
  </si>
  <si>
    <t>照明</t>
  </si>
  <si>
    <t>비칠 조, 밝을 명</t>
  </si>
  <si>
    <t>의상</t>
  </si>
  <si>
    <t>衣裳</t>
  </si>
  <si>
    <t>옷 의, 치마 상</t>
  </si>
  <si>
    <t>첨삭</t>
  </si>
  <si>
    <t>添削</t>
  </si>
  <si>
    <t>더할 첨, 깎을 삭</t>
  </si>
  <si>
    <t>처서</t>
  </si>
  <si>
    <t>處暑</t>
  </si>
  <si>
    <t>곳 처, 더위 서</t>
  </si>
  <si>
    <t>급서</t>
  </si>
  <si>
    <t>急逝</t>
  </si>
  <si>
    <t>급할 급, 갈 서</t>
  </si>
  <si>
    <t>섭렵</t>
  </si>
  <si>
    <t>涉獵</t>
  </si>
  <si>
    <t>건널 섭, 사냥할 렵</t>
  </si>
  <si>
    <t>여망</t>
  </si>
  <si>
    <t>輿望</t>
  </si>
  <si>
    <t>수레 여, 바랄 망</t>
  </si>
  <si>
    <t>이월</t>
  </si>
  <si>
    <t>移越</t>
  </si>
  <si>
    <t>옮길 이, 넘을 월</t>
  </si>
  <si>
    <t>유구</t>
  </si>
  <si>
    <t>悠久</t>
  </si>
  <si>
    <t>멀 유, 오랠 구</t>
  </si>
  <si>
    <t>우익</t>
  </si>
  <si>
    <t>右翼</t>
  </si>
  <si>
    <t>오른쪽 우, 날개 익</t>
  </si>
  <si>
    <t>쌓을 저, 감출 장</t>
  </si>
  <si>
    <t>진술</t>
  </si>
  <si>
    <t>陳述</t>
  </si>
  <si>
    <t>베풀 진, 차례 술</t>
  </si>
  <si>
    <t>쫓을 축, 가지 조</t>
  </si>
  <si>
    <t>균형</t>
  </si>
  <si>
    <t>均衡</t>
  </si>
  <si>
    <t>고를 균, 저울대 형</t>
  </si>
  <si>
    <t>간청</t>
  </si>
  <si>
    <t>懇請</t>
  </si>
  <si>
    <t>간절할 간, 청할 청</t>
  </si>
  <si>
    <t>묵계</t>
  </si>
  <si>
    <t>默契</t>
  </si>
  <si>
    <t>잠잠할 묵, 맺을 계</t>
  </si>
  <si>
    <t>철권</t>
  </si>
  <si>
    <t>鐵拳</t>
  </si>
  <si>
    <t>쇠 철, 주먹 권</t>
  </si>
  <si>
    <t>고뇌</t>
  </si>
  <si>
    <t>苦惱</t>
  </si>
  <si>
    <t>쓸 고, 번뇌할 뇌</t>
  </si>
  <si>
    <t>아득할 망, 넓을 막</t>
  </si>
  <si>
    <t>상중</t>
  </si>
  <si>
    <t>喪中</t>
  </si>
  <si>
    <t>죽을 상, 가운데 중</t>
  </si>
  <si>
    <t>저금</t>
  </si>
  <si>
    <t>貯金</t>
  </si>
  <si>
    <t>쌓을 저, 쇠 금</t>
  </si>
  <si>
    <t>통장</t>
  </si>
  <si>
    <t>通帳</t>
  </si>
  <si>
    <t>통할 통, 장부 장</t>
  </si>
  <si>
    <t>잔액</t>
  </si>
  <si>
    <t>殘額</t>
  </si>
  <si>
    <t>남을 잔, 금액 액</t>
  </si>
  <si>
    <t>혼사</t>
  </si>
  <si>
    <t>婚사</t>
  </si>
  <si>
    <t>장가들 혼, 일 사</t>
  </si>
  <si>
    <t>혼인 인, 친척 척</t>
  </si>
  <si>
    <t>침묵</t>
  </si>
  <si>
    <t>沈默</t>
  </si>
  <si>
    <t>잠길 침, 잠잠할 묵</t>
  </si>
  <si>
    <t>은폐</t>
  </si>
  <si>
    <t>한해</t>
  </si>
  <si>
    <t>寒害 / 旱害</t>
  </si>
  <si>
    <t>찰 한 / 가물 한, 해할 해</t>
  </si>
  <si>
    <t>근래</t>
  </si>
  <si>
    <t>近來</t>
  </si>
  <si>
    <t>가까울 근, 올 래</t>
  </si>
  <si>
    <t>연방</t>
  </si>
  <si>
    <t>聯邦</t>
  </si>
  <si>
    <t>이을 련, 나라 방</t>
  </si>
  <si>
    <t>所願</t>
  </si>
  <si>
    <t>바 소, 원할 원</t>
  </si>
  <si>
    <t>체모</t>
  </si>
  <si>
    <t>體貌</t>
  </si>
  <si>
    <t>몸 체, 모양 모</t>
  </si>
  <si>
    <t>근원 원, 원고 고</t>
  </si>
  <si>
    <t>독촉</t>
  </si>
  <si>
    <t>督促</t>
  </si>
  <si>
    <t>감독할 독, 재촉할 촉</t>
  </si>
  <si>
    <t>저조</t>
  </si>
  <si>
    <t>低調</t>
  </si>
  <si>
    <t>낮을 저, 고를 조</t>
  </si>
  <si>
    <t>벌채</t>
  </si>
  <si>
    <t>伐採</t>
  </si>
  <si>
    <t>칠 벌, 캘 채</t>
  </si>
  <si>
    <t>생태계</t>
  </si>
  <si>
    <t>生態系</t>
  </si>
  <si>
    <t>날 생, 모습 태, 이을 계</t>
  </si>
  <si>
    <t>침대</t>
  </si>
  <si>
    <t>寢臺</t>
  </si>
  <si>
    <t>잘 침, 대 대</t>
  </si>
  <si>
    <t>따라 죽을 순, 가르칠 교</t>
  </si>
  <si>
    <t>제수</t>
  </si>
  <si>
    <t>祭需</t>
  </si>
  <si>
    <t>제사 제, 구할 수</t>
  </si>
  <si>
    <t>노숙</t>
  </si>
  <si>
    <t>露宿</t>
  </si>
  <si>
    <t>이슬 로, 잘 숙</t>
  </si>
  <si>
    <t>우송</t>
  </si>
  <si>
    <t>郵送</t>
  </si>
  <si>
    <t>우편 우, 보낼 송</t>
  </si>
  <si>
    <t>귀재</t>
  </si>
  <si>
    <t>鬼才</t>
  </si>
  <si>
    <t>귀신 귀, 재주 재</t>
  </si>
  <si>
    <t>태어날 탄, 별 진</t>
  </si>
  <si>
    <t>현판</t>
  </si>
  <si>
    <t>懸板</t>
  </si>
  <si>
    <t>매달 현, 판목 판</t>
  </si>
  <si>
    <t>간척</t>
  </si>
  <si>
    <t>干拓</t>
  </si>
  <si>
    <t>방패 간, 넓힐 척</t>
  </si>
  <si>
    <t>만성</t>
  </si>
  <si>
    <t>慢性</t>
  </si>
  <si>
    <t>거만할 만, 성품 성</t>
  </si>
  <si>
    <t>중재</t>
  </si>
  <si>
    <t>仲裁</t>
  </si>
  <si>
    <t>버금 중, 마를 재</t>
  </si>
  <si>
    <t>해박</t>
  </si>
  <si>
    <t>該博</t>
  </si>
  <si>
    <t>마땅할 해, 넓을 박</t>
  </si>
  <si>
    <t>북위</t>
  </si>
  <si>
    <t>北緯</t>
  </si>
  <si>
    <t>북녘 북, 씨 위</t>
  </si>
  <si>
    <t>운임</t>
  </si>
  <si>
    <t>運賃</t>
  </si>
  <si>
    <t>옮길 운, 품삯 임</t>
  </si>
  <si>
    <t>안을 옹, 도울 호</t>
  </si>
  <si>
    <t>檀紀</t>
  </si>
  <si>
    <t>박달나무 단, 벼리 기</t>
  </si>
  <si>
    <t>양위</t>
  </si>
  <si>
    <t>맡길 위, 맡길 임, 문서 상</t>
  </si>
  <si>
    <t>위통</t>
  </si>
  <si>
    <t>胃痛</t>
  </si>
  <si>
    <t>위 위, 아플 통</t>
  </si>
  <si>
    <t>방역</t>
  </si>
  <si>
    <t>防疫</t>
  </si>
  <si>
    <t>막을 방, 전염병 역</t>
  </si>
  <si>
    <t>할인</t>
  </si>
  <si>
    <t>割引</t>
  </si>
  <si>
    <t>밸 할, 끌 인</t>
  </si>
  <si>
    <t>영인</t>
  </si>
  <si>
    <t>影印</t>
  </si>
  <si>
    <t>그림자 영, 도장 인</t>
  </si>
  <si>
    <t>규칙</t>
  </si>
  <si>
    <t>規則</t>
  </si>
  <si>
    <t>법 규, 법칙 칙</t>
  </si>
  <si>
    <t>순식간</t>
  </si>
  <si>
    <t>瞬息間</t>
  </si>
  <si>
    <t>깜짝일 순, 숨 쉴 식, 사이 간</t>
  </si>
  <si>
    <t>염전</t>
  </si>
  <si>
    <t>鹽田</t>
  </si>
  <si>
    <t>소금 염, 밭 전</t>
  </si>
  <si>
    <t>자외선</t>
  </si>
  <si>
    <t>紫外線</t>
  </si>
  <si>
    <t>자줏빛 자, 바깥 외, 줄 선</t>
  </si>
  <si>
    <t>침체</t>
  </si>
  <si>
    <t>沈滯</t>
  </si>
  <si>
    <t>잠길 침, 막힐 체</t>
  </si>
  <si>
    <t>뜰 부, 날릴 양</t>
  </si>
  <si>
    <t>우환</t>
  </si>
  <si>
    <t>聽衆</t>
  </si>
  <si>
    <t>경탄</t>
  </si>
  <si>
    <t>驚歎</t>
  </si>
  <si>
    <t>놀랄 경, 탄식할 탄</t>
  </si>
  <si>
    <t>찰 랭, 기운 기</t>
  </si>
  <si>
    <t>복개</t>
  </si>
  <si>
    <t>覆蓋</t>
  </si>
  <si>
    <t>덮을 복, 덮을 개</t>
  </si>
  <si>
    <t>누전</t>
  </si>
  <si>
    <t>漏電</t>
  </si>
  <si>
    <t>셀 루, 번개 전</t>
  </si>
  <si>
    <t>설치</t>
  </si>
  <si>
    <t>設置</t>
  </si>
  <si>
    <t>베풀 설, 둘 치</t>
  </si>
  <si>
    <t>의무</t>
  </si>
  <si>
    <t>義務</t>
  </si>
  <si>
    <t>옳을 의, 힘쓸 무</t>
  </si>
  <si>
    <t>쫓을 추, 그리워할 모</t>
  </si>
  <si>
    <t>한미</t>
  </si>
  <si>
    <t>寒微</t>
  </si>
  <si>
    <t>찰 한, 작을 미</t>
  </si>
  <si>
    <t>위인</t>
  </si>
  <si>
    <t>為人</t>
  </si>
  <si>
    <t>할 위, 사람 인</t>
  </si>
  <si>
    <t>신청</t>
  </si>
  <si>
    <t>申請</t>
  </si>
  <si>
    <t>펼 신, 청할 청</t>
  </si>
  <si>
    <t>노고</t>
  </si>
  <si>
    <t>勞苦</t>
  </si>
  <si>
    <t>힘쓸 로, 쓸 고</t>
  </si>
  <si>
    <t>치하</t>
  </si>
  <si>
    <t>致賀</t>
  </si>
  <si>
    <t>이를 치, 하례할 하</t>
  </si>
  <si>
    <t>두터울 후, 대접할 대</t>
  </si>
  <si>
    <t>석연</t>
  </si>
  <si>
    <t>釋然</t>
  </si>
  <si>
    <t>풀 석, 그러할 연</t>
  </si>
  <si>
    <t>맥락</t>
  </si>
  <si>
    <t>脈絡</t>
  </si>
  <si>
    <t>줄기 맥, 이을 락</t>
  </si>
  <si>
    <t>어길 위, 등 배</t>
  </si>
  <si>
    <t>통역</t>
  </si>
  <si>
    <t>通譯</t>
  </si>
  <si>
    <t>통할 통, 통역할 역</t>
  </si>
  <si>
    <t>의궤</t>
  </si>
  <si>
    <t>儀軌</t>
  </si>
  <si>
    <t>거동 의, 수레바퀴 자국 궤</t>
  </si>
  <si>
    <t>임금 주, 재상 재</t>
  </si>
  <si>
    <t>정지</t>
  </si>
  <si>
    <t>整地</t>
  </si>
  <si>
    <t>가지런할 정, 땅 지</t>
  </si>
  <si>
    <t>연출</t>
  </si>
  <si>
    <t>演出</t>
  </si>
  <si>
    <t>펼 연, 날 출</t>
  </si>
  <si>
    <t>일상</t>
  </si>
  <si>
    <t>日常</t>
  </si>
  <si>
    <t>날 일, 항상 상</t>
  </si>
  <si>
    <t>해빙</t>
  </si>
  <si>
    <t>解氷</t>
  </si>
  <si>
    <t>풀 해, 얼음 빙</t>
  </si>
  <si>
    <t>연약</t>
  </si>
  <si>
    <t>軟弱</t>
  </si>
  <si>
    <t>연할 연, 약할 약</t>
  </si>
  <si>
    <t>상징</t>
  </si>
  <si>
    <t>象徵</t>
  </si>
  <si>
    <t>코끼리 상, 부를 징</t>
  </si>
  <si>
    <t>기억</t>
  </si>
  <si>
    <t>검소</t>
  </si>
  <si>
    <t>儉素</t>
  </si>
  <si>
    <t>검소할 검, 본디 소</t>
  </si>
  <si>
    <t>소통할 소, 통할 통</t>
  </si>
  <si>
    <t>무기</t>
  </si>
  <si>
    <t>武器</t>
  </si>
  <si>
    <t>호반 무, 그릇 기</t>
  </si>
  <si>
    <t>이치</t>
  </si>
  <si>
    <t>理致</t>
  </si>
  <si>
    <t>다스릴 리, 이를 치</t>
  </si>
  <si>
    <t>충만</t>
  </si>
  <si>
    <t>充滿</t>
  </si>
  <si>
    <t>채울 충, 찰 만</t>
  </si>
  <si>
    <t>양성</t>
  </si>
  <si>
    <t>養成</t>
  </si>
  <si>
    <t>기를 양, 이룰 성</t>
  </si>
  <si>
    <t>심장</t>
  </si>
  <si>
    <t>心臟</t>
  </si>
  <si>
    <t>마음 심, 장부 장</t>
  </si>
  <si>
    <t>파편</t>
  </si>
  <si>
    <t>破片</t>
  </si>
  <si>
    <t>깨뜨릴 파, 조각 편</t>
  </si>
  <si>
    <t>간절</t>
  </si>
  <si>
    <t>懇切</t>
  </si>
  <si>
    <t>간절할 간, 끊을 절</t>
  </si>
  <si>
    <t>끊을 단, 창자 장</t>
  </si>
  <si>
    <t>순국</t>
  </si>
  <si>
    <t>殉國</t>
  </si>
  <si>
    <t>따라 죽을 순, 나라 국</t>
  </si>
  <si>
    <t>모양 양, 법식 식</t>
  </si>
  <si>
    <t>신령</t>
  </si>
  <si>
    <t>神靈</t>
  </si>
  <si>
    <t>귀신 신, 신령 령</t>
  </si>
  <si>
    <t>오욕</t>
  </si>
  <si>
    <t>汚辱</t>
  </si>
  <si>
    <t>더러울 오, 욕될 욕</t>
  </si>
  <si>
    <t>捕食</t>
  </si>
  <si>
    <t>잡을 포, 먹을 식</t>
  </si>
  <si>
    <t>거절</t>
  </si>
  <si>
    <t>해변</t>
  </si>
  <si>
    <t>海邊</t>
  </si>
  <si>
    <t>바다 해, 가 변</t>
  </si>
  <si>
    <t>정취</t>
  </si>
  <si>
    <t>情趣</t>
  </si>
  <si>
    <t>뜻 정, 취지 취</t>
  </si>
  <si>
    <t>물결칠 랑, 흩어질 만</t>
  </si>
  <si>
    <t>은퇴</t>
  </si>
  <si>
    <t>隱退</t>
  </si>
  <si>
    <t>숨을 은, 물러날 퇴</t>
  </si>
  <si>
    <t>낙향</t>
  </si>
  <si>
    <t>落鄕</t>
  </si>
  <si>
    <t>떨어질 락, 시골 향</t>
  </si>
  <si>
    <t>생애</t>
  </si>
  <si>
    <t>生涯</t>
  </si>
  <si>
    <t>날 생, 물가 애</t>
  </si>
  <si>
    <t>충동</t>
  </si>
  <si>
    <t>衝動</t>
  </si>
  <si>
    <t>찌를 충, 움직일 동</t>
  </si>
  <si>
    <t>세탁물</t>
  </si>
  <si>
    <t>洗濯物</t>
  </si>
  <si>
    <t>씻을 세, 씻을 탁, 물건 품</t>
  </si>
  <si>
    <t>규격</t>
  </si>
  <si>
    <t>規格</t>
  </si>
  <si>
    <t>법 규, 격식 격</t>
  </si>
  <si>
    <t>지을 제, 물건 품</t>
  </si>
  <si>
    <t>包裝</t>
  </si>
  <si>
    <t>쌀 포, 꾸밀 장</t>
  </si>
  <si>
    <t>불 연, 아뢸 주</t>
  </si>
  <si>
    <t>감명</t>
  </si>
  <si>
    <t>感銘</t>
  </si>
  <si>
    <t>느낄 감, 새길 명</t>
  </si>
  <si>
    <t>즐거울 오, 즐거울 락</t>
  </si>
  <si>
    <t>교양</t>
  </si>
  <si>
    <t>教養</t>
  </si>
  <si>
    <t>가르칠 교, 기를 양</t>
  </si>
  <si>
    <t>멸종</t>
  </si>
  <si>
    <t>滅種</t>
  </si>
  <si>
    <t>멸망할 멸, 씨 종</t>
  </si>
  <si>
    <t>희귀</t>
  </si>
  <si>
    <t>稀貴</t>
  </si>
  <si>
    <t>드물 희, 귀할 귀</t>
  </si>
  <si>
    <t>밀어낼 배, 물리칠 척</t>
  </si>
  <si>
    <t>곤란</t>
  </si>
  <si>
    <t>困難</t>
  </si>
  <si>
    <t>괴로울 곤, 어려울 난</t>
  </si>
  <si>
    <t>추종</t>
  </si>
  <si>
    <t>追從</t>
  </si>
  <si>
    <t>쫓을 추, 쫓을 종</t>
  </si>
  <si>
    <t>병가</t>
  </si>
  <si>
    <t>病暇</t>
  </si>
  <si>
    <t>병 병, 겨를 가</t>
  </si>
  <si>
    <t>조각</t>
  </si>
  <si>
    <t>組閣</t>
  </si>
  <si>
    <t>짤 조, 누각 각</t>
  </si>
  <si>
    <t>강령</t>
  </si>
  <si>
    <t>綱領</t>
  </si>
  <si>
    <t>벼리 강, 거느릴 령</t>
  </si>
  <si>
    <t>매개</t>
  </si>
  <si>
    <t>媒介</t>
  </si>
  <si>
    <t>매개할 매, 낄 개</t>
  </si>
  <si>
    <t>결항</t>
  </si>
  <si>
    <t>缺航</t>
  </si>
  <si>
    <t>이지러질 결, 배 항</t>
  </si>
  <si>
    <t>그림 화, 사랑채 랑</t>
  </si>
  <si>
    <t>염가</t>
  </si>
  <si>
    <t>廉價</t>
  </si>
  <si>
    <t>청렴할 렴, 값 가</t>
  </si>
  <si>
    <t>권면</t>
  </si>
  <si>
    <t>勸勉</t>
  </si>
  <si>
    <t>권할 권, 힘쓸 면</t>
  </si>
  <si>
    <t>주도면밀</t>
  </si>
  <si>
    <t>周到綿密</t>
  </si>
  <si>
    <t>두루 주, 이를 도, 솜 면, 빽빽할 밀</t>
  </si>
  <si>
    <t>임박</t>
  </si>
  <si>
    <t>臨迫</t>
  </si>
  <si>
    <t>임할 임, 핍박할 박</t>
  </si>
  <si>
    <t>複製</t>
  </si>
  <si>
    <t>겹칠 복, 지을 제</t>
  </si>
  <si>
    <t>상여</t>
  </si>
  <si>
    <t>喪輿</t>
  </si>
  <si>
    <t>잃을 상, 수레 여</t>
  </si>
  <si>
    <t>잡을 섭, 다스릴 정</t>
  </si>
  <si>
    <t>숙연</t>
  </si>
  <si>
    <t>肅然</t>
  </si>
  <si>
    <t>엄숙할 숙, 그러할 연</t>
  </si>
  <si>
    <t>연골</t>
  </si>
  <si>
    <t>軟骨</t>
  </si>
  <si>
    <t>연할 연, 뼈 골</t>
  </si>
  <si>
    <t>꾈 유, 인도할 도</t>
  </si>
  <si>
    <t>점증</t>
  </si>
  <si>
    <t>漸增</t>
  </si>
  <si>
    <t>점점 점, 더할 증</t>
  </si>
  <si>
    <t>법 규, 지을 제</t>
  </si>
  <si>
    <t>속편</t>
  </si>
  <si>
    <t>續篇</t>
  </si>
  <si>
    <t>이을 속, 책 편</t>
  </si>
  <si>
    <t>관현</t>
  </si>
  <si>
    <t>管絃</t>
  </si>
  <si>
    <t>대롱 관, 악기줄 현</t>
  </si>
  <si>
    <t>증발</t>
  </si>
  <si>
    <t>蒸發</t>
  </si>
  <si>
    <t>찔 증, 필 발</t>
  </si>
  <si>
    <t>막연</t>
  </si>
  <si>
    <t>漠然</t>
  </si>
  <si>
    <t>넓을 막, 그러할 연</t>
  </si>
  <si>
    <t>정복</t>
  </si>
  <si>
    <t>征服</t>
  </si>
  <si>
    <t>칠 정, 옷 복</t>
  </si>
  <si>
    <t>진중</t>
  </si>
  <si>
    <t>鎭重</t>
  </si>
  <si>
    <t>진압할 진, 무거울 중</t>
  </si>
  <si>
    <t>상상</t>
  </si>
  <si>
    <t>想像</t>
  </si>
  <si>
    <t>생각 상, 모양 상</t>
  </si>
  <si>
    <t>受賞</t>
  </si>
  <si>
    <t>받을 수, 상 상</t>
  </si>
  <si>
    <t>경력</t>
  </si>
  <si>
    <t>經歷</t>
  </si>
  <si>
    <t>지낼 경, 지낼 력</t>
  </si>
  <si>
    <t>참가</t>
  </si>
  <si>
    <t>參加</t>
  </si>
  <si>
    <t>참여할 참, 더할 가</t>
  </si>
  <si>
    <t>금강산</t>
  </si>
  <si>
    <t>金剛山</t>
  </si>
  <si>
    <t>쇠 금, 굳셀 강, 뫼 산</t>
  </si>
  <si>
    <t>평평할 개, 생각 념</t>
  </si>
  <si>
    <t>총체</t>
  </si>
  <si>
    <t>總體</t>
  </si>
  <si>
    <t>다할 총, 몸 체</t>
  </si>
  <si>
    <t>미약</t>
  </si>
  <si>
    <t>微弱</t>
  </si>
  <si>
    <t>작을 미, 약할 약</t>
  </si>
  <si>
    <t>분열</t>
  </si>
  <si>
    <t>分裂</t>
  </si>
  <si>
    <t>나눌 분, 찢을 렬</t>
  </si>
  <si>
    <t>경향성</t>
  </si>
  <si>
    <t>傾向性</t>
  </si>
  <si>
    <t>기울 경, 향할 향, 성품 성</t>
  </si>
  <si>
    <t>차례 서, 차례 술</t>
  </si>
  <si>
    <t>위반</t>
  </si>
  <si>
    <t>違反</t>
  </si>
  <si>
    <t>어길 위, 돌이킬 반</t>
  </si>
  <si>
    <t>과태료</t>
  </si>
  <si>
    <t>過怠料</t>
  </si>
  <si>
    <t>지날 과, 게으를 태, 헤아릴 료</t>
  </si>
  <si>
    <t>청와대</t>
  </si>
  <si>
    <t>靑瓦臺</t>
  </si>
  <si>
    <t>푸를 청, 기와 와, 대 대</t>
  </si>
  <si>
    <t>삼엄</t>
  </si>
  <si>
    <t>森嚴</t>
  </si>
  <si>
    <t>나무 빽빽할 삼, 엄할 엄</t>
  </si>
  <si>
    <t>정열</t>
  </si>
  <si>
    <t>情熱</t>
  </si>
  <si>
    <t>뜻 정, 더울 열</t>
  </si>
  <si>
    <t>운치 운, 이를 치</t>
  </si>
  <si>
    <t>돌파</t>
  </si>
  <si>
    <t>突破</t>
  </si>
  <si>
    <t>갑자기 돌, 깨뜨릴 파</t>
  </si>
  <si>
    <t>쾌거</t>
  </si>
  <si>
    <t>快擧</t>
  </si>
  <si>
    <t>쾌할 쾌, 들 거</t>
  </si>
  <si>
    <t>계사</t>
  </si>
  <si>
    <t>癸巳</t>
  </si>
  <si>
    <t>열째 천간 계, 뱀 사</t>
  </si>
  <si>
    <t>단풍</t>
  </si>
  <si>
    <t>丹楓</t>
  </si>
  <si>
    <t>붉을 단, 단풍나무 풍</t>
  </si>
  <si>
    <t>역할</t>
  </si>
  <si>
    <t>役割</t>
  </si>
  <si>
    <t>부릴 역, 밸 할</t>
  </si>
  <si>
    <t>비통</t>
  </si>
  <si>
    <t>悲痛</t>
  </si>
  <si>
    <t>슬플 비, 아플 통</t>
  </si>
  <si>
    <t>미워할 증, 악할 악</t>
  </si>
  <si>
    <t>정원</t>
  </si>
  <si>
    <t>庭園</t>
  </si>
  <si>
    <t>뜰 정, 동산 원</t>
  </si>
  <si>
    <t>무성</t>
  </si>
  <si>
    <t>茂盛</t>
  </si>
  <si>
    <t>무성할 무, 성할 성</t>
  </si>
  <si>
    <t>긴할 긴, 베풀 장</t>
  </si>
  <si>
    <t>환희</t>
  </si>
  <si>
    <t>歡喜</t>
  </si>
  <si>
    <t>기쁠 환, 기쁠 희</t>
  </si>
  <si>
    <t>전등</t>
  </si>
  <si>
    <t>電燈</t>
  </si>
  <si>
    <t>번개 전, 등불 등</t>
  </si>
  <si>
    <t>온당할 타, 화합할 협</t>
  </si>
  <si>
    <t>날짐승 금, 짐승 수</t>
  </si>
  <si>
    <t>마를 건, 잔 배</t>
  </si>
  <si>
    <t>登載</t>
  </si>
  <si>
    <t>오를 등, 실을 재</t>
  </si>
  <si>
    <t>쟁의</t>
  </si>
  <si>
    <t>爭議</t>
  </si>
  <si>
    <t>다툴 쟁, 의논할 의</t>
  </si>
  <si>
    <t>험악</t>
  </si>
  <si>
    <t>險惡</t>
  </si>
  <si>
    <t>험할 험, 악할 악</t>
  </si>
  <si>
    <t>관계자</t>
  </si>
  <si>
    <t>關係者</t>
  </si>
  <si>
    <t>빗장 관, 멜 계, 놈 자</t>
  </si>
  <si>
    <t>형언</t>
  </si>
  <si>
    <t>形言</t>
  </si>
  <si>
    <t>모양 형, 말씀 언</t>
  </si>
  <si>
    <t>결속</t>
  </si>
  <si>
    <t>結束</t>
  </si>
  <si>
    <t>맺을 결, 묶을 속</t>
  </si>
  <si>
    <t>냉정</t>
  </si>
  <si>
    <t>冷靜</t>
  </si>
  <si>
    <t>찰 랭, 고요할 정</t>
  </si>
  <si>
    <t>사색</t>
  </si>
  <si>
    <t>思索</t>
  </si>
  <si>
    <t>생각 사, 찾을 색</t>
  </si>
  <si>
    <t>기왕</t>
  </si>
  <si>
    <t>既往</t>
  </si>
  <si>
    <t>이미 기, 갈 왕</t>
  </si>
  <si>
    <t>보완</t>
  </si>
  <si>
    <t>補完</t>
  </si>
  <si>
    <t>도울 보, 완전할 완</t>
  </si>
  <si>
    <t>인식</t>
  </si>
  <si>
    <t>認識</t>
  </si>
  <si>
    <t>알 인, 알 식</t>
  </si>
  <si>
    <t>기여</t>
  </si>
  <si>
    <t>창간</t>
  </si>
  <si>
    <t>創刊</t>
  </si>
  <si>
    <t>비롯할 창, 책방 간</t>
  </si>
  <si>
    <t>전환점</t>
  </si>
  <si>
    <t>轉換點</t>
  </si>
  <si>
    <t>구를 전, 바꿀 환, 점 점</t>
  </si>
  <si>
    <t>기하</t>
  </si>
  <si>
    <t>幾何</t>
  </si>
  <si>
    <t>몇 기, 어찌 하</t>
  </si>
  <si>
    <t>임기응변</t>
  </si>
  <si>
    <t>臨機應變</t>
  </si>
  <si>
    <t>임할 임, 틀 기, 응할 응, 변할 변</t>
  </si>
  <si>
    <t>치중</t>
  </si>
  <si>
    <t>置重</t>
  </si>
  <si>
    <t>둘 치, 무거울 중</t>
  </si>
  <si>
    <t>타율</t>
  </si>
  <si>
    <t>他律</t>
  </si>
  <si>
    <t>다를 타, 법도 률</t>
  </si>
  <si>
    <t>빈곤</t>
  </si>
  <si>
    <t>貧困</t>
  </si>
  <si>
    <t>가난할 빈, 곤할 곤</t>
  </si>
  <si>
    <t>불결</t>
  </si>
  <si>
    <t>不潔</t>
  </si>
  <si>
    <t>아니 불, 깨끗할 결</t>
  </si>
  <si>
    <t>반납</t>
  </si>
  <si>
    <t>返納</t>
  </si>
  <si>
    <t>돌이킬 반, 바칠 납</t>
  </si>
  <si>
    <t>세발</t>
  </si>
  <si>
    <t>洗髮</t>
  </si>
  <si>
    <t>씻을 세, 터럭 발</t>
  </si>
  <si>
    <t>방청객</t>
  </si>
  <si>
    <t>傍聽客</t>
  </si>
  <si>
    <t>곁 방, 들을 청, 손 객</t>
  </si>
  <si>
    <t>맏 백, 아비 부</t>
  </si>
  <si>
    <t>騒音</t>
  </si>
  <si>
    <t>압운</t>
  </si>
  <si>
    <t>押韻</t>
  </si>
  <si>
    <t>누를 압, 운 운</t>
  </si>
  <si>
    <t>현격</t>
  </si>
  <si>
    <t>懸隔</t>
  </si>
  <si>
    <t>달 현, 사이 뜰 격</t>
  </si>
  <si>
    <t>감시</t>
  </si>
  <si>
    <t>監視</t>
  </si>
  <si>
    <t>볼 감, 볼 시</t>
  </si>
  <si>
    <t>첨부</t>
  </si>
  <si>
    <t>添附</t>
  </si>
  <si>
    <t>더할 첨, 붙을 부</t>
  </si>
  <si>
    <t>연극</t>
  </si>
  <si>
    <t>演劇</t>
  </si>
  <si>
    <t>멀리흐를 연, 심할 극</t>
  </si>
  <si>
    <t>번화가</t>
  </si>
  <si>
    <t>繁華街</t>
  </si>
  <si>
    <t>번성할 번, 빛날 화, 거리 가</t>
  </si>
  <si>
    <t>박진</t>
  </si>
  <si>
    <t>迫眞</t>
  </si>
  <si>
    <t>닥칠 박, 참 진</t>
  </si>
  <si>
    <t>위령제</t>
  </si>
  <si>
    <t>慰靈祭</t>
  </si>
  <si>
    <t>위로할 위, 신령 령, 제사 제</t>
  </si>
  <si>
    <t>증보</t>
  </si>
  <si>
    <t>增補</t>
  </si>
  <si>
    <t>더할 증, 기울 보</t>
  </si>
  <si>
    <t>배 복, 책상 안</t>
  </si>
  <si>
    <t>석패</t>
  </si>
  <si>
    <t>惜敗</t>
  </si>
  <si>
    <t>아낄 석, 패할 패</t>
  </si>
  <si>
    <t>잡을 섭, 정사 정</t>
  </si>
  <si>
    <t>통어</t>
  </si>
  <si>
    <t>統御</t>
  </si>
  <si>
    <t>거느릴 통, 어거할 어</t>
  </si>
  <si>
    <t>깨어날 소, 날 생</t>
  </si>
  <si>
    <t>외울 암, 욀 송</t>
  </si>
  <si>
    <t>쇠퇴</t>
  </si>
  <si>
    <t>衰退</t>
  </si>
  <si>
    <t>쇠할 쇠, 물러날 퇴</t>
  </si>
  <si>
    <t>장수</t>
  </si>
  <si>
    <t>將帥</t>
  </si>
  <si>
    <t>장수 장, 장수 수</t>
  </si>
  <si>
    <t>가식</t>
  </si>
  <si>
    <t>假飾</t>
  </si>
  <si>
    <t>거짓 가, 꾸밀 식</t>
  </si>
  <si>
    <t>그를 오, 살필 심</t>
  </si>
  <si>
    <t>알현</t>
  </si>
  <si>
    <t>謁見</t>
  </si>
  <si>
    <t>뵐 알, 볼 견</t>
  </si>
  <si>
    <t>주청</t>
  </si>
  <si>
    <t>奏請</t>
  </si>
  <si>
    <t>아뢸 주, 청할 청</t>
  </si>
  <si>
    <t>잡을 체, 잡을 포</t>
  </si>
  <si>
    <t>讓渡</t>
  </si>
  <si>
    <t>사양할 양, 건널 도</t>
  </si>
  <si>
    <t>질병</t>
  </si>
  <si>
    <t>疾病</t>
  </si>
  <si>
    <t>병 질, 병 병</t>
  </si>
  <si>
    <t>열변</t>
  </si>
  <si>
    <t>熱辯</t>
  </si>
  <si>
    <t>더울 열, 말씀 변</t>
  </si>
  <si>
    <t>지엽</t>
  </si>
  <si>
    <t>枝葉</t>
  </si>
  <si>
    <t>가지 지, 잎 엽</t>
  </si>
  <si>
    <t>성곽</t>
  </si>
  <si>
    <t>城郭</t>
  </si>
  <si>
    <t>재 성, 둘레 곽</t>
  </si>
  <si>
    <t>버릇 관, 법식 례</t>
  </si>
  <si>
    <t>교도</t>
  </si>
  <si>
    <t>矯導</t>
  </si>
  <si>
    <t>바로잡을 교, 이끌 도</t>
  </si>
  <si>
    <t>뇌리</t>
  </si>
  <si>
    <t>腦裏</t>
  </si>
  <si>
    <t>골 뇌, 속 리</t>
  </si>
  <si>
    <t>행복</t>
  </si>
  <si>
    <t>幸福</t>
  </si>
  <si>
    <t>다행 행, 복 복</t>
  </si>
  <si>
    <t>목표</t>
  </si>
  <si>
    <t>目標</t>
  </si>
  <si>
    <t>눈 목, 표할 표</t>
  </si>
  <si>
    <t>시인</t>
  </si>
  <si>
    <t>詩人</t>
  </si>
  <si>
    <t>시 시, 사람 인</t>
  </si>
  <si>
    <t>유명</t>
  </si>
  <si>
    <t>有名</t>
  </si>
  <si>
    <t>있을 유, 이름 명</t>
  </si>
  <si>
    <t>백과</t>
  </si>
  <si>
    <t>百科</t>
  </si>
  <si>
    <t>일백 백, 품등 과</t>
  </si>
  <si>
    <t>사전</t>
  </si>
  <si>
    <t>事典</t>
  </si>
  <si>
    <t>일 사, 법전 전</t>
  </si>
  <si>
    <t>권리</t>
  </si>
  <si>
    <t>최근</t>
  </si>
  <si>
    <t>最近</t>
  </si>
  <si>
    <t>가장 최, 가까울 근</t>
  </si>
  <si>
    <t>현상</t>
  </si>
  <si>
    <t>現狀</t>
  </si>
  <si>
    <t>나타날 현, 형상 상</t>
  </si>
  <si>
    <t>서양</t>
  </si>
  <si>
    <t>西洋</t>
  </si>
  <si>
    <t>서녘 서, 큰바다 양</t>
  </si>
  <si>
    <t>미덕</t>
  </si>
  <si>
    <t>美德</t>
  </si>
  <si>
    <t>아름다울 미, 큰 덕</t>
  </si>
  <si>
    <t>귀신 신, 성스러울 성</t>
  </si>
  <si>
    <t>날 번, 번역할 역</t>
  </si>
  <si>
    <t>물질</t>
  </si>
  <si>
    <t>物質</t>
  </si>
  <si>
    <t>만물 물, 바탕 질</t>
  </si>
  <si>
    <t>안락</t>
  </si>
  <si>
    <t>安樂</t>
  </si>
  <si>
    <t>편안할 안, 즐거울 락</t>
  </si>
  <si>
    <t>열 계, 어릴 몽</t>
  </si>
  <si>
    <t>상품</t>
  </si>
  <si>
    <t>商品</t>
  </si>
  <si>
    <t>장사 상, 물건 품</t>
  </si>
  <si>
    <t>소비</t>
  </si>
  <si>
    <t>消費</t>
  </si>
  <si>
    <t>사라질 소, 쓸 비</t>
  </si>
  <si>
    <t>임금</t>
  </si>
  <si>
    <t>賃金</t>
  </si>
  <si>
    <t>품삯 임, 쇠 금</t>
  </si>
  <si>
    <t>상승</t>
  </si>
  <si>
    <t>上昇</t>
  </si>
  <si>
    <t>위 상, 오를 승</t>
  </si>
  <si>
    <t>물질적</t>
  </si>
  <si>
    <t>物質的</t>
  </si>
  <si>
    <t>만물 물, 바탕 질, 과녁 적</t>
  </si>
  <si>
    <t>젖을 윤, 못 택</t>
  </si>
  <si>
    <t>依支</t>
  </si>
  <si>
    <t>의지할 의, 지탱할 지</t>
  </si>
  <si>
    <t>원시</t>
  </si>
  <si>
    <t>原始</t>
  </si>
  <si>
    <t>으뜸 원, 처음 시</t>
  </si>
  <si>
    <t>넓을 광, 아득할 막</t>
  </si>
  <si>
    <t>진전</t>
  </si>
  <si>
    <t>進展</t>
  </si>
  <si>
    <t>나아갈 진, 펼 전</t>
  </si>
  <si>
    <t>범위</t>
  </si>
  <si>
    <t>範圍</t>
  </si>
  <si>
    <t>법 범, 에워쌀 위</t>
  </si>
  <si>
    <t>세분</t>
  </si>
  <si>
    <t>細分</t>
  </si>
  <si>
    <t>가는 세, 나눌 분</t>
  </si>
  <si>
    <t>욕구</t>
  </si>
  <si>
    <t>慾求</t>
  </si>
  <si>
    <t>욕심 욕, 구할 구</t>
  </si>
  <si>
    <t>시도</t>
  </si>
  <si>
    <t>試圖</t>
  </si>
  <si>
    <t>시험 시, 그림 도</t>
  </si>
  <si>
    <t>한정적</t>
  </si>
  <si>
    <t>限定的</t>
  </si>
  <si>
    <t>한할 한, 정할 정, 과녁 적</t>
  </si>
  <si>
    <t>소중</t>
  </si>
  <si>
    <t>所重</t>
  </si>
  <si>
    <t>바 소, 무거울 중</t>
  </si>
  <si>
    <t>단점</t>
  </si>
  <si>
    <t>短點</t>
  </si>
  <si>
    <t>짧을 단, 점 점</t>
  </si>
  <si>
    <t>절묘</t>
  </si>
  <si>
    <t>絶妙</t>
  </si>
  <si>
    <t>끊을 절, 묘할 묘</t>
  </si>
  <si>
    <t>충실</t>
  </si>
  <si>
    <t>充實</t>
  </si>
  <si>
    <t>채울 충, 열매 실</t>
  </si>
  <si>
    <t>축복</t>
  </si>
  <si>
    <t>祝福</t>
  </si>
  <si>
    <t>빌 축, 복 복</t>
  </si>
  <si>
    <t>거느릴 영, 지경 역</t>
  </si>
  <si>
    <t>밀렵</t>
  </si>
  <si>
    <t>密獵</t>
  </si>
  <si>
    <t>몰래 밀, 사냥 렵</t>
  </si>
  <si>
    <t>졸음 수, 잘 면</t>
  </si>
  <si>
    <t>첨가</t>
  </si>
  <si>
    <t>더할 첨, 더할 가</t>
  </si>
  <si>
    <t>수레 여, 말씀 론</t>
  </si>
  <si>
    <t>도터울 돈, 도터울 독</t>
  </si>
  <si>
    <t>탐낼 탐, 욕심 욕</t>
  </si>
  <si>
    <t>졸렬</t>
  </si>
  <si>
    <t>졸할 졸, 못할 렬</t>
  </si>
  <si>
    <t>형통</t>
  </si>
  <si>
    <t>亨通</t>
  </si>
  <si>
    <t>형통할 형, 통할 통</t>
  </si>
  <si>
    <t>노예</t>
  </si>
  <si>
    <t>奴隷</t>
  </si>
  <si>
    <t>종 노, 종 례</t>
  </si>
  <si>
    <t>공경 경, 두려워할 외</t>
  </si>
  <si>
    <t>끌 휴, 띠 대</t>
  </si>
  <si>
    <t>쫓을 준, 지킬 수</t>
  </si>
  <si>
    <t>성공</t>
  </si>
  <si>
    <t>成功</t>
  </si>
  <si>
    <t>이룰 성, 공 공</t>
  </si>
  <si>
    <t>상부상조</t>
  </si>
  <si>
    <t>相扶相助</t>
  </si>
  <si>
    <t>서로 상, 도울 부, 서로 상, 도울 조</t>
  </si>
  <si>
    <t>안개 무, 흩어질 산</t>
  </si>
  <si>
    <t>상식</t>
  </si>
  <si>
    <t>常識</t>
  </si>
  <si>
    <t>항상 상, 알 식</t>
  </si>
  <si>
    <t>견지</t>
  </si>
  <si>
    <t>堅持</t>
  </si>
  <si>
    <t>굳게 견, 가질 지</t>
  </si>
  <si>
    <t>再考</t>
  </si>
  <si>
    <t>두 번 재, 생각할 고</t>
  </si>
  <si>
    <t>촉구</t>
  </si>
  <si>
    <t>促求</t>
  </si>
  <si>
    <t>재촉할 촉, 구할 구</t>
  </si>
  <si>
    <t>항거</t>
  </si>
  <si>
    <t>抗拒</t>
  </si>
  <si>
    <t>겨룰 항, 막을 거</t>
  </si>
  <si>
    <t>결할 분, 성낼 노</t>
  </si>
  <si>
    <t>맵시 자, 형세 세</t>
  </si>
  <si>
    <t>선배</t>
  </si>
  <si>
    <t>先輩</t>
  </si>
  <si>
    <t>먼저 선, 무리 배</t>
  </si>
  <si>
    <t>광복</t>
  </si>
  <si>
    <t>光復</t>
  </si>
  <si>
    <t>빛 광, 회복할 복</t>
  </si>
  <si>
    <t>화합</t>
  </si>
  <si>
    <t>和合</t>
  </si>
  <si>
    <t>화할 화, 합할 합</t>
  </si>
  <si>
    <t>우직</t>
  </si>
  <si>
    <t>愚直</t>
  </si>
  <si>
    <t>어리석을 우, 곧을 직</t>
  </si>
  <si>
    <t>방기</t>
  </si>
  <si>
    <t>放棄</t>
  </si>
  <si>
    <t>놓을 방, 버릴 기</t>
  </si>
  <si>
    <t>악습</t>
  </si>
  <si>
    <t>惡習</t>
  </si>
  <si>
    <t>악할 악, 익힐 습</t>
  </si>
  <si>
    <t>쇄신</t>
  </si>
  <si>
    <t>刷新</t>
  </si>
  <si>
    <t>인쇄할 쇄, 새로울 신</t>
  </si>
  <si>
    <t>계승</t>
  </si>
  <si>
    <t>繼承</t>
  </si>
  <si>
    <t>이을 계, 이을 승</t>
  </si>
  <si>
    <t>영일</t>
  </si>
  <si>
    <t>寧日</t>
  </si>
  <si>
    <t>편안할 녕, 날 일</t>
  </si>
  <si>
    <t>소통할 소, 멀 원</t>
  </si>
  <si>
    <t>단아</t>
  </si>
  <si>
    <t>端雅</t>
  </si>
  <si>
    <t>끝 단, 우아할 아</t>
  </si>
  <si>
    <t>연석</t>
  </si>
  <si>
    <t>宴席</t>
  </si>
  <si>
    <t>잔치 연, 자리 석</t>
  </si>
  <si>
    <t>부를 초, 기다릴 대</t>
  </si>
  <si>
    <t>번창</t>
  </si>
  <si>
    <t>繁昌</t>
  </si>
  <si>
    <t>번성할 번, 창성할 창</t>
  </si>
  <si>
    <t>집 각, 벗 료</t>
  </si>
  <si>
    <t>현안</t>
  </si>
  <si>
    <t>懸案</t>
  </si>
  <si>
    <t>매달 현, 책상 안</t>
  </si>
  <si>
    <t>논의</t>
  </si>
  <si>
    <t>論議</t>
  </si>
  <si>
    <t>논할 논, 의논할 의</t>
  </si>
  <si>
    <t>경합</t>
  </si>
  <si>
    <t>競合</t>
  </si>
  <si>
    <t>다툴 경, 합할 합</t>
  </si>
  <si>
    <t>선발</t>
  </si>
  <si>
    <t>選拔</t>
  </si>
  <si>
    <t>가릴 선, 뽑을 발</t>
  </si>
  <si>
    <t>각광</t>
  </si>
  <si>
    <t>脚光</t>
  </si>
  <si>
    <t>다리 각, 빛 광</t>
  </si>
  <si>
    <t>굴지</t>
  </si>
  <si>
    <t>屈指</t>
  </si>
  <si>
    <t>굽힐 굴, 손가락 지</t>
  </si>
  <si>
    <t>원상</t>
  </si>
  <si>
    <t>原狀</t>
  </si>
  <si>
    <t>근원 원, 형상 상</t>
  </si>
  <si>
    <t>총력</t>
  </si>
  <si>
    <t>總力</t>
  </si>
  <si>
    <t>다 총, 힘 력</t>
  </si>
  <si>
    <t>착용</t>
  </si>
  <si>
    <t>着用</t>
  </si>
  <si>
    <t>붙을 착, 쓸 용</t>
  </si>
  <si>
    <t>결례</t>
  </si>
  <si>
    <t>缺禮</t>
  </si>
  <si>
    <t>이지러질 결, 예도 례</t>
  </si>
  <si>
    <t>배제</t>
  </si>
  <si>
    <t>排除</t>
  </si>
  <si>
    <t>밀칠 배, 덜 제</t>
  </si>
  <si>
    <t>신장</t>
  </si>
  <si>
    <t>伸張</t>
  </si>
  <si>
    <t>펼 신, 베풀 장</t>
  </si>
  <si>
    <t>도모</t>
  </si>
  <si>
    <t>圖謀</t>
  </si>
  <si>
    <t>그림 도, 꾀할 모</t>
  </si>
  <si>
    <t>우둔</t>
  </si>
  <si>
    <t>愚鈍</t>
  </si>
  <si>
    <t>어리석을 우, 둔할 둔</t>
  </si>
  <si>
    <t>격려</t>
  </si>
  <si>
    <t>激勵</t>
  </si>
  <si>
    <t>격할 격, 힘쓸 려</t>
  </si>
  <si>
    <t>설욕</t>
  </si>
  <si>
    <t>雪辱</t>
  </si>
  <si>
    <t>눈 설, 욕될 욕</t>
  </si>
  <si>
    <t>주관식</t>
  </si>
  <si>
    <t>主觀式</t>
  </si>
  <si>
    <t>주인 주, 볼 관, 법 식</t>
  </si>
  <si>
    <t>넘을 월, 무리 등</t>
  </si>
  <si>
    <t>친지</t>
  </si>
  <si>
    <t>親知</t>
  </si>
  <si>
    <t>친할 친, 알 지</t>
  </si>
  <si>
    <t>담소</t>
  </si>
  <si>
    <t>談笑</t>
  </si>
  <si>
    <t>말씀 담, 웃음 소</t>
  </si>
  <si>
    <t>뜻 정, 뜻 취</t>
  </si>
  <si>
    <t>부수적</t>
  </si>
  <si>
    <t>附隨的</t>
  </si>
  <si>
    <t>붙을 부, 따를 수, 과녁 적</t>
  </si>
  <si>
    <t>수확물</t>
  </si>
  <si>
    <t>收穫物</t>
  </si>
  <si>
    <t>거둘 수, 거둘 확, 물건 물</t>
  </si>
  <si>
    <t>총기</t>
  </si>
  <si>
    <t>聰氣</t>
  </si>
  <si>
    <t>밝을 총, 기운 기</t>
  </si>
  <si>
    <t>착각</t>
  </si>
  <si>
    <t>錯覺</t>
  </si>
  <si>
    <t>섞일 착, 깨달을 각</t>
  </si>
  <si>
    <t>투명</t>
  </si>
  <si>
    <t>透明</t>
  </si>
  <si>
    <t>사무칠 투, 밝을 명</t>
  </si>
  <si>
    <t>버금 중, 매파 매</t>
  </si>
  <si>
    <t>비축</t>
  </si>
  <si>
    <t>備蓄</t>
  </si>
  <si>
    <t>갖출 비, 쌓을 축</t>
  </si>
  <si>
    <t>낙폭</t>
  </si>
  <si>
    <t>落幅</t>
  </si>
  <si>
    <t>떨어질 락, 폭 폭</t>
  </si>
  <si>
    <t>가느다란 세, 세포 포</t>
  </si>
  <si>
    <t>축산</t>
  </si>
  <si>
    <t>畜産</t>
  </si>
  <si>
    <t>가축 축, 낳을 산</t>
  </si>
  <si>
    <t>드물 희, 적을 소</t>
  </si>
  <si>
    <t>단편</t>
  </si>
  <si>
    <t>短篇</t>
  </si>
  <si>
    <t>짧을 단, 책 편</t>
  </si>
  <si>
    <t>쌓을 축, 성 성</t>
  </si>
  <si>
    <t>헌혈</t>
  </si>
  <si>
    <t>獻血</t>
  </si>
  <si>
    <t>드릴 헌, 피 혈</t>
  </si>
  <si>
    <t>매달 현, 사이 뜰 격</t>
  </si>
  <si>
    <t>선율</t>
  </si>
  <si>
    <t>旋律</t>
  </si>
  <si>
    <t>돌 선, 법칙 률</t>
  </si>
  <si>
    <t>課程</t>
  </si>
  <si>
    <t>공부 과, 한도 정</t>
  </si>
  <si>
    <t>생태</t>
  </si>
  <si>
    <t>生態</t>
  </si>
  <si>
    <t>날 생, 모습 태</t>
  </si>
  <si>
    <t>절현</t>
  </si>
  <si>
    <t>絶絃</t>
  </si>
  <si>
    <t>끊을 절, 악기 줄 현</t>
  </si>
  <si>
    <t>누릴 향, 해 년</t>
  </si>
  <si>
    <t>기발</t>
  </si>
  <si>
    <t>奇拔</t>
  </si>
  <si>
    <t>기이할 기, 뽑을 발</t>
  </si>
  <si>
    <t>신설</t>
  </si>
  <si>
    <t>新設</t>
  </si>
  <si>
    <t>새 신, 베풀 설</t>
  </si>
  <si>
    <t>연체</t>
  </si>
  <si>
    <t>延滯</t>
  </si>
  <si>
    <t>끌 연, 막힐 체</t>
  </si>
  <si>
    <t>난항</t>
  </si>
  <si>
    <t>難航</t>
  </si>
  <si>
    <t>어려울 난, 배 항</t>
  </si>
  <si>
    <t>광부</t>
  </si>
  <si>
    <t>鑛夫</t>
  </si>
  <si>
    <t>광산 광, 사내 부</t>
  </si>
  <si>
    <t>귀환</t>
  </si>
  <si>
    <t>歸還</t>
  </si>
  <si>
    <t>돌아올 귀, 돌아올 환</t>
  </si>
  <si>
    <t>동료애</t>
  </si>
  <si>
    <t>同僚愛</t>
  </si>
  <si>
    <t>한가지 동, 벗 료, 사랑 애</t>
  </si>
  <si>
    <t>위협</t>
  </si>
  <si>
    <t>威脅</t>
  </si>
  <si>
    <t>위엄 위, 위협할 협</t>
  </si>
  <si>
    <t>당길 섭, 가질 취</t>
  </si>
  <si>
    <t>권장할 장, 힘쓸 려</t>
  </si>
  <si>
    <t>빈번</t>
  </si>
  <si>
    <t>頻繁</t>
  </si>
  <si>
    <t>자주 빈, 번성할 번</t>
  </si>
  <si>
    <t>어긋날 착, 그르칠 오</t>
  </si>
  <si>
    <t>더딜 지, 늘일 연</t>
  </si>
  <si>
    <t>남획</t>
  </si>
  <si>
    <t>濫獲</t>
  </si>
  <si>
    <t>넘칠 람, 얻을 확</t>
  </si>
  <si>
    <t>볼 감, 독촉할 독</t>
  </si>
  <si>
    <t>석권</t>
  </si>
  <si>
    <t>席卷</t>
  </si>
  <si>
    <t>자리 석, 말 권</t>
  </si>
  <si>
    <t>영예</t>
  </si>
  <si>
    <t>榮譽</t>
  </si>
  <si>
    <t>영화 영, 기릴 예</t>
  </si>
  <si>
    <t>참관</t>
  </si>
  <si>
    <t>參觀</t>
  </si>
  <si>
    <t>참여할 참, 볼 관</t>
  </si>
  <si>
    <t>차창</t>
  </si>
  <si>
    <t>車窓</t>
  </si>
  <si>
    <t>수레 차, 창문 창</t>
  </si>
  <si>
    <t>역려</t>
  </si>
  <si>
    <t>逆旅</t>
  </si>
  <si>
    <t>거스를 역, 나그네 려</t>
  </si>
  <si>
    <t>산실</t>
  </si>
  <si>
    <t>産室</t>
  </si>
  <si>
    <t>낳을 산, 집 실</t>
  </si>
  <si>
    <t>주심</t>
  </si>
  <si>
    <t>主審</t>
  </si>
  <si>
    <t>주인 주, 살필 심</t>
  </si>
  <si>
    <t>완불</t>
  </si>
  <si>
    <t>完拂</t>
  </si>
  <si>
    <t>완전할 완, 떨칠 불</t>
  </si>
  <si>
    <t>미려</t>
  </si>
  <si>
    <t>美麗</t>
  </si>
  <si>
    <t>아름다울 미, 고울 려</t>
  </si>
  <si>
    <t>분담</t>
  </si>
  <si>
    <t>分擔</t>
  </si>
  <si>
    <t>나눌 분, 멜 담</t>
  </si>
  <si>
    <t>밟을 답, 조사할 사</t>
  </si>
  <si>
    <t>궁술</t>
  </si>
  <si>
    <t>弓術</t>
  </si>
  <si>
    <t>활 궁, 재주 술</t>
  </si>
  <si>
    <t>교부</t>
  </si>
  <si>
    <t>交付</t>
  </si>
  <si>
    <t>줄 교, 줄 부</t>
  </si>
  <si>
    <t>정제</t>
  </si>
  <si>
    <t>整齊</t>
  </si>
  <si>
    <t>정돈할 정, 가지런할 제</t>
  </si>
  <si>
    <t>조반</t>
  </si>
  <si>
    <t>朝飯</t>
  </si>
  <si>
    <t>아침 조, 밥 반</t>
  </si>
  <si>
    <t>친필</t>
  </si>
  <si>
    <t>親筆</t>
  </si>
  <si>
    <t>친할 친, 붓 필</t>
  </si>
  <si>
    <t>요망</t>
  </si>
  <si>
    <t>遙望</t>
  </si>
  <si>
    <t>멀 요, 바랄 망</t>
  </si>
  <si>
    <t>권형</t>
  </si>
  <si>
    <t>權衡</t>
  </si>
  <si>
    <t>권세 권, 저울대 형</t>
  </si>
  <si>
    <t>초하루 삭, 바랄 망</t>
  </si>
  <si>
    <t>恩賜</t>
  </si>
  <si>
    <t>은혜 은, 줄 사</t>
  </si>
  <si>
    <t>책동</t>
  </si>
  <si>
    <t>策動</t>
  </si>
  <si>
    <t>꾀 책, 움직일 동</t>
  </si>
  <si>
    <t>방담</t>
  </si>
  <si>
    <t>放談</t>
  </si>
  <si>
    <t>놓을 방, 말씀 담</t>
  </si>
  <si>
    <t>교졸</t>
  </si>
  <si>
    <t>巧拙</t>
  </si>
  <si>
    <t>공교할 교, 옹졸할 졸</t>
  </si>
  <si>
    <t>향로</t>
  </si>
  <si>
    <t>香爐</t>
  </si>
  <si>
    <t>향기 향, 화로 로</t>
  </si>
  <si>
    <t>정좌</t>
  </si>
  <si>
    <t>靜坐</t>
  </si>
  <si>
    <t>고요할 정, 앉을 좌</t>
  </si>
  <si>
    <t>여파</t>
  </si>
  <si>
    <t>餘波</t>
  </si>
  <si>
    <t>남을 여, 물결 파</t>
  </si>
  <si>
    <t>문예</t>
  </si>
  <si>
    <t>文藝</t>
  </si>
  <si>
    <t>글월 문, 심을 예</t>
  </si>
  <si>
    <t>권유</t>
  </si>
  <si>
    <t>勸誘</t>
  </si>
  <si>
    <t>권할 권, 이끌 유</t>
  </si>
  <si>
    <t>독려</t>
  </si>
  <si>
    <t>督勵</t>
  </si>
  <si>
    <t>감독할 독, 힘쓸 려</t>
  </si>
  <si>
    <t>기업</t>
  </si>
  <si>
    <t>企業</t>
  </si>
  <si>
    <t>꾀할 기, 업 업</t>
  </si>
  <si>
    <t>곤할 곤, 욕될 욕</t>
  </si>
  <si>
    <t>관계할 관, 이을 련</t>
  </si>
  <si>
    <t>보강</t>
  </si>
  <si>
    <t>補强</t>
  </si>
  <si>
    <t>기울 보, 강할 강</t>
  </si>
  <si>
    <t>해당</t>
  </si>
  <si>
    <t>該當</t>
  </si>
  <si>
    <t>그 해, 마땅 당</t>
  </si>
  <si>
    <t>부서</t>
  </si>
  <si>
    <t>部署</t>
  </si>
  <si>
    <t>떼 부, 관청 서</t>
  </si>
  <si>
    <t>매각</t>
  </si>
  <si>
    <t>賣却</t>
  </si>
  <si>
    <t>팔 매, 물리칠 각</t>
  </si>
  <si>
    <t>삭감</t>
  </si>
  <si>
    <t>공급</t>
  </si>
  <si>
    <t>주물</t>
  </si>
  <si>
    <t>鑄物</t>
  </si>
  <si>
    <t>부어만들 주, 물건 물</t>
  </si>
  <si>
    <t>동결</t>
  </si>
  <si>
    <t>凍結</t>
  </si>
  <si>
    <t>얼 동, 맺을 결</t>
  </si>
  <si>
    <t>부도</t>
  </si>
  <si>
    <t>不渡</t>
  </si>
  <si>
    <t>아닐 불, 건널 도</t>
  </si>
  <si>
    <t>이윤</t>
  </si>
  <si>
    <t>利潤</t>
  </si>
  <si>
    <t>이로울 리, 불을 윤</t>
  </si>
  <si>
    <t>부합</t>
  </si>
  <si>
    <t>符合</t>
  </si>
  <si>
    <t>부신 부, 합할 합</t>
  </si>
  <si>
    <t>무상</t>
  </si>
  <si>
    <t>無償</t>
  </si>
  <si>
    <t>없을 무, 갚을 상</t>
  </si>
  <si>
    <t>줄 증, 줄 여</t>
  </si>
  <si>
    <t>성숙</t>
  </si>
  <si>
    <t>成熟</t>
  </si>
  <si>
    <t>이룰 성, 익을 숙</t>
  </si>
  <si>
    <t>面貌</t>
  </si>
  <si>
    <t>낯 면, 모양 모</t>
  </si>
  <si>
    <t>환불</t>
  </si>
  <si>
    <t>還拂</t>
  </si>
  <si>
    <t>돌아올 환, 떨칠 불</t>
  </si>
  <si>
    <t>돌아볼 고, 손님 객</t>
  </si>
  <si>
    <t>칠 공, 칠 격</t>
  </si>
  <si>
    <t>부를 호, 호소할 소</t>
  </si>
  <si>
    <t>장가들 빙, 어른 장</t>
  </si>
  <si>
    <t>뚫을 철, 밑 저</t>
  </si>
  <si>
    <t>묻을 매, 장사 지낼 장</t>
  </si>
  <si>
    <t>도색</t>
  </si>
  <si>
    <t>塗色</t>
  </si>
  <si>
    <t>칠할 도, 빛깔 색</t>
  </si>
  <si>
    <t>마땅할 타, 화합할 협</t>
  </si>
  <si>
    <t>화로</t>
  </si>
  <si>
    <t>火爐</t>
  </si>
  <si>
    <t>불 화, 화로 로</t>
  </si>
  <si>
    <t>죽을 상, 수레 여</t>
  </si>
  <si>
    <t>짝 필, 대적할 적</t>
  </si>
  <si>
    <t>탈루</t>
  </si>
  <si>
    <t>脫漏</t>
  </si>
  <si>
    <t>벗을 탈, 새어 나갈 루</t>
  </si>
  <si>
    <t>가리킬 지, 들춰낼 적</t>
  </si>
  <si>
    <t>분주</t>
  </si>
  <si>
    <t>奔走</t>
  </si>
  <si>
    <t>사알</t>
  </si>
  <si>
    <t>賜謁</t>
  </si>
  <si>
    <t>줄 사, 뵐 알</t>
  </si>
  <si>
    <t>체증</t>
  </si>
  <si>
    <t>滯症</t>
  </si>
  <si>
    <t>막힐 체, 증세 증</t>
  </si>
  <si>
    <t>뉘우칠 회, 한탄할 한</t>
  </si>
  <si>
    <t>간기</t>
  </si>
  <si>
    <t>想祈</t>
  </si>
  <si>
    <t>생각할 상, 빌 기</t>
  </si>
  <si>
    <t>서량</t>
  </si>
  <si>
    <t>恕諒</t>
  </si>
  <si>
    <t>용서할 서, 살필 량</t>
  </si>
  <si>
    <t>긍낙</t>
  </si>
  <si>
    <t>肯諾</t>
  </si>
  <si>
    <t>즐길 긍, 대답할 낙</t>
  </si>
  <si>
    <t>점등</t>
  </si>
  <si>
    <t>漸騰</t>
  </si>
  <si>
    <t>점점 점, 오를 등</t>
  </si>
  <si>
    <t>견딜 내, 떨칠 진</t>
  </si>
  <si>
    <t>훼모</t>
  </si>
  <si>
    <t>毁慕</t>
  </si>
  <si>
    <t>헐 훼, 그리워할 모</t>
  </si>
  <si>
    <t>되 호, 나비 접</t>
  </si>
  <si>
    <t>모책</t>
  </si>
  <si>
    <t>謀策</t>
  </si>
  <si>
    <t>꾀 모, 꾀 책</t>
  </si>
  <si>
    <t>용렬</t>
  </si>
  <si>
    <t>庸劣</t>
  </si>
  <si>
    <t>떳떳할 용, 못할 렬</t>
  </si>
  <si>
    <t>구름 운, 안개 무</t>
  </si>
  <si>
    <t>곡피</t>
  </si>
  <si>
    <t>穀皮</t>
  </si>
  <si>
    <t>곡식 곡, 가죽 피</t>
  </si>
  <si>
    <t>銅器</t>
  </si>
  <si>
    <t>구리 동, 그릇 기</t>
  </si>
  <si>
    <t>복속</t>
  </si>
  <si>
    <t>服屬</t>
  </si>
  <si>
    <t>옷 복, 붙을 속</t>
  </si>
  <si>
    <t>송무</t>
  </si>
  <si>
    <t>訟務</t>
  </si>
  <si>
    <t>송사할 송, 힘쓸 무</t>
  </si>
  <si>
    <t>정결</t>
  </si>
  <si>
    <t>淨潔</t>
  </si>
  <si>
    <t>깨끗할 정, 깨끗할 결</t>
  </si>
  <si>
    <t>졸부</t>
  </si>
  <si>
    <t>卒富 / 猝富</t>
  </si>
  <si>
    <t>마칠 졸 / 갑자기 졸, 부자 부</t>
  </si>
  <si>
    <t>자친</t>
  </si>
  <si>
    <t>慈親</t>
  </si>
  <si>
    <t>사랑 자, 친할 친</t>
  </si>
  <si>
    <t>여정</t>
  </si>
  <si>
    <t>旅程</t>
  </si>
  <si>
    <t>나그네 려, 한도 정</t>
  </si>
  <si>
    <t>餘情</t>
  </si>
  <si>
    <t>남을 여, 뜻 정</t>
  </si>
  <si>
    <t>염량</t>
  </si>
  <si>
    <t>炎涼 / 炎凉</t>
  </si>
  <si>
    <t>불탈 염, 서늘할 량</t>
  </si>
  <si>
    <t>각자</t>
  </si>
  <si>
    <t>角者</t>
  </si>
  <si>
    <t>뿔 각, 놈 자</t>
  </si>
  <si>
    <t>상전</t>
  </si>
  <si>
    <t>유복</t>
  </si>
  <si>
    <t>裕福</t>
  </si>
  <si>
    <t>넉넉할 유, 복 복</t>
  </si>
  <si>
    <t>태어날 탄, 날 생</t>
  </si>
  <si>
    <t>천부</t>
  </si>
  <si>
    <t>天賦</t>
  </si>
  <si>
    <t>하늘 천, 구실 부</t>
  </si>
  <si>
    <t>겸비</t>
  </si>
  <si>
    <t>兼備</t>
  </si>
  <si>
    <t>겸할 겸, 갖출 비</t>
  </si>
  <si>
    <t>궁곡</t>
  </si>
  <si>
    <t>窮谷</t>
  </si>
  <si>
    <t>다할 궁, 골 곡</t>
  </si>
  <si>
    <t>埋藏</t>
  </si>
  <si>
    <t>묻을 매, 감출 장</t>
  </si>
  <si>
    <t>싸울 투, 다툴 쟁</t>
  </si>
  <si>
    <t>점거</t>
  </si>
  <si>
    <t>占據</t>
  </si>
  <si>
    <t>점칠 점, 근거 거</t>
  </si>
  <si>
    <t>疏忽 / 疎忽</t>
  </si>
  <si>
    <t>트일 소 / 멀 소, 소홀할 홀</t>
  </si>
  <si>
    <t>모면</t>
  </si>
  <si>
    <t>謀免</t>
  </si>
  <si>
    <t>꾀 모, 면할 면</t>
  </si>
  <si>
    <t>두뇌</t>
  </si>
  <si>
    <t>頭腦</t>
  </si>
  <si>
    <t>머리 두, 골 뇌</t>
  </si>
  <si>
    <t>항간</t>
  </si>
  <si>
    <t>巷間</t>
  </si>
  <si>
    <t>거리 항, 사이 간</t>
  </si>
  <si>
    <t>미망</t>
  </si>
  <si>
    <t>迷妄</t>
  </si>
  <si>
    <t>미혹할 미, 망령될 망</t>
  </si>
  <si>
    <t>유치</t>
  </si>
  <si>
    <t>誘致</t>
  </si>
  <si>
    <t>꾈 유, 이를 치</t>
  </si>
  <si>
    <t>중론</t>
  </si>
  <si>
    <t>衆論</t>
  </si>
  <si>
    <t>무리 중, 논할 론</t>
  </si>
  <si>
    <t>가금</t>
  </si>
  <si>
    <t>家禽</t>
  </si>
  <si>
    <t>집 가, 새 금</t>
  </si>
  <si>
    <t>외모</t>
  </si>
  <si>
    <t>外貌</t>
  </si>
  <si>
    <t>바깥 외, 모양 모</t>
  </si>
  <si>
    <t>추남</t>
  </si>
  <si>
    <t>醜男</t>
  </si>
  <si>
    <t>더러울 추, 사내 남</t>
  </si>
  <si>
    <t>치졸</t>
  </si>
  <si>
    <t>어릴 치, 졸할 졸</t>
  </si>
  <si>
    <t>여적</t>
  </si>
  <si>
    <t>餘滴</t>
  </si>
  <si>
    <t>남을 여, 물방울 적</t>
  </si>
  <si>
    <t>신혼</t>
  </si>
  <si>
    <t>晨昏</t>
  </si>
  <si>
    <t>새벽 신, 어두울 혼</t>
  </si>
  <si>
    <t>다만 단, 다만 지</t>
  </si>
  <si>
    <t>사가</t>
  </si>
  <si>
    <t>賜暇</t>
  </si>
  <si>
    <t>줄 사, 겨를 가</t>
  </si>
  <si>
    <t>더딜 지, 새길 각</t>
  </si>
  <si>
    <t>막을 방, 썩을 부</t>
  </si>
  <si>
    <t>초빈</t>
  </si>
  <si>
    <t>招賓</t>
  </si>
  <si>
    <t>부를 초, 손님 빈</t>
  </si>
  <si>
    <t>서독</t>
  </si>
  <si>
    <t>暑毒</t>
  </si>
  <si>
    <t>더위 서, 독 독</t>
  </si>
  <si>
    <t>제중</t>
  </si>
  <si>
    <t>濟衆</t>
  </si>
  <si>
    <t>건널 제, 무리 중</t>
  </si>
  <si>
    <t>사증</t>
  </si>
  <si>
    <t>查證</t>
  </si>
  <si>
    <t>조사할 사, 증거 증</t>
  </si>
  <si>
    <t>규찰</t>
  </si>
  <si>
    <t>糾察</t>
  </si>
  <si>
    <t>얽힐 규, 살필 찰</t>
  </si>
  <si>
    <t>작량</t>
  </si>
  <si>
    <t>酌量</t>
  </si>
  <si>
    <t>술 부을 작, 헤아릴 량</t>
  </si>
  <si>
    <t>부존</t>
  </si>
  <si>
    <t>賦存</t>
  </si>
  <si>
    <t>구실 부, 있을 존</t>
  </si>
  <si>
    <t>회포</t>
  </si>
  <si>
    <t>懷抱</t>
  </si>
  <si>
    <t>품을 회, 안을 포</t>
  </si>
  <si>
    <t>자충</t>
  </si>
  <si>
    <t>刺衝</t>
  </si>
  <si>
    <t>찌를 자, 찌를 충</t>
  </si>
  <si>
    <t>양금</t>
  </si>
  <si>
    <t>良禽</t>
  </si>
  <si>
    <t>어질 양, 새 금</t>
  </si>
  <si>
    <t>현정</t>
  </si>
  <si>
    <t>顯正</t>
  </si>
  <si>
    <t>나타날 현, 바를 정</t>
  </si>
  <si>
    <t>묵종</t>
  </si>
  <si>
    <t>默從</t>
  </si>
  <si>
    <t>잠잠할 묵, 좇을 종</t>
  </si>
  <si>
    <t>교언</t>
  </si>
  <si>
    <t>巧言</t>
  </si>
  <si>
    <t>공교할 교, 말씀 언</t>
  </si>
  <si>
    <t>높을 숭, 그리워할 모</t>
  </si>
  <si>
    <t>빠질 함, 잠길 몰</t>
  </si>
  <si>
    <t>구할 수, 요긴할 요</t>
  </si>
  <si>
    <t>횡포</t>
  </si>
  <si>
    <t>橫暴</t>
  </si>
  <si>
    <t>가로 횡, 사나울 폭</t>
  </si>
  <si>
    <t>기존</t>
  </si>
  <si>
    <t>既存</t>
  </si>
  <si>
    <t>이미 기, 있을 존</t>
  </si>
  <si>
    <t>판촉</t>
  </si>
  <si>
    <t>販促</t>
  </si>
  <si>
    <t>팔 판, 재촉할 촉</t>
  </si>
  <si>
    <t>파멸</t>
  </si>
  <si>
    <t>破滅</t>
  </si>
  <si>
    <t>깨뜨릴 파, 멸망할 멸</t>
  </si>
  <si>
    <t>음란</t>
  </si>
  <si>
    <t>淫亂</t>
  </si>
  <si>
    <t>음란할 음, 어지러울 란</t>
  </si>
  <si>
    <t>의혹</t>
  </si>
  <si>
    <t>疑惑</t>
  </si>
  <si>
    <t>의심할 의, 미혹할 혹</t>
  </si>
  <si>
    <t>월부</t>
  </si>
  <si>
    <t>月賦</t>
  </si>
  <si>
    <t>달 월, 구실 부</t>
  </si>
  <si>
    <t>파면</t>
  </si>
  <si>
    <t>罷免</t>
  </si>
  <si>
    <t>마칠 파, 면할 면</t>
  </si>
  <si>
    <t>좌천</t>
  </si>
  <si>
    <t>응징할 징, 경계할 계</t>
  </si>
  <si>
    <t>극기</t>
  </si>
  <si>
    <t>克己</t>
  </si>
  <si>
    <t>이길 극, 몸 기</t>
  </si>
  <si>
    <t>윤상</t>
  </si>
  <si>
    <t>倫常</t>
  </si>
  <si>
    <t>인륜 윤, 항상 상</t>
  </si>
  <si>
    <t>헌배</t>
  </si>
  <si>
    <t>獻杯</t>
  </si>
  <si>
    <t>바칠 헌, 잔 배</t>
  </si>
  <si>
    <t>탄금</t>
  </si>
  <si>
    <t>彈琴</t>
  </si>
  <si>
    <t>탈 탄, 거문고 금</t>
  </si>
  <si>
    <t>방사</t>
  </si>
  <si>
    <t>倣似</t>
  </si>
  <si>
    <t>본뜰 방, 닮을 사</t>
  </si>
  <si>
    <t>사나울 폭, 더위 서</t>
  </si>
  <si>
    <t>탁오</t>
  </si>
  <si>
    <t>濁汚</t>
  </si>
  <si>
    <t>흐릴 탁, 더러울 오</t>
  </si>
  <si>
    <t>정직</t>
  </si>
  <si>
    <t>停職</t>
  </si>
  <si>
    <t>머무를 정, 직분 직</t>
  </si>
  <si>
    <t>박명</t>
  </si>
  <si>
    <t>薄命</t>
  </si>
  <si>
    <t>엷을 박, 목숨 명</t>
  </si>
  <si>
    <t>금의</t>
  </si>
  <si>
    <t>쓸 용, 못날 렬</t>
  </si>
  <si>
    <t>빈삭</t>
  </si>
  <si>
    <t>頻數</t>
  </si>
  <si>
    <t>자주 빈, 자주 삭</t>
  </si>
  <si>
    <t>고유어</t>
  </si>
  <si>
    <t>固有語</t>
  </si>
  <si>
    <t>굳을 고, 있을 유, 말씀 어</t>
  </si>
  <si>
    <t>면종복배</t>
  </si>
  <si>
    <t>面從腹背</t>
  </si>
  <si>
    <t>낯 면, 좇을 종, 배 복, 등 배</t>
  </si>
  <si>
    <t>경계</t>
  </si>
  <si>
    <t>警戒</t>
  </si>
  <si>
    <t>깨우칠 경, 경계할 계</t>
  </si>
  <si>
    <t>무실</t>
  </si>
  <si>
    <t>務實</t>
  </si>
  <si>
    <t>힘쓸 무, 열매 실</t>
  </si>
  <si>
    <t>기고</t>
  </si>
  <si>
    <t>寄稿</t>
  </si>
  <si>
    <t>부칠 기, 원고 고</t>
  </si>
  <si>
    <t>장할 장, 길 도</t>
  </si>
  <si>
    <t>당돌</t>
  </si>
  <si>
    <t>唐突</t>
  </si>
  <si>
    <t>당나라 당, 갑자기 돌</t>
  </si>
  <si>
    <t>누적</t>
  </si>
  <si>
    <t>累積</t>
  </si>
  <si>
    <t>포갤 루, 쌓을 적</t>
  </si>
  <si>
    <t>시세</t>
  </si>
  <si>
    <t>時勢</t>
  </si>
  <si>
    <t>때 시, 형세 세</t>
  </si>
  <si>
    <t>혼미</t>
  </si>
  <si>
    <t>昏迷</t>
  </si>
  <si>
    <t>어두울 혼, 미혹할 미</t>
  </si>
  <si>
    <t>암반</t>
  </si>
  <si>
    <t>巖盤</t>
  </si>
  <si>
    <t>바위 암, 소반 반</t>
  </si>
  <si>
    <t>봉착</t>
  </si>
  <si>
    <t>逢着</t>
  </si>
  <si>
    <t>만날 봉, 붙을 착</t>
  </si>
  <si>
    <t>가불</t>
  </si>
  <si>
    <t>假拂</t>
  </si>
  <si>
    <t>거짓 가, 떨칠 불</t>
  </si>
  <si>
    <t>소실</t>
  </si>
  <si>
    <t>燒失</t>
  </si>
  <si>
    <t>사를 소, 잃을 실</t>
  </si>
  <si>
    <t>엽기</t>
  </si>
  <si>
    <t>獵奇</t>
  </si>
  <si>
    <t>사냥할 엽, 기이할 기</t>
  </si>
  <si>
    <t>참괴</t>
  </si>
  <si>
    <t>慙愧</t>
  </si>
  <si>
    <t>부끄러워할 참, 부끄러워할 괴</t>
  </si>
  <si>
    <t>제당</t>
  </si>
  <si>
    <t>製糖</t>
  </si>
  <si>
    <t>지을 제, 사탕 당</t>
  </si>
  <si>
    <t>이를 조, 벼 도</t>
  </si>
  <si>
    <t>반주</t>
  </si>
  <si>
    <t>伴奏</t>
  </si>
  <si>
    <t>짝 반, 아뢸 주</t>
  </si>
  <si>
    <t>나무를 함부로 마구 베어냄</t>
  </si>
  <si>
    <t>포획</t>
  </si>
  <si>
    <t>捕獲</t>
  </si>
  <si>
    <t>짐승이나 물고기들을 잡음</t>
  </si>
  <si>
    <t>재액</t>
  </si>
  <si>
    <t>災厄</t>
  </si>
  <si>
    <t>재앙과 액운</t>
  </si>
  <si>
    <t>아침 일찍 부모님의 안부를 살핌</t>
  </si>
  <si>
    <t>매우 잦음</t>
  </si>
  <si>
    <t>형화</t>
  </si>
  <si>
    <t>螢火</t>
  </si>
  <si>
    <t>반딧불</t>
  </si>
  <si>
    <t>책이나 문서를 죽 내리 훑어 봄</t>
  </si>
  <si>
    <t>붕락</t>
  </si>
  <si>
    <t>崩落</t>
  </si>
  <si>
    <t>무너져서 떨어짐</t>
  </si>
  <si>
    <t>호발</t>
  </si>
  <si>
    <t>毫髮</t>
  </si>
  <si>
    <t>매우 가늘고 작은 털, 아주 미세한 것</t>
  </si>
  <si>
    <t>하늘 건, 땅 곤</t>
  </si>
  <si>
    <t>진노</t>
  </si>
  <si>
    <t>震怒</t>
  </si>
  <si>
    <t>우레 진, 성낼 노</t>
  </si>
  <si>
    <t>흉리</t>
  </si>
  <si>
    <t>胸裹</t>
  </si>
  <si>
    <t>가슴 흉, 속 리</t>
  </si>
  <si>
    <t>捨棄</t>
  </si>
  <si>
    <t>버릴 사, 버릴 기</t>
  </si>
  <si>
    <t>묘맥</t>
  </si>
  <si>
    <t>苗脈</t>
  </si>
  <si>
    <t>모 묘, 줄기 맥</t>
  </si>
  <si>
    <t>요원</t>
  </si>
  <si>
    <t>遙遠</t>
  </si>
  <si>
    <t>멀 요, 멀 원</t>
  </si>
  <si>
    <t>흉포</t>
  </si>
  <si>
    <t>凶暴</t>
  </si>
  <si>
    <t>흉할 흉, 사나울 폭</t>
  </si>
  <si>
    <t>혐기</t>
  </si>
  <si>
    <t>嫌忌</t>
  </si>
  <si>
    <t>싫어할 혐, 꺼릴 기</t>
  </si>
  <si>
    <t>건답</t>
  </si>
  <si>
    <t>乾奋</t>
  </si>
  <si>
    <t>마를 건, 밭 답</t>
  </si>
  <si>
    <t>불사를 소, 물리칠 각</t>
  </si>
  <si>
    <t>추궁</t>
  </si>
  <si>
    <t>追窮</t>
  </si>
  <si>
    <t>쫓을 추, 다할 궁</t>
  </si>
  <si>
    <t>청문</t>
  </si>
  <si>
    <t>聽聞</t>
  </si>
  <si>
    <t>들을 청, 들을 문</t>
  </si>
  <si>
    <t>영점</t>
  </si>
  <si>
    <t>零點</t>
  </si>
  <si>
    <t>떨어질 령, 점 점</t>
  </si>
  <si>
    <t>적응</t>
  </si>
  <si>
    <t>適應</t>
  </si>
  <si>
    <t>맞을 적, 응할 응</t>
  </si>
  <si>
    <t>명복</t>
  </si>
  <si>
    <t>冥福</t>
  </si>
  <si>
    <t>어두울 명, 복 복</t>
  </si>
  <si>
    <t>수반</t>
  </si>
  <si>
    <t>隨伴</t>
  </si>
  <si>
    <t>따를 수, 짝 반</t>
  </si>
  <si>
    <t>봉기</t>
  </si>
  <si>
    <t>蜂起</t>
  </si>
  <si>
    <t>벌 봉, 일어날 기</t>
  </si>
  <si>
    <t>소집</t>
  </si>
  <si>
    <t>召集</t>
  </si>
  <si>
    <t>부를 소, 모을 집</t>
  </si>
  <si>
    <t>찾을 수, 조사할 사</t>
  </si>
  <si>
    <t>부칠 기, 줄 증</t>
  </si>
  <si>
    <t>아저씨 숙, 조카 질</t>
  </si>
  <si>
    <t>숭상</t>
  </si>
  <si>
    <t>崇尚</t>
  </si>
  <si>
    <t>높을 숭, 오히려 상</t>
  </si>
  <si>
    <t>클 홍, 갚을 보</t>
  </si>
  <si>
    <t>근원</t>
  </si>
  <si>
    <t>根源</t>
  </si>
  <si>
    <t>뿌리 근, 근원 원</t>
  </si>
  <si>
    <t>초략</t>
  </si>
  <si>
    <t>抄掠</t>
  </si>
  <si>
    <t>뽑을 초, 노략질할 략</t>
  </si>
  <si>
    <t>구축</t>
  </si>
  <si>
    <t>驅逐</t>
  </si>
  <si>
    <t>몰 구, 쫓을 축</t>
  </si>
  <si>
    <t>낳을 탄, 때 신</t>
  </si>
  <si>
    <t>진폭</t>
  </si>
  <si>
    <t>震幅</t>
  </si>
  <si>
    <t>우레 진, 폭 폭</t>
  </si>
  <si>
    <t>높을 숭, 우러를 앙</t>
  </si>
  <si>
    <t>치욕</t>
  </si>
  <si>
    <t>恥辱</t>
  </si>
  <si>
    <t>부끄러울 치, 욕될 욕</t>
  </si>
  <si>
    <t>훔칠 절, 도둑 도</t>
  </si>
  <si>
    <t>베풀 선, 날릴 양</t>
  </si>
  <si>
    <t>변론</t>
  </si>
  <si>
    <t>辯論</t>
  </si>
  <si>
    <t>말씀 변, 논할 론</t>
  </si>
  <si>
    <t>여러 루, 쌓을 적</t>
  </si>
  <si>
    <t>심을 수, 심을 예</t>
  </si>
  <si>
    <t>맞을 영, 대접할 접</t>
  </si>
  <si>
    <t>푸를 창, 소나무 송</t>
  </si>
  <si>
    <t>떠돌 표, 머무를 박</t>
  </si>
  <si>
    <t>넓을 호, 땀 한</t>
  </si>
  <si>
    <t>줄일 축, 인쇄할 쇄</t>
  </si>
  <si>
    <t>옹졸할 졸, 원고 고</t>
  </si>
  <si>
    <t>그윽할 유, 넋 혼</t>
  </si>
  <si>
    <t>보배 보, 창고 고</t>
  </si>
  <si>
    <t>저명</t>
  </si>
  <si>
    <t>著名</t>
  </si>
  <si>
    <t>나타날 저, 이름 명</t>
  </si>
  <si>
    <t>실제</t>
  </si>
  <si>
    <t>實際</t>
  </si>
  <si>
    <t>열매 실, 가 제</t>
  </si>
  <si>
    <t>직시</t>
  </si>
  <si>
    <t>直視</t>
  </si>
  <si>
    <t>곧을 직, 볼 시</t>
  </si>
  <si>
    <t>악폐</t>
  </si>
  <si>
    <t>惡弊</t>
  </si>
  <si>
    <t>악할 악, 해어질 폐</t>
  </si>
  <si>
    <t>방책</t>
  </si>
  <si>
    <t>方策</t>
  </si>
  <si>
    <t>모 방, 꾀 책</t>
  </si>
  <si>
    <t>상소</t>
  </si>
  <si>
    <t>上疏</t>
  </si>
  <si>
    <t>위 상, 소통할 소</t>
  </si>
  <si>
    <t>개진</t>
  </si>
  <si>
    <t>開陳</t>
  </si>
  <si>
    <t>열 개, 베풀 진</t>
  </si>
  <si>
    <t>지역</t>
  </si>
  <si>
    <t>地域</t>
  </si>
  <si>
    <t>땅 지, 지경 역</t>
  </si>
  <si>
    <t>機關</t>
  </si>
  <si>
    <t>틀 기, 빗장 관</t>
  </si>
  <si>
    <t>추진</t>
  </si>
  <si>
    <t>推進</t>
  </si>
  <si>
    <t>밀 추, 나아갈 진</t>
  </si>
  <si>
    <t>계속</t>
  </si>
  <si>
    <t>繼續</t>
  </si>
  <si>
    <t>이을 계, 이을 속</t>
  </si>
  <si>
    <t>담보</t>
  </si>
  <si>
    <t>擔保</t>
  </si>
  <si>
    <t>멜 담, 지킬 보</t>
  </si>
  <si>
    <t>비율</t>
  </si>
  <si>
    <t>比率</t>
  </si>
  <si>
    <t>견줄 비, 비율 률</t>
  </si>
  <si>
    <t>조정</t>
  </si>
  <si>
    <t>調整</t>
  </si>
  <si>
    <t>고를 조, 가지런할 정</t>
  </si>
  <si>
    <t>규모</t>
  </si>
  <si>
    <t>規模</t>
  </si>
  <si>
    <t>법 구, 법 모</t>
  </si>
  <si>
    <t>각박</t>
  </si>
  <si>
    <t>刻薄</t>
  </si>
  <si>
    <t>새길 각, 엷을 박</t>
  </si>
  <si>
    <t>세태</t>
  </si>
  <si>
    <t>世態</t>
  </si>
  <si>
    <t>대 세, 모습 태</t>
  </si>
  <si>
    <t>분할 분, 슬퍼할 개</t>
  </si>
  <si>
    <t>강녕</t>
  </si>
  <si>
    <t>康寧</t>
  </si>
  <si>
    <t>편안 강, 편안 녕</t>
  </si>
  <si>
    <t>둔기</t>
  </si>
  <si>
    <t>鈍器</t>
  </si>
  <si>
    <t>둔할 둔, 그릇 기</t>
  </si>
  <si>
    <t>음력</t>
  </si>
  <si>
    <t>陰曆</t>
  </si>
  <si>
    <t>그늘 음, 책력 력</t>
  </si>
  <si>
    <t>솜 면, 빽빽할 밀</t>
  </si>
  <si>
    <t>졸할 졸, 원고 고</t>
  </si>
  <si>
    <t>대차</t>
  </si>
  <si>
    <t>貸借</t>
  </si>
  <si>
    <t>빌릴 대, 빌릴 차</t>
  </si>
  <si>
    <t>채무</t>
  </si>
  <si>
    <t>債務</t>
  </si>
  <si>
    <t>빚 채, 힘쓸 무</t>
  </si>
  <si>
    <t>연안</t>
  </si>
  <si>
    <t>沿岸</t>
  </si>
  <si>
    <t>물 따라갈 연, 언덕 안</t>
  </si>
  <si>
    <t>두루 주, 알 지</t>
  </si>
  <si>
    <t>산맥</t>
  </si>
  <si>
    <t>山脈</t>
  </si>
  <si>
    <t>뫼 산, 줄기 맥</t>
  </si>
  <si>
    <t>연고 고, 있을 유, 말씀 어</t>
  </si>
  <si>
    <t>감각어</t>
  </si>
  <si>
    <t>感覺語</t>
  </si>
  <si>
    <t>느낄 감, 깨달을 각, 말씀 어</t>
  </si>
  <si>
    <t>상징어</t>
  </si>
  <si>
    <t>象徵語</t>
  </si>
  <si>
    <t>형상 상, 부를 징, 말씀 어</t>
  </si>
  <si>
    <t>정밀</t>
  </si>
  <si>
    <t>精密</t>
  </si>
  <si>
    <t>정할 정, 빽빽할 밀</t>
  </si>
  <si>
    <t>결함</t>
  </si>
  <si>
    <t>缺陷</t>
  </si>
  <si>
    <t>이지러질 결, 빠질 함</t>
  </si>
  <si>
    <t>과식</t>
  </si>
  <si>
    <t>誇飾</t>
  </si>
  <si>
    <t>자랑할 과, 꾸밀 식</t>
  </si>
  <si>
    <t>顧慮</t>
  </si>
  <si>
    <t>돌아볼 고, 생각할 려</t>
  </si>
  <si>
    <t>공경</t>
  </si>
  <si>
    <t>恭敬</t>
  </si>
  <si>
    <t>공손할 공, 공경할 경</t>
  </si>
  <si>
    <t>봉작</t>
  </si>
  <si>
    <t>封爵</t>
  </si>
  <si>
    <t>봉할 봉, 벼슬 작</t>
  </si>
  <si>
    <t>공란</t>
  </si>
  <si>
    <t>空欄</t>
  </si>
  <si>
    <t>빌 공, 난간 란</t>
  </si>
  <si>
    <t>파천</t>
  </si>
  <si>
    <t>播遷</t>
  </si>
  <si>
    <t>뿌릴 파, 옮길 천</t>
  </si>
  <si>
    <t>시위</t>
  </si>
  <si>
    <t>示威</t>
  </si>
  <si>
    <t>보일 시, 위엄 위</t>
  </si>
  <si>
    <t>주도</t>
  </si>
  <si>
    <t>主導</t>
  </si>
  <si>
    <t>주인 주, 인도할 도</t>
  </si>
  <si>
    <t>令狀</t>
  </si>
  <si>
    <t>하여금 령, 문서 장</t>
  </si>
  <si>
    <t>기각</t>
  </si>
  <si>
    <t>棄却</t>
  </si>
  <si>
    <t>버릴 기, 물리칠 각</t>
  </si>
  <si>
    <t>개최</t>
  </si>
  <si>
    <t>開催</t>
  </si>
  <si>
    <t>열 개, 꺾을 최</t>
  </si>
  <si>
    <t>홍수</t>
  </si>
  <si>
    <t>洪水</t>
  </si>
  <si>
    <t>큰물 홍, 물 수</t>
  </si>
  <si>
    <t>넘을 초, 지날 과</t>
  </si>
  <si>
    <t>침탈</t>
  </si>
  <si>
    <t>侵奪</t>
  </si>
  <si>
    <t>침노할 침, 뺏을 탈</t>
  </si>
  <si>
    <t>머금을 포, 머금을 함</t>
  </si>
  <si>
    <t>주조</t>
  </si>
  <si>
    <t>鑄造</t>
  </si>
  <si>
    <t>불릴 주, 지을 조</t>
  </si>
  <si>
    <t>을해</t>
  </si>
  <si>
    <t>乙亥</t>
  </si>
  <si>
    <t>새 을, 돼지 해</t>
  </si>
  <si>
    <t>금속</t>
  </si>
  <si>
    <t>金屬</t>
  </si>
  <si>
    <t>쇠 금, 붙을 속</t>
  </si>
  <si>
    <t>인쇄</t>
  </si>
  <si>
    <t>印刷</t>
  </si>
  <si>
    <t>도장 인, 박을 쇄</t>
  </si>
  <si>
    <t>갑인</t>
  </si>
  <si>
    <t>甲寅</t>
  </si>
  <si>
    <t>갑옷 갑, 범 인</t>
  </si>
  <si>
    <t>계미</t>
  </si>
  <si>
    <t>癸未</t>
  </si>
  <si>
    <t>북방 계, 아닐 미</t>
  </si>
  <si>
    <t>예방</t>
  </si>
  <si>
    <t>豫防</t>
  </si>
  <si>
    <t>미리 예, 막을 방</t>
  </si>
  <si>
    <t>아집</t>
  </si>
  <si>
    <t>我執</t>
  </si>
  <si>
    <t>나 아, 잡을 집</t>
  </si>
  <si>
    <t>만삭</t>
  </si>
  <si>
    <t>滿朔</t>
  </si>
  <si>
    <t>찰 만, 초하루 삭</t>
  </si>
  <si>
    <t>나눌 배, 짝 필</t>
  </si>
  <si>
    <t>의원</t>
  </si>
  <si>
    <t>議員</t>
  </si>
  <si>
    <t>의논할 의, 인원 원</t>
  </si>
  <si>
    <t>경영</t>
  </si>
  <si>
    <t>經營</t>
  </si>
  <si>
    <t>다스릴 경, 경영할 영</t>
  </si>
  <si>
    <t>투기</t>
  </si>
  <si>
    <t>投棄</t>
  </si>
  <si>
    <t>던질 투, 버릴 기</t>
  </si>
  <si>
    <t>반란</t>
  </si>
  <si>
    <t>叛亂 / 反亂</t>
  </si>
  <si>
    <t>배반할 반, 어지러울 란</t>
  </si>
  <si>
    <t>쾌청</t>
  </si>
  <si>
    <t>快晴</t>
  </si>
  <si>
    <t>쾌할 쾌, 갤 청</t>
  </si>
  <si>
    <t>도략</t>
  </si>
  <si>
    <t>盜掠</t>
  </si>
  <si>
    <t>도둑 도, 노략질할 략</t>
  </si>
  <si>
    <t>추잡</t>
  </si>
  <si>
    <t>醜雜</t>
  </si>
  <si>
    <t>추할 추, 섞일 잡</t>
  </si>
  <si>
    <t>주변</t>
  </si>
  <si>
    <t>周邊</t>
  </si>
  <si>
    <t>두루 주, 가 변</t>
  </si>
  <si>
    <t>이미 기, 혼인 혼</t>
  </si>
  <si>
    <t>숙박</t>
  </si>
  <si>
    <t>宿泊</t>
  </si>
  <si>
    <t>잘 숙, 배댈 박</t>
  </si>
  <si>
    <t>가을 추, 가는 털 호</t>
  </si>
  <si>
    <t>乾沓</t>
  </si>
  <si>
    <t>마를 건, 논 답</t>
  </si>
  <si>
    <t>열세</t>
  </si>
  <si>
    <t>劣勢</t>
  </si>
  <si>
    <t>못할 렬, 형세 세</t>
  </si>
  <si>
    <t>기일</t>
  </si>
  <si>
    <t>忌日</t>
  </si>
  <si>
    <t>꺼릴 기, 날 일</t>
  </si>
  <si>
    <t>빈출 상위 10</t>
  </si>
  <si>
    <t>D</t>
  </si>
  <si>
    <t>유의어/반의어/상대어(수정 필요)</t>
  </si>
  <si>
    <t>부수</t>
  </si>
  <si>
    <t>약자</t>
  </si>
  <si>
    <t>반의어(글자)</t>
  </si>
  <si>
    <t>반의어(단어)</t>
  </si>
  <si>
    <t>뜻풀이</t>
  </si>
  <si>
    <t>같은 음 단어</t>
  </si>
  <si>
    <t>사자성어</t>
  </si>
  <si>
    <t>쓰기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</si>
</sst>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14.0"/>
      <color theme="1"/>
      <name val="&quot;Google Sans Text&quot;"/>
    </font>
    <font>
      <sz val="14.0"/>
      <color rgb="FF1F1F1F"/>
      <name val="&quot;Google Sans Text&quot;"/>
    </font>
    <font>
      <sz val="14.0"/>
      <color rgb="FF1B1C1D"/>
      <name val="&quot;Google Sans Text&quot;"/>
    </font>
    <font>
      <sz val="18.0"/>
      <color theme="1"/>
      <name val="Arial"/>
      <scheme val="minor"/>
    </font>
    <font>
      <sz val="14.0"/>
      <color rgb="FF000000"/>
      <name val="&quot;맑은 고딕&quot;"/>
    </font>
    <font>
      <sz val="14.0"/>
      <color theme="1"/>
      <name val="Arial"/>
    </font>
    <font>
      <sz val="14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F6F8F9"/>
      </bottom>
    </border>
    <border>
      <left style="thin">
        <color rgb="FFF6F8F9"/>
      </left>
      <right style="thin">
        <color rgb="FF284E3F"/>
      </right>
      <bottom style="thin">
        <color rgb="FFF6F8F9"/>
      </bottom>
    </border>
    <border>
      <left style="thin">
        <color rgb="FFFFFFFF"/>
      </left>
      <right style="thin">
        <color rgb="FF284E3F"/>
      </right>
      <bottom style="thin">
        <color rgb="FFF6F8F9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quotePrefix="1"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6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2" fontId="9" numFmtId="0" xfId="0" applyAlignment="1" applyBorder="1" applyFont="1">
      <alignment horizontal="center" readingOrder="0" shrinkToFit="0" vertical="center" wrapText="1"/>
    </xf>
    <xf borderId="2" fillId="3" fontId="9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부수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약자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유의어반의어상대어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뜻풀이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같은 음 단어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사자성어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쓰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380" displayName="Hanja_Radical_Answers" name="Hanja_Radical_Answers" id="1">
  <tableColumns count="8">
    <tableColumn name="번호" id="1"/>
    <tableColumn name="회차" id="2"/>
    <tableColumn name="문제" id="3"/>
    <tableColumn name="독음" id="4"/>
    <tableColumn name="정답 (부수)" id="5"/>
    <tableColumn name="부수 이름" id="6"/>
    <tableColumn name="출제" id="7"/>
    <tableColumn name="오답" id="8"/>
  </tableColumns>
  <tableStyleInfo name="부수-style" showColumnStripes="0" showFirstColumn="1" showLastColumn="1" showRowStripes="1"/>
</table>
</file>

<file path=xl/tables/table2.xml><?xml version="1.0" encoding="utf-8"?>
<table xmlns="http://schemas.openxmlformats.org/spreadsheetml/2006/main" ref="A2:G246" displayName="Hanja_Character_Variants" name="Hanja_Character_Variants" id="2">
  <tableColumns count="7">
    <tableColumn name="번호" id="1"/>
    <tableColumn name="회차" id="2"/>
    <tableColumn name="문제" id="3"/>
    <tableColumn name="독음" id="4"/>
    <tableColumn name="정답" id="5"/>
    <tableColumn name="비고" id="6"/>
    <tableColumn name="출제" id="7"/>
  </tableColumns>
  <tableStyleInfo name="약자-style" showColumnStripes="0" showFirstColumn="1" showLastColumn="1" showRowStripes="1"/>
</table>
</file>

<file path=xl/tables/table3.xml><?xml version="1.0" encoding="utf-8"?>
<table xmlns="http://schemas.openxmlformats.org/spreadsheetml/2006/main" ref="B2:J3928" displayName="Hanja_Word_Relations" name="Hanja_Word_Relations" id="3">
  <autoFilter ref="$B$2:$J$3928">
    <filterColumn colId="1">
      <filters>
        <filter val="반의어"/>
        <filter val="상대어"/>
      </filters>
    </filterColumn>
  </autoFilter>
  <tableColumns count="9">
    <tableColumn name="회차" id="1"/>
    <tableColumn name="유형" id="2"/>
    <tableColumn name="문제" id="3"/>
    <tableColumn name="뜻" id="4"/>
    <tableColumn name="정답 한자" id="5"/>
    <tableColumn name="훈음" id="6"/>
    <tableColumn name="단어" id="7"/>
    <tableColumn name="출제" id="8"/>
    <tableColumn name="오답" id="9"/>
  </tableColumns>
  <tableStyleInfo name="유의어반의어상대어-style" showColumnStripes="0" showFirstColumn="1" showLastColumn="1" showRowStripes="1"/>
</table>
</file>

<file path=xl/tables/table4.xml><?xml version="1.0" encoding="utf-8"?>
<table xmlns="http://schemas.openxmlformats.org/spreadsheetml/2006/main" ref="A2:G382" displayName="Word_Meanings" name="Word_Meanings" id="4">
  <tableColumns count="7">
    <tableColumn name="번호" id="1"/>
    <tableColumn name="회차" id="2"/>
    <tableColumn name="문제" id="3"/>
    <tableColumn name="독음" id="4"/>
    <tableColumn name="정답 (뜻 풀이)" id="5"/>
    <tableColumn name="출제" id="6"/>
    <tableColumn name="오답" id="7"/>
  </tableColumns>
  <tableStyleInfo name="뜻풀이-style" showColumnStripes="0" showFirstColumn="1" showLastColumn="1" showRowStripes="1"/>
</table>
</file>

<file path=xl/tables/table5.xml><?xml version="1.0" encoding="utf-8"?>
<table xmlns="http://schemas.openxmlformats.org/spreadsheetml/2006/main" ref="A2:H382" displayName="헷갈리는_한자_정답" name="헷갈리는_한자_정답" id="5">
  <tableColumns count="8">
    <tableColumn name="번호" id="1"/>
    <tableColumn name="회차" id="2"/>
    <tableColumn name="문제" id="3"/>
    <tableColumn name="뜻" id="4"/>
    <tableColumn name="정답" id="5"/>
    <tableColumn name="독음" id="6"/>
    <tableColumn name="출제" id="7"/>
    <tableColumn name="오답" id="8"/>
  </tableColumns>
  <tableStyleInfo name="같은 음 단어-style" showColumnStripes="0" showFirstColumn="1" showLastColumn="1" showRowStripes="1"/>
</table>
</file>

<file path=xl/tables/table6.xml><?xml version="1.0" encoding="utf-8"?>
<table xmlns="http://schemas.openxmlformats.org/spreadsheetml/2006/main" ref="A2:I756" displayName="사자성어_퀴즈" name="사자성어_퀴즈" id="6">
  <tableColumns count="9">
    <tableColumn name="번호" id="1"/>
    <tableColumn name="회차" id="2"/>
    <tableColumn name="문제" id="3"/>
    <tableColumn name="정답 한자" id="4"/>
    <tableColumn name="훈음(뜻과 소리)" id="5"/>
    <tableColumn name="완성된 사자성어" id="6"/>
    <tableColumn name="뜻" id="7"/>
    <tableColumn name="출제" id="8"/>
    <tableColumn name="오답" id="9"/>
  </tableColumns>
  <tableStyleInfo name="사자성어-style" showColumnStripes="0" showFirstColumn="1" showLastColumn="1" showRowStripes="1"/>
</table>
</file>

<file path=xl/tables/table7.xml><?xml version="1.0" encoding="utf-8"?>
<table xmlns="http://schemas.openxmlformats.org/spreadsheetml/2006/main" ref="A2:G2923" displayName="Hanja_Practice_Sheet" name="Hanja_Practice_Sheet" id="7">
  <tableColumns count="7">
    <tableColumn name="번호" id="1"/>
    <tableColumn name="회차" id="2"/>
    <tableColumn name="문제" id="3"/>
    <tableColumn name="정답 한자" id="4"/>
    <tableColumn name="한자 훈음" id="5"/>
    <tableColumn name="출제" id="6"/>
    <tableColumn name="오답" id="7"/>
  </tableColumns>
  <tableStyleInfo name="쓰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5.38"/>
  </cols>
  <sheetData>
    <row r="2">
      <c r="A2" s="1" t="s">
        <v>0</v>
      </c>
      <c r="B2" s="2" t="s">
        <v>1</v>
      </c>
    </row>
    <row r="3">
      <c r="A3" s="3"/>
    </row>
    <row r="4">
      <c r="A4" s="3"/>
    </row>
    <row r="5">
      <c r="A5" s="1" t="s">
        <v>2</v>
      </c>
      <c r="B5" s="4" t="s">
        <v>3</v>
      </c>
    </row>
    <row r="6">
      <c r="A6" s="3"/>
    </row>
    <row r="7">
      <c r="A7" s="3"/>
    </row>
    <row r="8">
      <c r="A8" s="1" t="s">
        <v>4</v>
      </c>
      <c r="B8" s="5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3.0"/>
    <col customWidth="1" min="3" max="3" width="9.75"/>
    <col customWidth="1" min="4" max="4" width="19.25"/>
    <col customWidth="1" min="5" max="5" width="16.38"/>
    <col customWidth="1" min="6" max="6" width="27.13"/>
  </cols>
  <sheetData>
    <row r="1">
      <c r="A1" s="6"/>
      <c r="B1" s="6"/>
      <c r="C1" s="6"/>
      <c r="D1" s="6"/>
      <c r="E1" s="6"/>
      <c r="F1" s="7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8" t="s">
        <v>6</v>
      </c>
      <c r="B2" s="9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10" t="s">
        <v>12</v>
      </c>
      <c r="H2" s="10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1">
        <v>1.0</v>
      </c>
      <c r="B3" s="12">
        <v>111.0</v>
      </c>
      <c r="C3" s="13" t="s">
        <v>14</v>
      </c>
      <c r="D3" s="9" t="s">
        <v>15</v>
      </c>
      <c r="E3" s="13" t="s">
        <v>16</v>
      </c>
      <c r="F3" s="14" t="s">
        <v>17</v>
      </c>
      <c r="G3" s="14" t="s">
        <v>18</v>
      </c>
      <c r="H3" s="1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11">
        <v>2.0</v>
      </c>
      <c r="B4" s="12">
        <v>111.0</v>
      </c>
      <c r="C4" s="13" t="s">
        <v>19</v>
      </c>
      <c r="D4" s="9" t="s">
        <v>20</v>
      </c>
      <c r="E4" s="13" t="s">
        <v>19</v>
      </c>
      <c r="F4" s="14" t="s">
        <v>21</v>
      </c>
      <c r="G4" s="14" t="s">
        <v>18</v>
      </c>
      <c r="H4" s="1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11">
        <v>3.0</v>
      </c>
      <c r="B5" s="12">
        <v>111.0</v>
      </c>
      <c r="C5" s="13" t="s">
        <v>22</v>
      </c>
      <c r="D5" s="9" t="s">
        <v>23</v>
      </c>
      <c r="E5" s="13" t="s">
        <v>24</v>
      </c>
      <c r="F5" s="14" t="s">
        <v>25</v>
      </c>
      <c r="G5" s="14" t="s">
        <v>18</v>
      </c>
      <c r="H5" s="14" t="s">
        <v>18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11">
        <v>4.0</v>
      </c>
      <c r="B6" s="12">
        <v>111.0</v>
      </c>
      <c r="C6" s="13" t="s">
        <v>26</v>
      </c>
      <c r="D6" s="9" t="s">
        <v>27</v>
      </c>
      <c r="E6" s="13" t="s">
        <v>28</v>
      </c>
      <c r="F6" s="14" t="s">
        <v>29</v>
      </c>
      <c r="G6" s="14" t="s">
        <v>18</v>
      </c>
      <c r="H6" s="1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11">
        <v>5.0</v>
      </c>
      <c r="B7" s="12">
        <v>111.0</v>
      </c>
      <c r="C7" s="13" t="s">
        <v>30</v>
      </c>
      <c r="D7" s="9" t="s">
        <v>31</v>
      </c>
      <c r="E7" s="13" t="s">
        <v>32</v>
      </c>
      <c r="F7" s="14" t="s">
        <v>33</v>
      </c>
      <c r="G7" s="14" t="s">
        <v>18</v>
      </c>
      <c r="H7" s="1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11">
        <v>6.0</v>
      </c>
      <c r="B8" s="12">
        <v>110.0</v>
      </c>
      <c r="C8" s="13" t="s">
        <v>34</v>
      </c>
      <c r="D8" s="9" t="s">
        <v>35</v>
      </c>
      <c r="E8" s="13" t="s">
        <v>36</v>
      </c>
      <c r="F8" s="13" t="s">
        <v>35</v>
      </c>
      <c r="G8" s="14" t="s">
        <v>18</v>
      </c>
      <c r="H8" s="1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11">
        <v>7.0</v>
      </c>
      <c r="B9" s="12">
        <v>110.0</v>
      </c>
      <c r="C9" s="13" t="s">
        <v>37</v>
      </c>
      <c r="D9" s="9" t="s">
        <v>38</v>
      </c>
      <c r="E9" s="13" t="s">
        <v>32</v>
      </c>
      <c r="F9" s="13" t="s">
        <v>33</v>
      </c>
      <c r="G9" s="15"/>
      <c r="H9" s="1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11">
        <v>8.0</v>
      </c>
      <c r="B10" s="12">
        <v>110.0</v>
      </c>
      <c r="C10" s="13" t="s">
        <v>39</v>
      </c>
      <c r="D10" s="9" t="s">
        <v>40</v>
      </c>
      <c r="E10" s="13" t="s">
        <v>41</v>
      </c>
      <c r="F10" s="13" t="s">
        <v>42</v>
      </c>
      <c r="G10" s="15"/>
      <c r="H10" s="1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11">
        <v>9.0</v>
      </c>
      <c r="B11" s="12">
        <v>110.0</v>
      </c>
      <c r="C11" s="13" t="s">
        <v>43</v>
      </c>
      <c r="D11" s="9" t="s">
        <v>44</v>
      </c>
      <c r="E11" s="13" t="s">
        <v>24</v>
      </c>
      <c r="F11" s="13" t="s">
        <v>25</v>
      </c>
      <c r="G11" s="14" t="s">
        <v>18</v>
      </c>
      <c r="H11" s="1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11">
        <v>10.0</v>
      </c>
      <c r="B12" s="12">
        <v>110.0</v>
      </c>
      <c r="C12" s="13" t="s">
        <v>45</v>
      </c>
      <c r="D12" s="9" t="s">
        <v>46</v>
      </c>
      <c r="E12" s="13" t="s">
        <v>47</v>
      </c>
      <c r="F12" s="13" t="s">
        <v>48</v>
      </c>
      <c r="G12" s="14" t="s">
        <v>18</v>
      </c>
      <c r="H12" s="1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11">
        <v>11.0</v>
      </c>
      <c r="B13" s="16">
        <v>109.0</v>
      </c>
      <c r="C13" s="17" t="s">
        <v>49</v>
      </c>
      <c r="D13" s="17" t="s">
        <v>50</v>
      </c>
      <c r="E13" s="17" t="s">
        <v>51</v>
      </c>
      <c r="F13" s="17" t="s">
        <v>52</v>
      </c>
      <c r="G13" s="18"/>
      <c r="H13" s="1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11">
        <v>12.0</v>
      </c>
      <c r="B14" s="16">
        <v>109.0</v>
      </c>
      <c r="C14" s="17" t="s">
        <v>53</v>
      </c>
      <c r="D14" s="17" t="s">
        <v>54</v>
      </c>
      <c r="E14" s="17" t="s">
        <v>55</v>
      </c>
      <c r="F14" s="17" t="s">
        <v>17</v>
      </c>
      <c r="G14" s="19" t="s">
        <v>18</v>
      </c>
      <c r="H14" s="1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11">
        <v>13.0</v>
      </c>
      <c r="B15" s="16">
        <v>109.0</v>
      </c>
      <c r="C15" s="17" t="s">
        <v>19</v>
      </c>
      <c r="D15" s="17" t="s">
        <v>20</v>
      </c>
      <c r="E15" s="17" t="s">
        <v>19</v>
      </c>
      <c r="F15" s="17" t="s">
        <v>56</v>
      </c>
      <c r="G15" s="18"/>
      <c r="H15" s="1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11">
        <v>14.0</v>
      </c>
      <c r="B16" s="16">
        <v>109.0</v>
      </c>
      <c r="C16" s="17" t="s">
        <v>57</v>
      </c>
      <c r="D16" s="17" t="s">
        <v>58</v>
      </c>
      <c r="E16" s="17" t="s">
        <v>59</v>
      </c>
      <c r="F16" s="17" t="s">
        <v>60</v>
      </c>
      <c r="G16" s="19" t="s">
        <v>18</v>
      </c>
      <c r="H16" s="18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11">
        <v>15.0</v>
      </c>
      <c r="B17" s="16">
        <v>109.0</v>
      </c>
      <c r="C17" s="17" t="s">
        <v>61</v>
      </c>
      <c r="D17" s="17" t="s">
        <v>62</v>
      </c>
      <c r="E17" s="17" t="s">
        <v>63</v>
      </c>
      <c r="F17" s="17" t="s">
        <v>64</v>
      </c>
      <c r="G17" s="18"/>
      <c r="H17" s="1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11">
        <v>16.0</v>
      </c>
      <c r="B18" s="12">
        <v>108.0</v>
      </c>
      <c r="C18" s="13" t="s">
        <v>65</v>
      </c>
      <c r="D18" s="13" t="s">
        <v>66</v>
      </c>
      <c r="E18" s="13" t="s">
        <v>67</v>
      </c>
      <c r="F18" s="13" t="s">
        <v>68</v>
      </c>
      <c r="G18" s="15"/>
      <c r="H18" s="1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11">
        <v>17.0</v>
      </c>
      <c r="B19" s="12">
        <v>108.0</v>
      </c>
      <c r="C19" s="13" t="s">
        <v>69</v>
      </c>
      <c r="D19" s="13" t="s">
        <v>70</v>
      </c>
      <c r="E19" s="13" t="s">
        <v>71</v>
      </c>
      <c r="F19" s="13" t="s">
        <v>72</v>
      </c>
      <c r="G19" s="15"/>
      <c r="H19" s="1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11">
        <v>18.0</v>
      </c>
      <c r="B20" s="12">
        <v>108.0</v>
      </c>
      <c r="C20" s="13" t="s">
        <v>73</v>
      </c>
      <c r="D20" s="13" t="s">
        <v>74</v>
      </c>
      <c r="E20" s="13" t="s">
        <v>75</v>
      </c>
      <c r="F20" s="13" t="s">
        <v>76</v>
      </c>
      <c r="G20" s="15"/>
      <c r="H20" s="1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2.5" customHeight="1">
      <c r="A21" s="11">
        <v>19.0</v>
      </c>
      <c r="B21" s="12">
        <v>108.0</v>
      </c>
      <c r="C21" s="13" t="s">
        <v>77</v>
      </c>
      <c r="D21" s="13" t="s">
        <v>78</v>
      </c>
      <c r="E21" s="13" t="s">
        <v>79</v>
      </c>
      <c r="F21" s="13" t="s">
        <v>80</v>
      </c>
      <c r="G21" s="14" t="s">
        <v>18</v>
      </c>
      <c r="H21" s="1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2.5" customHeight="1">
      <c r="A22" s="11">
        <v>20.0</v>
      </c>
      <c r="B22" s="20">
        <v>107.0</v>
      </c>
      <c r="C22" s="13" t="s">
        <v>81</v>
      </c>
      <c r="D22" s="13" t="s">
        <v>82</v>
      </c>
      <c r="E22" s="13" t="s">
        <v>83</v>
      </c>
      <c r="F22" s="13" t="s">
        <v>84</v>
      </c>
      <c r="G22" s="15"/>
      <c r="H22" s="1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2.5" customHeight="1">
      <c r="A23" s="11">
        <v>21.0</v>
      </c>
      <c r="B23" s="20">
        <v>107.0</v>
      </c>
      <c r="C23" s="13" t="s">
        <v>85</v>
      </c>
      <c r="D23" s="13" t="s">
        <v>86</v>
      </c>
      <c r="E23" s="13" t="s">
        <v>87</v>
      </c>
      <c r="F23" s="13" t="s">
        <v>88</v>
      </c>
      <c r="G23" s="14" t="s">
        <v>18</v>
      </c>
      <c r="H23" s="1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2.5" customHeight="1">
      <c r="A24" s="11">
        <v>22.0</v>
      </c>
      <c r="B24" s="20">
        <v>107.0</v>
      </c>
      <c r="C24" s="13" t="s">
        <v>89</v>
      </c>
      <c r="D24" s="13" t="s">
        <v>90</v>
      </c>
      <c r="E24" s="13" t="s">
        <v>91</v>
      </c>
      <c r="F24" s="13" t="s">
        <v>92</v>
      </c>
      <c r="G24" s="14" t="s">
        <v>18</v>
      </c>
      <c r="H24" s="1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2.5" customHeight="1">
      <c r="A25" s="11">
        <v>23.0</v>
      </c>
      <c r="B25" s="20">
        <v>107.0</v>
      </c>
      <c r="C25" s="13" t="s">
        <v>93</v>
      </c>
      <c r="D25" s="13" t="s">
        <v>94</v>
      </c>
      <c r="E25" s="13" t="s">
        <v>95</v>
      </c>
      <c r="F25" s="13" t="s">
        <v>96</v>
      </c>
      <c r="G25" s="14" t="s">
        <v>18</v>
      </c>
      <c r="H25" s="1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2.5" customHeight="1">
      <c r="A26" s="11">
        <v>24.0</v>
      </c>
      <c r="B26" s="20">
        <v>107.0</v>
      </c>
      <c r="C26" s="13" t="s">
        <v>97</v>
      </c>
      <c r="D26" s="13" t="s">
        <v>98</v>
      </c>
      <c r="E26" s="13" t="s">
        <v>97</v>
      </c>
      <c r="F26" s="13" t="s">
        <v>98</v>
      </c>
      <c r="G26" s="15"/>
      <c r="H26" s="1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2.5" customHeight="1">
      <c r="A27" s="11">
        <v>25.0</v>
      </c>
      <c r="B27" s="20">
        <v>106.0</v>
      </c>
      <c r="C27" s="13" t="s">
        <v>99</v>
      </c>
      <c r="D27" s="13" t="s">
        <v>100</v>
      </c>
      <c r="E27" s="13" t="s">
        <v>95</v>
      </c>
      <c r="F27" s="13" t="s">
        <v>96</v>
      </c>
      <c r="G27" s="14" t="s">
        <v>18</v>
      </c>
      <c r="H27" s="1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2.5" customHeight="1">
      <c r="A28" s="11">
        <v>26.0</v>
      </c>
      <c r="B28" s="20">
        <v>106.0</v>
      </c>
      <c r="C28" s="13" t="s">
        <v>101</v>
      </c>
      <c r="D28" s="13" t="s">
        <v>102</v>
      </c>
      <c r="E28" s="13" t="s">
        <v>103</v>
      </c>
      <c r="F28" s="13" t="s">
        <v>104</v>
      </c>
      <c r="G28" s="15"/>
      <c r="H28" s="1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2.5" customHeight="1">
      <c r="A29" s="11">
        <v>27.0</v>
      </c>
      <c r="B29" s="20">
        <v>106.0</v>
      </c>
      <c r="C29" s="13" t="s">
        <v>105</v>
      </c>
      <c r="D29" s="13" t="s">
        <v>106</v>
      </c>
      <c r="E29" s="13" t="s">
        <v>107</v>
      </c>
      <c r="F29" s="13" t="s">
        <v>108</v>
      </c>
      <c r="G29" s="15"/>
      <c r="H29" s="1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2.5" customHeight="1">
      <c r="A30" s="11">
        <v>28.0</v>
      </c>
      <c r="B30" s="20">
        <v>106.0</v>
      </c>
      <c r="C30" s="13" t="s">
        <v>109</v>
      </c>
      <c r="D30" s="13" t="s">
        <v>110</v>
      </c>
      <c r="E30" s="13" t="s">
        <v>111</v>
      </c>
      <c r="F30" s="13" t="s">
        <v>112</v>
      </c>
      <c r="G30" s="14" t="s">
        <v>18</v>
      </c>
      <c r="H30" s="1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2.5" customHeight="1">
      <c r="A31" s="11">
        <v>29.0</v>
      </c>
      <c r="B31" s="20">
        <v>106.0</v>
      </c>
      <c r="C31" s="13" t="s">
        <v>113</v>
      </c>
      <c r="D31" s="13" t="s">
        <v>114</v>
      </c>
      <c r="E31" s="13" t="s">
        <v>115</v>
      </c>
      <c r="F31" s="13" t="s">
        <v>116</v>
      </c>
      <c r="G31" s="15"/>
      <c r="H31" s="1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2.5" customHeight="1">
      <c r="A32" s="11">
        <v>30.0</v>
      </c>
      <c r="B32" s="20">
        <v>105.0</v>
      </c>
      <c r="C32" s="13" t="s">
        <v>109</v>
      </c>
      <c r="D32" s="13" t="s">
        <v>110</v>
      </c>
      <c r="E32" s="13" t="s">
        <v>111</v>
      </c>
      <c r="F32" s="13" t="s">
        <v>112</v>
      </c>
      <c r="G32" s="15"/>
      <c r="H32" s="1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2.5" customHeight="1">
      <c r="A33" s="11">
        <v>31.0</v>
      </c>
      <c r="B33" s="20">
        <v>105.0</v>
      </c>
      <c r="C33" s="13" t="s">
        <v>45</v>
      </c>
      <c r="D33" s="13" t="s">
        <v>46</v>
      </c>
      <c r="E33" s="13" t="s">
        <v>47</v>
      </c>
      <c r="F33" s="13" t="s">
        <v>48</v>
      </c>
      <c r="G33" s="15"/>
      <c r="H33" s="1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2.5" customHeight="1">
      <c r="A34" s="11">
        <v>32.0</v>
      </c>
      <c r="B34" s="20">
        <v>105.0</v>
      </c>
      <c r="C34" s="13" t="s">
        <v>117</v>
      </c>
      <c r="D34" s="13" t="s">
        <v>118</v>
      </c>
      <c r="E34" s="13" t="s">
        <v>119</v>
      </c>
      <c r="F34" s="13" t="s">
        <v>120</v>
      </c>
      <c r="G34" s="14" t="s">
        <v>18</v>
      </c>
      <c r="H34" s="1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2.5" customHeight="1">
      <c r="A35" s="11">
        <v>33.0</v>
      </c>
      <c r="B35" s="20">
        <v>105.0</v>
      </c>
      <c r="C35" s="13" t="s">
        <v>121</v>
      </c>
      <c r="D35" s="13" t="s">
        <v>122</v>
      </c>
      <c r="E35" s="13" t="s">
        <v>123</v>
      </c>
      <c r="F35" s="13" t="s">
        <v>124</v>
      </c>
      <c r="G35" s="15"/>
      <c r="H35" s="1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2.5" customHeight="1">
      <c r="A36" s="11">
        <v>34.0</v>
      </c>
      <c r="B36" s="20">
        <v>105.0</v>
      </c>
      <c r="C36" s="13" t="s">
        <v>125</v>
      </c>
      <c r="D36" s="13" t="s">
        <v>126</v>
      </c>
      <c r="E36" s="13" t="s">
        <v>127</v>
      </c>
      <c r="F36" s="13" t="s">
        <v>128</v>
      </c>
      <c r="G36" s="15"/>
      <c r="H36" s="1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2.5" customHeight="1">
      <c r="A37" s="11">
        <v>35.0</v>
      </c>
      <c r="B37" s="20">
        <v>104.0</v>
      </c>
      <c r="C37" s="13" t="s">
        <v>129</v>
      </c>
      <c r="D37" s="13" t="s">
        <v>130</v>
      </c>
      <c r="E37" s="13" t="s">
        <v>131</v>
      </c>
      <c r="F37" s="13" t="s">
        <v>132</v>
      </c>
      <c r="G37" s="15"/>
      <c r="H37" s="1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2.5" customHeight="1">
      <c r="A38" s="11">
        <v>36.0</v>
      </c>
      <c r="B38" s="20">
        <v>104.0</v>
      </c>
      <c r="C38" s="13" t="s">
        <v>133</v>
      </c>
      <c r="D38" s="13" t="s">
        <v>134</v>
      </c>
      <c r="E38" s="13" t="s">
        <v>135</v>
      </c>
      <c r="F38" s="13" t="s">
        <v>136</v>
      </c>
      <c r="G38" s="15"/>
      <c r="H38" s="1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2.5" customHeight="1">
      <c r="A39" s="11">
        <v>37.0</v>
      </c>
      <c r="B39" s="20">
        <v>104.0</v>
      </c>
      <c r="C39" s="13" t="s">
        <v>137</v>
      </c>
      <c r="D39" s="13" t="s">
        <v>138</v>
      </c>
      <c r="E39" s="13" t="s">
        <v>139</v>
      </c>
      <c r="F39" s="13" t="s">
        <v>140</v>
      </c>
      <c r="G39" s="14" t="s">
        <v>18</v>
      </c>
      <c r="H39" s="1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2.5" customHeight="1">
      <c r="A40" s="11">
        <v>38.0</v>
      </c>
      <c r="B40" s="20">
        <v>104.0</v>
      </c>
      <c r="C40" s="13" t="s">
        <v>141</v>
      </c>
      <c r="D40" s="13" t="s">
        <v>142</v>
      </c>
      <c r="E40" s="13" t="s">
        <v>143</v>
      </c>
      <c r="F40" s="13" t="s">
        <v>144</v>
      </c>
      <c r="G40" s="14" t="s">
        <v>18</v>
      </c>
      <c r="H40" s="1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2.5" customHeight="1">
      <c r="A41" s="11">
        <v>39.0</v>
      </c>
      <c r="B41" s="20">
        <v>104.0</v>
      </c>
      <c r="C41" s="13" t="s">
        <v>105</v>
      </c>
      <c r="D41" s="13" t="s">
        <v>106</v>
      </c>
      <c r="E41" s="13" t="s">
        <v>107</v>
      </c>
      <c r="F41" s="13" t="s">
        <v>108</v>
      </c>
      <c r="G41" s="15"/>
      <c r="H41" s="1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2.5" customHeight="1">
      <c r="A42" s="11">
        <v>40.0</v>
      </c>
      <c r="B42" s="20">
        <v>103.0</v>
      </c>
      <c r="C42" s="13" t="s">
        <v>145</v>
      </c>
      <c r="D42" s="13" t="s">
        <v>146</v>
      </c>
      <c r="E42" s="13" t="s">
        <v>87</v>
      </c>
      <c r="F42" s="13" t="s">
        <v>88</v>
      </c>
      <c r="G42" s="15"/>
      <c r="H42" s="1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2.5" customHeight="1">
      <c r="A43" s="11">
        <v>41.0</v>
      </c>
      <c r="B43" s="20">
        <v>103.0</v>
      </c>
      <c r="C43" s="13" t="s">
        <v>147</v>
      </c>
      <c r="D43" s="13" t="s">
        <v>148</v>
      </c>
      <c r="E43" s="13" t="s">
        <v>149</v>
      </c>
      <c r="F43" s="13" t="s">
        <v>150</v>
      </c>
      <c r="G43" s="15"/>
      <c r="H43" s="1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2.5" customHeight="1">
      <c r="A44" s="11">
        <v>42.0</v>
      </c>
      <c r="B44" s="20">
        <v>103.0</v>
      </c>
      <c r="C44" s="13" t="s">
        <v>151</v>
      </c>
      <c r="D44" s="13" t="s">
        <v>152</v>
      </c>
      <c r="E44" s="13" t="s">
        <v>153</v>
      </c>
      <c r="F44" s="13" t="s">
        <v>154</v>
      </c>
      <c r="G44" s="14" t="s">
        <v>18</v>
      </c>
      <c r="H44" s="14" t="s">
        <v>18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2.5" customHeight="1">
      <c r="A45" s="11">
        <v>43.0</v>
      </c>
      <c r="B45" s="20">
        <v>103.0</v>
      </c>
      <c r="C45" s="13" t="s">
        <v>155</v>
      </c>
      <c r="D45" s="13" t="s">
        <v>156</v>
      </c>
      <c r="E45" s="13" t="s">
        <v>71</v>
      </c>
      <c r="F45" s="13" t="s">
        <v>72</v>
      </c>
      <c r="G45" s="15"/>
      <c r="H45" s="1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2.5" customHeight="1">
      <c r="A46" s="11">
        <v>44.0</v>
      </c>
      <c r="B46" s="20">
        <v>103.0</v>
      </c>
      <c r="C46" s="13" t="s">
        <v>157</v>
      </c>
      <c r="D46" s="13" t="s">
        <v>158</v>
      </c>
      <c r="E46" s="13" t="s">
        <v>153</v>
      </c>
      <c r="F46" s="13" t="s">
        <v>154</v>
      </c>
      <c r="G46" s="14" t="s">
        <v>18</v>
      </c>
      <c r="H46" s="1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2.5" customHeight="1">
      <c r="A47" s="11">
        <v>45.0</v>
      </c>
      <c r="B47" s="20">
        <v>102.0</v>
      </c>
      <c r="C47" s="13" t="s">
        <v>159</v>
      </c>
      <c r="D47" s="13" t="s">
        <v>160</v>
      </c>
      <c r="E47" s="13" t="s">
        <v>135</v>
      </c>
      <c r="F47" s="13" t="s">
        <v>136</v>
      </c>
      <c r="G47" s="15"/>
      <c r="H47" s="1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2.5" customHeight="1">
      <c r="A48" s="11">
        <v>46.0</v>
      </c>
      <c r="B48" s="20">
        <v>102.0</v>
      </c>
      <c r="C48" s="13" t="s">
        <v>161</v>
      </c>
      <c r="D48" s="13" t="s">
        <v>162</v>
      </c>
      <c r="E48" s="13" t="s">
        <v>163</v>
      </c>
      <c r="F48" s="13" t="s">
        <v>164</v>
      </c>
      <c r="G48" s="15"/>
      <c r="H48" s="1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2.5" customHeight="1">
      <c r="A49" s="11">
        <v>47.0</v>
      </c>
      <c r="B49" s="20">
        <v>102.0</v>
      </c>
      <c r="C49" s="13" t="s">
        <v>165</v>
      </c>
      <c r="D49" s="13" t="s">
        <v>166</v>
      </c>
      <c r="E49" s="13" t="s">
        <v>167</v>
      </c>
      <c r="F49" s="13" t="s">
        <v>168</v>
      </c>
      <c r="G49" s="15"/>
      <c r="H49" s="1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2.5" customHeight="1">
      <c r="A50" s="11">
        <v>48.0</v>
      </c>
      <c r="B50" s="20">
        <v>102.0</v>
      </c>
      <c r="C50" s="13" t="s">
        <v>169</v>
      </c>
      <c r="D50" s="13" t="s">
        <v>170</v>
      </c>
      <c r="E50" s="13" t="s">
        <v>171</v>
      </c>
      <c r="F50" s="13" t="s">
        <v>172</v>
      </c>
      <c r="G50" s="15"/>
      <c r="H50" s="1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2.5" customHeight="1">
      <c r="A51" s="11">
        <v>49.0</v>
      </c>
      <c r="B51" s="20">
        <v>102.0</v>
      </c>
      <c r="C51" s="13" t="s">
        <v>22</v>
      </c>
      <c r="D51" s="13" t="s">
        <v>23</v>
      </c>
      <c r="E51" s="13" t="s">
        <v>24</v>
      </c>
      <c r="F51" s="13" t="s">
        <v>25</v>
      </c>
      <c r="G51" s="15"/>
      <c r="H51" s="1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2.5" customHeight="1">
      <c r="A52" s="11">
        <v>50.0</v>
      </c>
      <c r="B52" s="20">
        <v>101.0</v>
      </c>
      <c r="C52" s="13" t="s">
        <v>173</v>
      </c>
      <c r="D52" s="13" t="s">
        <v>124</v>
      </c>
      <c r="E52" s="13" t="s">
        <v>123</v>
      </c>
      <c r="F52" s="13" t="s">
        <v>124</v>
      </c>
      <c r="G52" s="14" t="s">
        <v>18</v>
      </c>
      <c r="H52" s="1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2.5" customHeight="1">
      <c r="A53" s="11">
        <v>51.0</v>
      </c>
      <c r="B53" s="20">
        <v>101.0</v>
      </c>
      <c r="C53" s="13" t="s">
        <v>174</v>
      </c>
      <c r="D53" s="13" t="s">
        <v>175</v>
      </c>
      <c r="E53" s="13" t="s">
        <v>41</v>
      </c>
      <c r="F53" s="13" t="s">
        <v>176</v>
      </c>
      <c r="G53" s="15"/>
      <c r="H53" s="1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2.5" customHeight="1">
      <c r="A54" s="11">
        <v>52.0</v>
      </c>
      <c r="B54" s="20">
        <v>101.0</v>
      </c>
      <c r="C54" s="13" t="s">
        <v>177</v>
      </c>
      <c r="D54" s="13" t="s">
        <v>178</v>
      </c>
      <c r="E54" s="13" t="s">
        <v>179</v>
      </c>
      <c r="F54" s="13" t="s">
        <v>180</v>
      </c>
      <c r="G54" s="15"/>
      <c r="H54" s="1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2.5" customHeight="1">
      <c r="A55" s="11">
        <v>53.0</v>
      </c>
      <c r="B55" s="20">
        <v>101.0</v>
      </c>
      <c r="C55" s="13" t="s">
        <v>137</v>
      </c>
      <c r="D55" s="13" t="s">
        <v>138</v>
      </c>
      <c r="E55" s="13" t="s">
        <v>139</v>
      </c>
      <c r="F55" s="13" t="s">
        <v>140</v>
      </c>
      <c r="G55" s="15"/>
      <c r="H55" s="1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2.5" customHeight="1">
      <c r="A56" s="11">
        <v>54.0</v>
      </c>
      <c r="B56" s="20">
        <v>101.0</v>
      </c>
      <c r="C56" s="13" t="s">
        <v>169</v>
      </c>
      <c r="D56" s="13" t="s">
        <v>170</v>
      </c>
      <c r="E56" s="13" t="s">
        <v>135</v>
      </c>
      <c r="F56" s="13" t="s">
        <v>136</v>
      </c>
      <c r="G56" s="15"/>
      <c r="H56" s="1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2.5" customHeight="1">
      <c r="A57" s="11">
        <v>55.0</v>
      </c>
      <c r="B57" s="20">
        <v>100.0</v>
      </c>
      <c r="C57" s="13" t="s">
        <v>181</v>
      </c>
      <c r="D57" s="13" t="s">
        <v>182</v>
      </c>
      <c r="E57" s="13" t="s">
        <v>32</v>
      </c>
      <c r="F57" s="13" t="s">
        <v>33</v>
      </c>
      <c r="G57" s="14" t="s">
        <v>18</v>
      </c>
      <c r="H57" s="1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2.5" customHeight="1">
      <c r="A58" s="11">
        <v>56.0</v>
      </c>
      <c r="B58" s="20">
        <v>100.0</v>
      </c>
      <c r="C58" s="13" t="s">
        <v>183</v>
      </c>
      <c r="D58" s="13" t="s">
        <v>184</v>
      </c>
      <c r="E58" s="13" t="s">
        <v>123</v>
      </c>
      <c r="F58" s="13" t="s">
        <v>124</v>
      </c>
      <c r="G58" s="14" t="s">
        <v>18</v>
      </c>
      <c r="H58" s="1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2.5" customHeight="1">
      <c r="A59" s="11">
        <v>57.0</v>
      </c>
      <c r="B59" s="20">
        <v>100.0</v>
      </c>
      <c r="C59" s="13" t="s">
        <v>185</v>
      </c>
      <c r="D59" s="13" t="s">
        <v>186</v>
      </c>
      <c r="E59" s="13" t="s">
        <v>187</v>
      </c>
      <c r="F59" s="13" t="s">
        <v>188</v>
      </c>
      <c r="G59" s="15"/>
      <c r="H59" s="1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2.5" customHeight="1">
      <c r="A60" s="11">
        <v>58.0</v>
      </c>
      <c r="B60" s="20">
        <v>100.0</v>
      </c>
      <c r="C60" s="13" t="s">
        <v>189</v>
      </c>
      <c r="D60" s="13" t="s">
        <v>190</v>
      </c>
      <c r="E60" s="13" t="s">
        <v>191</v>
      </c>
      <c r="F60" s="13" t="s">
        <v>192</v>
      </c>
      <c r="G60" s="15"/>
      <c r="H60" s="1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2.5" customHeight="1">
      <c r="A61" s="11">
        <v>59.0</v>
      </c>
      <c r="B61" s="20">
        <v>100.0</v>
      </c>
      <c r="C61" s="13" t="s">
        <v>193</v>
      </c>
      <c r="D61" s="13" t="s">
        <v>194</v>
      </c>
      <c r="E61" s="13" t="s">
        <v>195</v>
      </c>
      <c r="F61" s="13" t="s">
        <v>196</v>
      </c>
      <c r="G61" s="14" t="s">
        <v>18</v>
      </c>
      <c r="H61" s="1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2.5" customHeight="1">
      <c r="A62" s="11">
        <v>60.0</v>
      </c>
      <c r="B62" s="20">
        <v>99.0</v>
      </c>
      <c r="C62" s="13" t="s">
        <v>197</v>
      </c>
      <c r="D62" s="13" t="s">
        <v>198</v>
      </c>
      <c r="E62" s="13" t="s">
        <v>199</v>
      </c>
      <c r="F62" s="13" t="s">
        <v>200</v>
      </c>
      <c r="G62" s="15"/>
      <c r="H62" s="1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2.5" customHeight="1">
      <c r="A63" s="11">
        <v>61.0</v>
      </c>
      <c r="B63" s="20">
        <v>99.0</v>
      </c>
      <c r="C63" s="13" t="s">
        <v>201</v>
      </c>
      <c r="D63" s="13" t="s">
        <v>202</v>
      </c>
      <c r="E63" s="13" t="s">
        <v>203</v>
      </c>
      <c r="F63" s="13" t="s">
        <v>204</v>
      </c>
      <c r="G63" s="14" t="s">
        <v>18</v>
      </c>
      <c r="H63" s="1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2.5" customHeight="1">
      <c r="A64" s="11">
        <v>62.0</v>
      </c>
      <c r="B64" s="20">
        <v>99.0</v>
      </c>
      <c r="C64" s="13" t="s">
        <v>205</v>
      </c>
      <c r="D64" s="13" t="s">
        <v>206</v>
      </c>
      <c r="E64" s="13" t="s">
        <v>205</v>
      </c>
      <c r="F64" s="13" t="s">
        <v>206</v>
      </c>
      <c r="G64" s="15"/>
      <c r="H64" s="1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2.5" customHeight="1">
      <c r="A65" s="11">
        <v>63.0</v>
      </c>
      <c r="B65" s="20">
        <v>99.0</v>
      </c>
      <c r="C65" s="13" t="s">
        <v>207</v>
      </c>
      <c r="D65" s="13" t="s">
        <v>208</v>
      </c>
      <c r="E65" s="13" t="s">
        <v>209</v>
      </c>
      <c r="F65" s="13" t="s">
        <v>210</v>
      </c>
      <c r="G65" s="14" t="s">
        <v>18</v>
      </c>
      <c r="H65" s="1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2.5" customHeight="1">
      <c r="A66" s="11">
        <v>64.0</v>
      </c>
      <c r="B66" s="20">
        <v>99.0</v>
      </c>
      <c r="C66" s="13" t="s">
        <v>137</v>
      </c>
      <c r="D66" s="13" t="s">
        <v>138</v>
      </c>
      <c r="E66" s="13" t="s">
        <v>139</v>
      </c>
      <c r="F66" s="13" t="s">
        <v>140</v>
      </c>
      <c r="G66" s="15"/>
      <c r="H66" s="1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2.5" customHeight="1">
      <c r="A67" s="11">
        <v>65.0</v>
      </c>
      <c r="B67" s="20">
        <v>98.0</v>
      </c>
      <c r="C67" s="13" t="s">
        <v>211</v>
      </c>
      <c r="D67" s="13" t="s">
        <v>212</v>
      </c>
      <c r="E67" s="13" t="s">
        <v>41</v>
      </c>
      <c r="F67" s="13" t="s">
        <v>176</v>
      </c>
      <c r="G67" s="15"/>
      <c r="H67" s="1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2.5" customHeight="1">
      <c r="A68" s="11">
        <v>66.0</v>
      </c>
      <c r="B68" s="20">
        <v>98.0</v>
      </c>
      <c r="C68" s="13" t="s">
        <v>213</v>
      </c>
      <c r="D68" s="13" t="s">
        <v>214</v>
      </c>
      <c r="E68" s="13" t="s">
        <v>213</v>
      </c>
      <c r="F68" s="13" t="s">
        <v>214</v>
      </c>
      <c r="G68" s="15"/>
      <c r="H68" s="1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2.5" customHeight="1">
      <c r="A69" s="11">
        <v>67.0</v>
      </c>
      <c r="B69" s="20">
        <v>98.0</v>
      </c>
      <c r="C69" s="13" t="s">
        <v>215</v>
      </c>
      <c r="D69" s="13" t="s">
        <v>216</v>
      </c>
      <c r="E69" s="13" t="s">
        <v>63</v>
      </c>
      <c r="F69" s="13" t="s">
        <v>64</v>
      </c>
      <c r="G69" s="14" t="s">
        <v>18</v>
      </c>
      <c r="H69" s="1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2.5" customHeight="1">
      <c r="A70" s="11">
        <v>68.0</v>
      </c>
      <c r="B70" s="20">
        <v>98.0</v>
      </c>
      <c r="C70" s="13" t="s">
        <v>217</v>
      </c>
      <c r="D70" s="13" t="s">
        <v>218</v>
      </c>
      <c r="E70" s="13" t="s">
        <v>203</v>
      </c>
      <c r="F70" s="13" t="s">
        <v>204</v>
      </c>
      <c r="G70" s="15"/>
      <c r="H70" s="1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2.5" customHeight="1">
      <c r="A71" s="11">
        <v>69.0</v>
      </c>
      <c r="B71" s="20">
        <v>98.0</v>
      </c>
      <c r="C71" s="13" t="s">
        <v>219</v>
      </c>
      <c r="D71" s="13" t="s">
        <v>220</v>
      </c>
      <c r="E71" s="13" t="s">
        <v>221</v>
      </c>
      <c r="F71" s="13" t="s">
        <v>222</v>
      </c>
      <c r="G71" s="15"/>
      <c r="H71" s="1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2.5" customHeight="1">
      <c r="A72" s="11">
        <v>70.0</v>
      </c>
      <c r="B72" s="20">
        <v>97.0</v>
      </c>
      <c r="C72" s="13" t="s">
        <v>223</v>
      </c>
      <c r="D72" s="13" t="s">
        <v>224</v>
      </c>
      <c r="E72" s="13" t="s">
        <v>123</v>
      </c>
      <c r="F72" s="13" t="s">
        <v>124</v>
      </c>
      <c r="G72" s="15"/>
      <c r="H72" s="1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2.5" customHeight="1">
      <c r="A73" s="11">
        <v>71.0</v>
      </c>
      <c r="B73" s="20">
        <v>97.0</v>
      </c>
      <c r="C73" s="13" t="s">
        <v>225</v>
      </c>
      <c r="D73" s="13" t="s">
        <v>226</v>
      </c>
      <c r="E73" s="13" t="s">
        <v>221</v>
      </c>
      <c r="F73" s="13" t="s">
        <v>222</v>
      </c>
      <c r="G73" s="15"/>
      <c r="H73" s="1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2.5" customHeight="1">
      <c r="A74" s="11">
        <v>72.0</v>
      </c>
      <c r="B74" s="20">
        <v>97.0</v>
      </c>
      <c r="C74" s="13" t="s">
        <v>227</v>
      </c>
      <c r="D74" s="13" t="s">
        <v>228</v>
      </c>
      <c r="E74" s="13" t="s">
        <v>229</v>
      </c>
      <c r="F74" s="13" t="s">
        <v>230</v>
      </c>
      <c r="G74" s="14" t="s">
        <v>18</v>
      </c>
      <c r="H74" s="14" t="s">
        <v>18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2.5" customHeight="1">
      <c r="A75" s="11">
        <v>73.0</v>
      </c>
      <c r="B75" s="20">
        <v>97.0</v>
      </c>
      <c r="C75" s="13" t="s">
        <v>231</v>
      </c>
      <c r="D75" s="13" t="s">
        <v>232</v>
      </c>
      <c r="E75" s="13" t="s">
        <v>233</v>
      </c>
      <c r="F75" s="13" t="s">
        <v>234</v>
      </c>
      <c r="G75" s="15"/>
      <c r="H75" s="1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2.5" customHeight="1">
      <c r="A76" s="11">
        <v>74.0</v>
      </c>
      <c r="B76" s="20">
        <v>97.0</v>
      </c>
      <c r="C76" s="13" t="s">
        <v>235</v>
      </c>
      <c r="D76" s="13" t="s">
        <v>236</v>
      </c>
      <c r="E76" s="13" t="s">
        <v>131</v>
      </c>
      <c r="F76" s="13" t="s">
        <v>132</v>
      </c>
      <c r="G76" s="14" t="s">
        <v>18</v>
      </c>
      <c r="H76" s="1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2.5" customHeight="1">
      <c r="A77" s="11">
        <v>75.0</v>
      </c>
      <c r="B77" s="20">
        <v>96.0</v>
      </c>
      <c r="C77" s="13" t="s">
        <v>237</v>
      </c>
      <c r="D77" s="13" t="s">
        <v>238</v>
      </c>
      <c r="E77" s="13" t="s">
        <v>239</v>
      </c>
      <c r="F77" s="13" t="s">
        <v>240</v>
      </c>
      <c r="G77" s="14" t="s">
        <v>18</v>
      </c>
      <c r="H77" s="1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2.5" customHeight="1">
      <c r="A78" s="11">
        <v>76.0</v>
      </c>
      <c r="B78" s="20">
        <v>96.0</v>
      </c>
      <c r="C78" s="13" t="s">
        <v>241</v>
      </c>
      <c r="D78" s="13" t="s">
        <v>242</v>
      </c>
      <c r="E78" s="13" t="s">
        <v>41</v>
      </c>
      <c r="F78" s="13" t="s">
        <v>176</v>
      </c>
      <c r="G78" s="14" t="s">
        <v>18</v>
      </c>
      <c r="H78" s="1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2.5" customHeight="1">
      <c r="A79" s="11">
        <v>77.0</v>
      </c>
      <c r="B79" s="20">
        <v>96.0</v>
      </c>
      <c r="C79" s="13" t="s">
        <v>243</v>
      </c>
      <c r="D79" s="13" t="s">
        <v>244</v>
      </c>
      <c r="E79" s="13" t="s">
        <v>245</v>
      </c>
      <c r="F79" s="13" t="s">
        <v>246</v>
      </c>
      <c r="G79" s="15"/>
      <c r="H79" s="1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2.5" customHeight="1">
      <c r="A80" s="11">
        <v>78.0</v>
      </c>
      <c r="B80" s="20">
        <v>96.0</v>
      </c>
      <c r="C80" s="13" t="s">
        <v>247</v>
      </c>
      <c r="D80" s="13" t="s">
        <v>248</v>
      </c>
      <c r="E80" s="13" t="s">
        <v>249</v>
      </c>
      <c r="F80" s="13" t="s">
        <v>200</v>
      </c>
      <c r="G80" s="15"/>
      <c r="H80" s="1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2.5" customHeight="1">
      <c r="A81" s="11">
        <v>79.0</v>
      </c>
      <c r="B81" s="20">
        <v>96.0</v>
      </c>
      <c r="C81" s="13" t="s">
        <v>250</v>
      </c>
      <c r="D81" s="13" t="s">
        <v>251</v>
      </c>
      <c r="E81" s="13" t="s">
        <v>107</v>
      </c>
      <c r="F81" s="13" t="s">
        <v>108</v>
      </c>
      <c r="G81" s="14" t="s">
        <v>18</v>
      </c>
      <c r="H81" s="1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2.5" customHeight="1">
      <c r="A82" s="11">
        <v>80.0</v>
      </c>
      <c r="B82" s="20">
        <v>95.0</v>
      </c>
      <c r="C82" s="13" t="s">
        <v>252</v>
      </c>
      <c r="D82" s="13" t="s">
        <v>253</v>
      </c>
      <c r="E82" s="13" t="s">
        <v>254</v>
      </c>
      <c r="F82" s="13" t="s">
        <v>255</v>
      </c>
      <c r="G82" s="14" t="s">
        <v>18</v>
      </c>
      <c r="H82" s="1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2.5" customHeight="1">
      <c r="A83" s="11">
        <v>81.0</v>
      </c>
      <c r="B83" s="20">
        <v>95.0</v>
      </c>
      <c r="C83" s="13" t="s">
        <v>256</v>
      </c>
      <c r="D83" s="13" t="s">
        <v>257</v>
      </c>
      <c r="E83" s="13" t="s">
        <v>258</v>
      </c>
      <c r="F83" s="13" t="s">
        <v>259</v>
      </c>
      <c r="G83" s="14" t="s">
        <v>18</v>
      </c>
      <c r="H83" s="1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2.5" customHeight="1">
      <c r="A84" s="11">
        <v>82.0</v>
      </c>
      <c r="B84" s="20">
        <v>95.0</v>
      </c>
      <c r="C84" s="13" t="s">
        <v>260</v>
      </c>
      <c r="D84" s="13" t="s">
        <v>261</v>
      </c>
      <c r="E84" s="13" t="s">
        <v>83</v>
      </c>
      <c r="F84" s="13" t="s">
        <v>84</v>
      </c>
      <c r="G84" s="14" t="s">
        <v>18</v>
      </c>
      <c r="H84" s="1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2.5" customHeight="1">
      <c r="A85" s="11">
        <v>83.0</v>
      </c>
      <c r="B85" s="20">
        <v>95.0</v>
      </c>
      <c r="C85" s="13" t="s">
        <v>262</v>
      </c>
      <c r="D85" s="13" t="s">
        <v>263</v>
      </c>
      <c r="E85" s="13" t="s">
        <v>264</v>
      </c>
      <c r="F85" s="13" t="s">
        <v>265</v>
      </c>
      <c r="G85" s="14" t="s">
        <v>18</v>
      </c>
      <c r="H85" s="1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2.5" customHeight="1">
      <c r="A86" s="11">
        <v>84.0</v>
      </c>
      <c r="B86" s="20">
        <v>95.0</v>
      </c>
      <c r="C86" s="13" t="s">
        <v>141</v>
      </c>
      <c r="D86" s="13" t="s">
        <v>142</v>
      </c>
      <c r="E86" s="13" t="s">
        <v>266</v>
      </c>
      <c r="F86" s="13" t="s">
        <v>144</v>
      </c>
      <c r="G86" s="15"/>
      <c r="H86" s="1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2.5" customHeight="1">
      <c r="A87" s="11">
        <v>85.0</v>
      </c>
      <c r="B87" s="20">
        <v>94.0</v>
      </c>
      <c r="C87" s="13" t="s">
        <v>97</v>
      </c>
      <c r="D87" s="13" t="s">
        <v>98</v>
      </c>
      <c r="E87" s="13" t="s">
        <v>97</v>
      </c>
      <c r="F87" s="13" t="s">
        <v>98</v>
      </c>
      <c r="G87" s="15"/>
      <c r="H87" s="1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2.5" customHeight="1">
      <c r="A88" s="11">
        <v>86.0</v>
      </c>
      <c r="B88" s="20">
        <v>94.0</v>
      </c>
      <c r="C88" s="13" t="s">
        <v>109</v>
      </c>
      <c r="D88" s="13" t="s">
        <v>110</v>
      </c>
      <c r="E88" s="13" t="s">
        <v>111</v>
      </c>
      <c r="F88" s="13" t="s">
        <v>112</v>
      </c>
      <c r="G88" s="15"/>
      <c r="H88" s="1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2.5" customHeight="1">
      <c r="A89" s="11">
        <v>87.0</v>
      </c>
      <c r="B89" s="20">
        <v>94.0</v>
      </c>
      <c r="C89" s="13" t="s">
        <v>267</v>
      </c>
      <c r="D89" s="13" t="s">
        <v>268</v>
      </c>
      <c r="E89" s="13" t="s">
        <v>269</v>
      </c>
      <c r="F89" s="13" t="s">
        <v>270</v>
      </c>
      <c r="G89" s="15"/>
      <c r="H89" s="1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2.5" customHeight="1">
      <c r="A90" s="11">
        <v>88.0</v>
      </c>
      <c r="B90" s="20">
        <v>94.0</v>
      </c>
      <c r="C90" s="13" t="s">
        <v>271</v>
      </c>
      <c r="D90" s="13" t="s">
        <v>272</v>
      </c>
      <c r="E90" s="13" t="s">
        <v>273</v>
      </c>
      <c r="F90" s="13" t="s">
        <v>274</v>
      </c>
      <c r="G90" s="15"/>
      <c r="H90" s="1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2.5" customHeight="1">
      <c r="A91" s="11">
        <v>89.0</v>
      </c>
      <c r="B91" s="20">
        <v>94.0</v>
      </c>
      <c r="C91" s="13" t="s">
        <v>275</v>
      </c>
      <c r="D91" s="13" t="s">
        <v>276</v>
      </c>
      <c r="E91" s="13" t="s">
        <v>277</v>
      </c>
      <c r="F91" s="13" t="s">
        <v>278</v>
      </c>
      <c r="G91" s="14" t="s">
        <v>18</v>
      </c>
      <c r="H91" s="1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2.5" customHeight="1">
      <c r="A92" s="11">
        <v>90.0</v>
      </c>
      <c r="B92" s="20">
        <v>93.0</v>
      </c>
      <c r="C92" s="13" t="s">
        <v>279</v>
      </c>
      <c r="D92" s="13" t="s">
        <v>280</v>
      </c>
      <c r="E92" s="13" t="s">
        <v>281</v>
      </c>
      <c r="F92" s="13" t="s">
        <v>282</v>
      </c>
      <c r="G92" s="14" t="s">
        <v>18</v>
      </c>
      <c r="H92" s="1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2.5" customHeight="1">
      <c r="A93" s="11">
        <v>91.0</v>
      </c>
      <c r="B93" s="20">
        <v>93.0</v>
      </c>
      <c r="C93" s="13" t="s">
        <v>283</v>
      </c>
      <c r="D93" s="13" t="s">
        <v>284</v>
      </c>
      <c r="E93" s="13" t="s">
        <v>285</v>
      </c>
      <c r="F93" s="13" t="s">
        <v>286</v>
      </c>
      <c r="G93" s="14" t="s">
        <v>18</v>
      </c>
      <c r="H93" s="1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2.5" customHeight="1">
      <c r="A94" s="11">
        <v>92.0</v>
      </c>
      <c r="B94" s="20">
        <v>93.0</v>
      </c>
      <c r="C94" s="13" t="s">
        <v>287</v>
      </c>
      <c r="D94" s="13" t="s">
        <v>288</v>
      </c>
      <c r="E94" s="13" t="s">
        <v>289</v>
      </c>
      <c r="F94" s="13" t="s">
        <v>290</v>
      </c>
      <c r="G94" s="14" t="s">
        <v>18</v>
      </c>
      <c r="H94" s="1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2.5" customHeight="1">
      <c r="A95" s="11">
        <v>93.0</v>
      </c>
      <c r="B95" s="20">
        <v>93.0</v>
      </c>
      <c r="C95" s="13" t="s">
        <v>291</v>
      </c>
      <c r="D95" s="13" t="s">
        <v>292</v>
      </c>
      <c r="E95" s="13" t="s">
        <v>87</v>
      </c>
      <c r="F95" s="13" t="s">
        <v>88</v>
      </c>
      <c r="G95" s="15"/>
      <c r="H95" s="1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2.5" customHeight="1">
      <c r="A96" s="11">
        <v>94.0</v>
      </c>
      <c r="B96" s="20">
        <v>93.0</v>
      </c>
      <c r="C96" s="13" t="s">
        <v>293</v>
      </c>
      <c r="D96" s="13" t="s">
        <v>294</v>
      </c>
      <c r="E96" s="13" t="s">
        <v>295</v>
      </c>
      <c r="F96" s="13" t="s">
        <v>296</v>
      </c>
      <c r="G96" s="14" t="s">
        <v>18</v>
      </c>
      <c r="H96" s="1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2.5" customHeight="1">
      <c r="A97" s="11">
        <v>95.0</v>
      </c>
      <c r="B97" s="20">
        <v>92.0</v>
      </c>
      <c r="C97" s="13" t="s">
        <v>297</v>
      </c>
      <c r="D97" s="13" t="s">
        <v>298</v>
      </c>
      <c r="E97" s="13" t="s">
        <v>299</v>
      </c>
      <c r="F97" s="13" t="s">
        <v>300</v>
      </c>
      <c r="G97" s="14" t="s">
        <v>18</v>
      </c>
      <c r="H97" s="1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2.5" customHeight="1">
      <c r="A98" s="11">
        <v>96.0</v>
      </c>
      <c r="B98" s="20">
        <v>92.0</v>
      </c>
      <c r="C98" s="13" t="s">
        <v>301</v>
      </c>
      <c r="D98" s="13" t="s">
        <v>302</v>
      </c>
      <c r="E98" s="13" t="s">
        <v>303</v>
      </c>
      <c r="F98" s="13" t="s">
        <v>304</v>
      </c>
      <c r="G98" s="15"/>
      <c r="H98" s="1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2.5" customHeight="1">
      <c r="A99" s="11">
        <v>97.0</v>
      </c>
      <c r="B99" s="20">
        <v>92.0</v>
      </c>
      <c r="C99" s="13" t="s">
        <v>305</v>
      </c>
      <c r="D99" s="13" t="s">
        <v>306</v>
      </c>
      <c r="E99" s="13" t="s">
        <v>307</v>
      </c>
      <c r="F99" s="13" t="s">
        <v>308</v>
      </c>
      <c r="G99" s="15"/>
      <c r="H99" s="1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2.5" customHeight="1">
      <c r="A100" s="11">
        <v>98.0</v>
      </c>
      <c r="B100" s="20">
        <v>92.0</v>
      </c>
      <c r="C100" s="13" t="s">
        <v>309</v>
      </c>
      <c r="D100" s="13" t="s">
        <v>310</v>
      </c>
      <c r="E100" s="13" t="s">
        <v>311</v>
      </c>
      <c r="F100" s="13" t="s">
        <v>312</v>
      </c>
      <c r="G100" s="14" t="s">
        <v>18</v>
      </c>
      <c r="H100" s="1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2.5" customHeight="1">
      <c r="A101" s="11">
        <v>99.0</v>
      </c>
      <c r="B101" s="20">
        <v>92.0</v>
      </c>
      <c r="C101" s="13" t="s">
        <v>313</v>
      </c>
      <c r="D101" s="13" t="s">
        <v>314</v>
      </c>
      <c r="E101" s="13" t="s">
        <v>315</v>
      </c>
      <c r="F101" s="13" t="s">
        <v>316</v>
      </c>
      <c r="G101" s="15"/>
      <c r="H101" s="1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2.5" customHeight="1">
      <c r="A102" s="11">
        <v>100.0</v>
      </c>
      <c r="B102" s="20">
        <v>91.0</v>
      </c>
      <c r="C102" s="13" t="s">
        <v>317</v>
      </c>
      <c r="D102" s="13" t="s">
        <v>318</v>
      </c>
      <c r="E102" s="13" t="s">
        <v>295</v>
      </c>
      <c r="F102" s="13" t="s">
        <v>296</v>
      </c>
      <c r="G102" s="14" t="s">
        <v>18</v>
      </c>
      <c r="H102" s="1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2.5" customHeight="1">
      <c r="A103" s="11">
        <v>101.0</v>
      </c>
      <c r="B103" s="20">
        <v>91.0</v>
      </c>
      <c r="C103" s="13" t="s">
        <v>319</v>
      </c>
      <c r="D103" s="13" t="s">
        <v>320</v>
      </c>
      <c r="E103" s="13" t="s">
        <v>55</v>
      </c>
      <c r="F103" s="13" t="s">
        <v>17</v>
      </c>
      <c r="G103" s="14" t="s">
        <v>18</v>
      </c>
      <c r="H103" s="1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2.5" customHeight="1">
      <c r="A104" s="11">
        <v>102.0</v>
      </c>
      <c r="B104" s="20">
        <v>91.0</v>
      </c>
      <c r="C104" s="13" t="s">
        <v>321</v>
      </c>
      <c r="D104" s="13" t="s">
        <v>322</v>
      </c>
      <c r="E104" s="13" t="s">
        <v>51</v>
      </c>
      <c r="F104" s="13" t="s">
        <v>52</v>
      </c>
      <c r="G104" s="14" t="s">
        <v>18</v>
      </c>
      <c r="H104" s="1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2.5" customHeight="1">
      <c r="A105" s="11">
        <v>103.0</v>
      </c>
      <c r="B105" s="20">
        <v>91.0</v>
      </c>
      <c r="C105" s="13" t="s">
        <v>26</v>
      </c>
      <c r="D105" s="13" t="s">
        <v>27</v>
      </c>
      <c r="E105" s="13" t="s">
        <v>28</v>
      </c>
      <c r="F105" s="13" t="s">
        <v>323</v>
      </c>
      <c r="G105" s="15"/>
      <c r="H105" s="1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2.5" customHeight="1">
      <c r="A106" s="11">
        <v>104.0</v>
      </c>
      <c r="B106" s="20">
        <v>91.0</v>
      </c>
      <c r="C106" s="13" t="s">
        <v>324</v>
      </c>
      <c r="D106" s="13" t="s">
        <v>325</v>
      </c>
      <c r="E106" s="13" t="s">
        <v>324</v>
      </c>
      <c r="F106" s="13" t="s">
        <v>325</v>
      </c>
      <c r="G106" s="15"/>
      <c r="H106" s="1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2.5" customHeight="1">
      <c r="A107" s="11">
        <v>105.0</v>
      </c>
      <c r="B107" s="20">
        <v>90.0</v>
      </c>
      <c r="C107" s="13" t="s">
        <v>326</v>
      </c>
      <c r="D107" s="13" t="s">
        <v>327</v>
      </c>
      <c r="E107" s="13" t="s">
        <v>328</v>
      </c>
      <c r="F107" s="13" t="s">
        <v>329</v>
      </c>
      <c r="G107" s="15"/>
      <c r="H107" s="1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2.5" customHeight="1">
      <c r="A108" s="11">
        <v>106.0</v>
      </c>
      <c r="B108" s="20">
        <v>90.0</v>
      </c>
      <c r="C108" s="13" t="s">
        <v>330</v>
      </c>
      <c r="D108" s="13" t="s">
        <v>331</v>
      </c>
      <c r="E108" s="13" t="s">
        <v>332</v>
      </c>
      <c r="F108" s="13" t="s">
        <v>333</v>
      </c>
      <c r="G108" s="14" t="s">
        <v>18</v>
      </c>
      <c r="H108" s="1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2.5" customHeight="1">
      <c r="A109" s="11">
        <v>107.0</v>
      </c>
      <c r="B109" s="20">
        <v>90.0</v>
      </c>
      <c r="C109" s="13" t="s">
        <v>334</v>
      </c>
      <c r="D109" s="13" t="s">
        <v>335</v>
      </c>
      <c r="E109" s="13" t="s">
        <v>336</v>
      </c>
      <c r="F109" s="13" t="s">
        <v>337</v>
      </c>
      <c r="G109" s="15"/>
      <c r="H109" s="1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2.5" customHeight="1">
      <c r="A110" s="11">
        <v>108.0</v>
      </c>
      <c r="B110" s="20">
        <v>90.0</v>
      </c>
      <c r="C110" s="13" t="s">
        <v>338</v>
      </c>
      <c r="D110" s="13" t="s">
        <v>339</v>
      </c>
      <c r="E110" s="13" t="s">
        <v>340</v>
      </c>
      <c r="F110" s="13" t="s">
        <v>341</v>
      </c>
      <c r="G110" s="14" t="s">
        <v>18</v>
      </c>
      <c r="H110" s="1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2.5" customHeight="1">
      <c r="A111" s="11">
        <v>109.0</v>
      </c>
      <c r="B111" s="20">
        <v>90.0</v>
      </c>
      <c r="C111" s="13" t="s">
        <v>342</v>
      </c>
      <c r="D111" s="13" t="s">
        <v>343</v>
      </c>
      <c r="E111" s="13" t="s">
        <v>344</v>
      </c>
      <c r="F111" s="13" t="s">
        <v>128</v>
      </c>
      <c r="G111" s="14" t="s">
        <v>18</v>
      </c>
      <c r="H111" s="1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2.5" customHeight="1">
      <c r="A112" s="11">
        <v>110.0</v>
      </c>
      <c r="B112" s="20">
        <v>87.0</v>
      </c>
      <c r="C112" s="13" t="s">
        <v>345</v>
      </c>
      <c r="D112" s="13" t="s">
        <v>346</v>
      </c>
      <c r="E112" s="13" t="s">
        <v>131</v>
      </c>
      <c r="F112" s="13" t="s">
        <v>132</v>
      </c>
      <c r="G112" s="14" t="s">
        <v>18</v>
      </c>
      <c r="H112" s="1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2.5" customHeight="1">
      <c r="A113" s="11">
        <v>111.0</v>
      </c>
      <c r="B113" s="20">
        <v>87.0</v>
      </c>
      <c r="C113" s="13" t="s">
        <v>347</v>
      </c>
      <c r="D113" s="13" t="s">
        <v>348</v>
      </c>
      <c r="E113" s="13" t="s">
        <v>349</v>
      </c>
      <c r="F113" s="13" t="s">
        <v>350</v>
      </c>
      <c r="G113" s="14" t="s">
        <v>18</v>
      </c>
      <c r="H113" s="1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2.5" customHeight="1">
      <c r="A114" s="11">
        <v>112.0</v>
      </c>
      <c r="B114" s="20">
        <v>87.0</v>
      </c>
      <c r="C114" s="13" t="s">
        <v>351</v>
      </c>
      <c r="D114" s="13" t="s">
        <v>352</v>
      </c>
      <c r="E114" s="13" t="s">
        <v>353</v>
      </c>
      <c r="F114" s="13" t="s">
        <v>354</v>
      </c>
      <c r="G114" s="14" t="s">
        <v>18</v>
      </c>
      <c r="H114" s="1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2.5" customHeight="1">
      <c r="A115" s="11">
        <v>113.0</v>
      </c>
      <c r="B115" s="20">
        <v>87.0</v>
      </c>
      <c r="C115" s="13" t="s">
        <v>22</v>
      </c>
      <c r="D115" s="13" t="s">
        <v>23</v>
      </c>
      <c r="E115" s="13" t="s">
        <v>24</v>
      </c>
      <c r="F115" s="13" t="s">
        <v>25</v>
      </c>
      <c r="G115" s="15"/>
      <c r="H115" s="1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2.5" customHeight="1">
      <c r="A116" s="11">
        <v>114.0</v>
      </c>
      <c r="B116" s="20">
        <v>87.0</v>
      </c>
      <c r="C116" s="13" t="s">
        <v>355</v>
      </c>
      <c r="D116" s="13" t="s">
        <v>356</v>
      </c>
      <c r="E116" s="13" t="s">
        <v>357</v>
      </c>
      <c r="F116" s="13" t="s">
        <v>358</v>
      </c>
      <c r="G116" s="14" t="s">
        <v>18</v>
      </c>
      <c r="H116" s="1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2.5" customHeight="1">
      <c r="A117" s="11">
        <v>115.0</v>
      </c>
      <c r="B117" s="20">
        <v>86.0</v>
      </c>
      <c r="C117" s="13" t="s">
        <v>359</v>
      </c>
      <c r="D117" s="13" t="s">
        <v>360</v>
      </c>
      <c r="E117" s="13" t="s">
        <v>87</v>
      </c>
      <c r="F117" s="13" t="s">
        <v>88</v>
      </c>
      <c r="G117" s="14" t="s">
        <v>18</v>
      </c>
      <c r="H117" s="1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2.5" customHeight="1">
      <c r="A118" s="11">
        <v>116.0</v>
      </c>
      <c r="B118" s="20">
        <v>86.0</v>
      </c>
      <c r="C118" s="13" t="s">
        <v>361</v>
      </c>
      <c r="D118" s="13" t="s">
        <v>362</v>
      </c>
      <c r="E118" s="13" t="s">
        <v>363</v>
      </c>
      <c r="F118" s="13" t="s">
        <v>364</v>
      </c>
      <c r="G118" s="15"/>
      <c r="H118" s="1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2.5" customHeight="1">
      <c r="A119" s="11">
        <v>117.0</v>
      </c>
      <c r="B119" s="20">
        <v>86.0</v>
      </c>
      <c r="C119" s="13" t="s">
        <v>365</v>
      </c>
      <c r="D119" s="13" t="s">
        <v>366</v>
      </c>
      <c r="E119" s="13" t="s">
        <v>353</v>
      </c>
      <c r="F119" s="13" t="s">
        <v>354</v>
      </c>
      <c r="G119" s="15"/>
      <c r="H119" s="1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2.5" customHeight="1">
      <c r="A120" s="11">
        <v>118.0</v>
      </c>
      <c r="B120" s="20">
        <v>86.0</v>
      </c>
      <c r="C120" s="13" t="s">
        <v>367</v>
      </c>
      <c r="D120" s="13" t="s">
        <v>368</v>
      </c>
      <c r="E120" s="13" t="s">
        <v>143</v>
      </c>
      <c r="F120" s="13" t="s">
        <v>144</v>
      </c>
      <c r="G120" s="15"/>
      <c r="H120" s="1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2.5" customHeight="1">
      <c r="A121" s="11">
        <v>119.0</v>
      </c>
      <c r="B121" s="20">
        <v>86.0</v>
      </c>
      <c r="C121" s="13" t="s">
        <v>369</v>
      </c>
      <c r="D121" s="13" t="s">
        <v>370</v>
      </c>
      <c r="E121" s="13" t="s">
        <v>371</v>
      </c>
      <c r="F121" s="13" t="s">
        <v>372</v>
      </c>
      <c r="G121" s="14" t="s">
        <v>18</v>
      </c>
      <c r="H121" s="1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2.5" customHeight="1">
      <c r="A122" s="11">
        <v>120.0</v>
      </c>
      <c r="B122" s="20">
        <v>85.0</v>
      </c>
      <c r="C122" s="13" t="s">
        <v>373</v>
      </c>
      <c r="D122" s="13" t="s">
        <v>374</v>
      </c>
      <c r="E122" s="13" t="s">
        <v>55</v>
      </c>
      <c r="F122" s="13" t="s">
        <v>17</v>
      </c>
      <c r="G122" s="15"/>
      <c r="H122" s="1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2.5" customHeight="1">
      <c r="A123" s="11">
        <v>121.0</v>
      </c>
      <c r="B123" s="20">
        <v>85.0</v>
      </c>
      <c r="C123" s="13" t="s">
        <v>375</v>
      </c>
      <c r="D123" s="13" t="s">
        <v>376</v>
      </c>
      <c r="E123" s="13" t="s">
        <v>377</v>
      </c>
      <c r="F123" s="13" t="s">
        <v>378</v>
      </c>
      <c r="G123" s="14" t="s">
        <v>18</v>
      </c>
      <c r="H123" s="1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2.5" customHeight="1">
      <c r="A124" s="11">
        <v>122.0</v>
      </c>
      <c r="B124" s="20">
        <v>85.0</v>
      </c>
      <c r="C124" s="13" t="s">
        <v>379</v>
      </c>
      <c r="D124" s="13" t="s">
        <v>380</v>
      </c>
      <c r="E124" s="13" t="s">
        <v>221</v>
      </c>
      <c r="F124" s="13" t="s">
        <v>222</v>
      </c>
      <c r="G124" s="14" t="s">
        <v>18</v>
      </c>
      <c r="H124" s="1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2.5" customHeight="1">
      <c r="A125" s="11">
        <v>123.0</v>
      </c>
      <c r="B125" s="20">
        <v>85.0</v>
      </c>
      <c r="C125" s="13" t="s">
        <v>381</v>
      </c>
      <c r="D125" s="13" t="s">
        <v>382</v>
      </c>
      <c r="E125" s="13" t="s">
        <v>383</v>
      </c>
      <c r="F125" s="13" t="s">
        <v>384</v>
      </c>
      <c r="G125" s="15"/>
      <c r="H125" s="1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2.5" customHeight="1">
      <c r="A126" s="11">
        <v>124.0</v>
      </c>
      <c r="B126" s="20">
        <v>85.0</v>
      </c>
      <c r="C126" s="13" t="s">
        <v>385</v>
      </c>
      <c r="D126" s="13" t="s">
        <v>386</v>
      </c>
      <c r="E126" s="13" t="s">
        <v>387</v>
      </c>
      <c r="F126" s="13" t="s">
        <v>388</v>
      </c>
      <c r="G126" s="14" t="s">
        <v>18</v>
      </c>
      <c r="H126" s="1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2.5" customHeight="1">
      <c r="A127" s="11">
        <v>125.0</v>
      </c>
      <c r="B127" s="20">
        <v>84.0</v>
      </c>
      <c r="C127" s="13" t="s">
        <v>389</v>
      </c>
      <c r="D127" s="13" t="s">
        <v>390</v>
      </c>
      <c r="E127" s="13" t="s">
        <v>153</v>
      </c>
      <c r="F127" s="13" t="s">
        <v>154</v>
      </c>
      <c r="G127" s="14" t="s">
        <v>18</v>
      </c>
      <c r="H127" s="1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2.5" customHeight="1">
      <c r="A128" s="11">
        <v>126.0</v>
      </c>
      <c r="B128" s="20">
        <v>84.0</v>
      </c>
      <c r="C128" s="13" t="s">
        <v>391</v>
      </c>
      <c r="D128" s="13" t="s">
        <v>392</v>
      </c>
      <c r="E128" s="13" t="s">
        <v>393</v>
      </c>
      <c r="F128" s="13" t="s">
        <v>394</v>
      </c>
      <c r="G128" s="15"/>
      <c r="H128" s="1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2.5" customHeight="1">
      <c r="A129" s="11">
        <v>127.0</v>
      </c>
      <c r="B129" s="20">
        <v>84.0</v>
      </c>
      <c r="C129" s="13" t="s">
        <v>271</v>
      </c>
      <c r="D129" s="13" t="s">
        <v>272</v>
      </c>
      <c r="E129" s="13" t="s">
        <v>273</v>
      </c>
      <c r="F129" s="13" t="s">
        <v>274</v>
      </c>
      <c r="G129" s="15"/>
      <c r="H129" s="1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2.5" customHeight="1">
      <c r="A130" s="11">
        <v>128.0</v>
      </c>
      <c r="B130" s="20">
        <v>84.0</v>
      </c>
      <c r="C130" s="13" t="s">
        <v>395</v>
      </c>
      <c r="D130" s="13" t="s">
        <v>396</v>
      </c>
      <c r="E130" s="13" t="s">
        <v>397</v>
      </c>
      <c r="F130" s="13" t="s">
        <v>398</v>
      </c>
      <c r="G130" s="14" t="s">
        <v>18</v>
      </c>
      <c r="H130" s="1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2.5" customHeight="1">
      <c r="A131" s="11">
        <v>129.0</v>
      </c>
      <c r="B131" s="20">
        <v>84.0</v>
      </c>
      <c r="C131" s="13" t="s">
        <v>399</v>
      </c>
      <c r="D131" s="13" t="s">
        <v>400</v>
      </c>
      <c r="E131" s="13" t="s">
        <v>401</v>
      </c>
      <c r="F131" s="13" t="s">
        <v>402</v>
      </c>
      <c r="G131" s="15"/>
      <c r="H131" s="1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2.5" customHeight="1">
      <c r="A132" s="11">
        <v>130.0</v>
      </c>
      <c r="B132" s="20">
        <v>83.0</v>
      </c>
      <c r="C132" s="13" t="s">
        <v>403</v>
      </c>
      <c r="D132" s="13" t="s">
        <v>404</v>
      </c>
      <c r="E132" s="13" t="s">
        <v>87</v>
      </c>
      <c r="F132" s="13" t="s">
        <v>88</v>
      </c>
      <c r="G132" s="14" t="s">
        <v>18</v>
      </c>
      <c r="H132" s="1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2.5" customHeight="1">
      <c r="A133" s="11">
        <v>131.0</v>
      </c>
      <c r="B133" s="20">
        <v>83.0</v>
      </c>
      <c r="C133" s="13" t="s">
        <v>405</v>
      </c>
      <c r="D133" s="13" t="s">
        <v>406</v>
      </c>
      <c r="E133" s="13" t="s">
        <v>349</v>
      </c>
      <c r="F133" s="13" t="s">
        <v>350</v>
      </c>
      <c r="G133" s="14" t="s">
        <v>18</v>
      </c>
      <c r="H133" s="1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2.5" customHeight="1">
      <c r="A134" s="11">
        <v>132.0</v>
      </c>
      <c r="B134" s="20">
        <v>83.0</v>
      </c>
      <c r="C134" s="13" t="s">
        <v>407</v>
      </c>
      <c r="D134" s="13" t="s">
        <v>408</v>
      </c>
      <c r="E134" s="13" t="s">
        <v>409</v>
      </c>
      <c r="F134" s="13" t="s">
        <v>410</v>
      </c>
      <c r="G134" s="15"/>
      <c r="H134" s="1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2.5" customHeight="1">
      <c r="A135" s="11">
        <v>133.0</v>
      </c>
      <c r="B135" s="20">
        <v>83.0</v>
      </c>
      <c r="C135" s="13" t="s">
        <v>411</v>
      </c>
      <c r="D135" s="13" t="s">
        <v>412</v>
      </c>
      <c r="E135" s="13" t="s">
        <v>67</v>
      </c>
      <c r="F135" s="13" t="s">
        <v>68</v>
      </c>
      <c r="G135" s="15"/>
      <c r="H135" s="1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2.5" customHeight="1">
      <c r="A136" s="11">
        <v>134.0</v>
      </c>
      <c r="B136" s="20">
        <v>83.0</v>
      </c>
      <c r="C136" s="13" t="s">
        <v>413</v>
      </c>
      <c r="D136" s="13" t="s">
        <v>414</v>
      </c>
      <c r="E136" s="13" t="s">
        <v>87</v>
      </c>
      <c r="F136" s="13" t="s">
        <v>88</v>
      </c>
      <c r="G136" s="15"/>
      <c r="H136" s="1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2.5" customHeight="1">
      <c r="A137" s="11">
        <v>135.0</v>
      </c>
      <c r="B137" s="20">
        <v>82.0</v>
      </c>
      <c r="C137" s="13" t="s">
        <v>415</v>
      </c>
      <c r="D137" s="13" t="s">
        <v>416</v>
      </c>
      <c r="E137" s="13" t="s">
        <v>179</v>
      </c>
      <c r="F137" s="13" t="s">
        <v>180</v>
      </c>
      <c r="G137" s="15"/>
      <c r="H137" s="1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2.5" customHeight="1">
      <c r="A138" s="11">
        <v>136.0</v>
      </c>
      <c r="B138" s="20">
        <v>82.0</v>
      </c>
      <c r="C138" s="13" t="s">
        <v>417</v>
      </c>
      <c r="D138" s="13" t="s">
        <v>418</v>
      </c>
      <c r="E138" s="13" t="s">
        <v>419</v>
      </c>
      <c r="F138" s="13" t="s">
        <v>282</v>
      </c>
      <c r="G138" s="14" t="s">
        <v>18</v>
      </c>
      <c r="H138" s="1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2.5" customHeight="1">
      <c r="A139" s="11">
        <v>137.0</v>
      </c>
      <c r="B139" s="20">
        <v>82.0</v>
      </c>
      <c r="C139" s="13" t="s">
        <v>57</v>
      </c>
      <c r="D139" s="13" t="s">
        <v>420</v>
      </c>
      <c r="E139" s="13" t="s">
        <v>59</v>
      </c>
      <c r="F139" s="13" t="s">
        <v>60</v>
      </c>
      <c r="G139" s="15"/>
      <c r="H139" s="1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2.5" customHeight="1">
      <c r="A140" s="11">
        <v>138.0</v>
      </c>
      <c r="B140" s="20">
        <v>82.0</v>
      </c>
      <c r="C140" s="13" t="s">
        <v>421</v>
      </c>
      <c r="D140" s="13" t="s">
        <v>116</v>
      </c>
      <c r="E140" s="13" t="s">
        <v>41</v>
      </c>
      <c r="F140" s="13" t="s">
        <v>176</v>
      </c>
      <c r="G140" s="14" t="s">
        <v>18</v>
      </c>
      <c r="H140" s="1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2.5" customHeight="1">
      <c r="A141" s="11">
        <v>139.0</v>
      </c>
      <c r="B141" s="20">
        <v>82.0</v>
      </c>
      <c r="C141" s="13" t="s">
        <v>422</v>
      </c>
      <c r="D141" s="13" t="s">
        <v>423</v>
      </c>
      <c r="E141" s="13" t="s">
        <v>63</v>
      </c>
      <c r="F141" s="13" t="s">
        <v>64</v>
      </c>
      <c r="G141" s="15"/>
      <c r="H141" s="1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2.5" customHeight="1">
      <c r="A142" s="11">
        <v>140.0</v>
      </c>
      <c r="B142" s="20">
        <v>81.0</v>
      </c>
      <c r="C142" s="13" t="s">
        <v>424</v>
      </c>
      <c r="D142" s="13" t="s">
        <v>425</v>
      </c>
      <c r="E142" s="13" t="s">
        <v>426</v>
      </c>
      <c r="F142" s="13" t="s">
        <v>427</v>
      </c>
      <c r="G142" s="15"/>
      <c r="H142" s="1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2.5" customHeight="1">
      <c r="A143" s="11">
        <v>141.0</v>
      </c>
      <c r="B143" s="20">
        <v>81.0</v>
      </c>
      <c r="C143" s="13" t="s">
        <v>428</v>
      </c>
      <c r="D143" s="13" t="s">
        <v>429</v>
      </c>
      <c r="E143" s="13" t="s">
        <v>63</v>
      </c>
      <c r="F143" s="13" t="s">
        <v>64</v>
      </c>
      <c r="G143" s="14" t="s">
        <v>18</v>
      </c>
      <c r="H143" s="1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2.5" customHeight="1">
      <c r="A144" s="11">
        <v>142.0</v>
      </c>
      <c r="B144" s="20">
        <v>81.0</v>
      </c>
      <c r="C144" s="13" t="s">
        <v>173</v>
      </c>
      <c r="D144" s="13" t="s">
        <v>124</v>
      </c>
      <c r="E144" s="13" t="s">
        <v>123</v>
      </c>
      <c r="F144" s="13" t="s">
        <v>124</v>
      </c>
      <c r="G144" s="15"/>
      <c r="H144" s="1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2.5" customHeight="1">
      <c r="A145" s="11">
        <v>143.0</v>
      </c>
      <c r="B145" s="20">
        <v>81.0</v>
      </c>
      <c r="C145" s="13" t="s">
        <v>430</v>
      </c>
      <c r="D145" s="13" t="s">
        <v>431</v>
      </c>
      <c r="E145" s="13" t="s">
        <v>311</v>
      </c>
      <c r="F145" s="13" t="s">
        <v>312</v>
      </c>
      <c r="G145" s="15"/>
      <c r="H145" s="1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2.5" customHeight="1">
      <c r="A146" s="11">
        <v>144.0</v>
      </c>
      <c r="B146" s="20">
        <v>81.0</v>
      </c>
      <c r="C146" s="13" t="s">
        <v>369</v>
      </c>
      <c r="D146" s="13" t="s">
        <v>370</v>
      </c>
      <c r="E146" s="13" t="s">
        <v>371</v>
      </c>
      <c r="F146" s="13" t="s">
        <v>372</v>
      </c>
      <c r="G146" s="15"/>
      <c r="H146" s="1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2.5" customHeight="1">
      <c r="A147" s="11">
        <v>145.0</v>
      </c>
      <c r="B147" s="20">
        <v>80.0</v>
      </c>
      <c r="C147" s="13" t="s">
        <v>432</v>
      </c>
      <c r="D147" s="13" t="s">
        <v>433</v>
      </c>
      <c r="E147" s="13" t="s">
        <v>332</v>
      </c>
      <c r="F147" s="13" t="s">
        <v>434</v>
      </c>
      <c r="G147" s="15"/>
      <c r="H147" s="1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2.5" customHeight="1">
      <c r="A148" s="11">
        <v>146.0</v>
      </c>
      <c r="B148" s="20">
        <v>80.0</v>
      </c>
      <c r="C148" s="13" t="s">
        <v>435</v>
      </c>
      <c r="D148" s="13" t="s">
        <v>436</v>
      </c>
      <c r="E148" s="13" t="s">
        <v>437</v>
      </c>
      <c r="F148" s="13" t="s">
        <v>144</v>
      </c>
      <c r="G148" s="14" t="s">
        <v>18</v>
      </c>
      <c r="H148" s="1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2.5" customHeight="1">
      <c r="A149" s="11">
        <v>147.0</v>
      </c>
      <c r="B149" s="20">
        <v>80.0</v>
      </c>
      <c r="C149" s="13" t="s">
        <v>438</v>
      </c>
      <c r="D149" s="13" t="s">
        <v>439</v>
      </c>
      <c r="E149" s="13" t="s">
        <v>87</v>
      </c>
      <c r="F149" s="13" t="s">
        <v>88</v>
      </c>
      <c r="G149" s="14" t="s">
        <v>18</v>
      </c>
      <c r="H149" s="14" t="s">
        <v>18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2.5" customHeight="1">
      <c r="A150" s="11">
        <v>148.0</v>
      </c>
      <c r="B150" s="20">
        <v>80.0</v>
      </c>
      <c r="C150" s="13" t="s">
        <v>440</v>
      </c>
      <c r="D150" s="13" t="s">
        <v>441</v>
      </c>
      <c r="E150" s="13" t="s">
        <v>393</v>
      </c>
      <c r="F150" s="13" t="s">
        <v>394</v>
      </c>
      <c r="G150" s="14" t="s">
        <v>18</v>
      </c>
      <c r="H150" s="1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2.5" customHeight="1">
      <c r="A151" s="11">
        <v>149.0</v>
      </c>
      <c r="B151" s="20">
        <v>80.0</v>
      </c>
      <c r="C151" s="13" t="s">
        <v>442</v>
      </c>
      <c r="D151" s="13" t="s">
        <v>443</v>
      </c>
      <c r="E151" s="13" t="s">
        <v>444</v>
      </c>
      <c r="F151" s="13" t="s">
        <v>445</v>
      </c>
      <c r="G151" s="15"/>
      <c r="H151" s="1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2.5" customHeight="1">
      <c r="A152" s="11">
        <v>150.0</v>
      </c>
      <c r="B152" s="20">
        <v>79.0</v>
      </c>
      <c r="C152" s="13" t="s">
        <v>446</v>
      </c>
      <c r="D152" s="13" t="s">
        <v>447</v>
      </c>
      <c r="E152" s="13" t="s">
        <v>383</v>
      </c>
      <c r="F152" s="13" t="s">
        <v>448</v>
      </c>
      <c r="G152" s="15"/>
      <c r="H152" s="1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2.5" customHeight="1">
      <c r="A153" s="11">
        <v>151.0</v>
      </c>
      <c r="B153" s="20">
        <v>79.0</v>
      </c>
      <c r="C153" s="13" t="s">
        <v>449</v>
      </c>
      <c r="D153" s="13" t="s">
        <v>450</v>
      </c>
      <c r="E153" s="13" t="s">
        <v>63</v>
      </c>
      <c r="F153" s="13" t="s">
        <v>64</v>
      </c>
      <c r="G153" s="15"/>
      <c r="H153" s="1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2.5" customHeight="1">
      <c r="A154" s="11">
        <v>152.0</v>
      </c>
      <c r="B154" s="20">
        <v>79.0</v>
      </c>
      <c r="C154" s="13" t="s">
        <v>451</v>
      </c>
      <c r="D154" s="13" t="s">
        <v>452</v>
      </c>
      <c r="E154" s="13" t="s">
        <v>453</v>
      </c>
      <c r="F154" s="13" t="s">
        <v>454</v>
      </c>
      <c r="G154" s="15"/>
      <c r="H154" s="1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2.5" customHeight="1">
      <c r="A155" s="11">
        <v>153.0</v>
      </c>
      <c r="B155" s="20">
        <v>79.0</v>
      </c>
      <c r="C155" s="13" t="s">
        <v>455</v>
      </c>
      <c r="D155" s="13" t="s">
        <v>456</v>
      </c>
      <c r="E155" s="13" t="s">
        <v>457</v>
      </c>
      <c r="F155" s="13" t="s">
        <v>458</v>
      </c>
      <c r="G155" s="14" t="s">
        <v>18</v>
      </c>
      <c r="H155" s="1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2.5" customHeight="1">
      <c r="A156" s="11">
        <v>154.0</v>
      </c>
      <c r="B156" s="20">
        <v>79.0</v>
      </c>
      <c r="C156" s="13" t="s">
        <v>73</v>
      </c>
      <c r="D156" s="13" t="s">
        <v>74</v>
      </c>
      <c r="E156" s="13" t="s">
        <v>75</v>
      </c>
      <c r="F156" s="13" t="s">
        <v>76</v>
      </c>
      <c r="G156" s="15"/>
      <c r="H156" s="1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2.5" customHeight="1">
      <c r="A157" s="11">
        <v>155.0</v>
      </c>
      <c r="B157" s="20">
        <v>78.0</v>
      </c>
      <c r="C157" s="13" t="s">
        <v>459</v>
      </c>
      <c r="D157" s="13" t="s">
        <v>460</v>
      </c>
      <c r="E157" s="13" t="s">
        <v>457</v>
      </c>
      <c r="F157" s="13" t="s">
        <v>458</v>
      </c>
      <c r="G157" s="14" t="s">
        <v>18</v>
      </c>
      <c r="H157" s="1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2.5" customHeight="1">
      <c r="A158" s="11">
        <v>156.0</v>
      </c>
      <c r="B158" s="20">
        <v>78.0</v>
      </c>
      <c r="C158" s="13" t="s">
        <v>461</v>
      </c>
      <c r="D158" s="13" t="s">
        <v>462</v>
      </c>
      <c r="E158" s="13" t="s">
        <v>51</v>
      </c>
      <c r="F158" s="13" t="s">
        <v>52</v>
      </c>
      <c r="G158" s="14" t="s">
        <v>18</v>
      </c>
      <c r="H158" s="1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2.5" customHeight="1">
      <c r="A159" s="11">
        <v>157.0</v>
      </c>
      <c r="B159" s="20">
        <v>78.0</v>
      </c>
      <c r="C159" s="13" t="s">
        <v>463</v>
      </c>
      <c r="D159" s="13" t="s">
        <v>464</v>
      </c>
      <c r="E159" s="13" t="s">
        <v>465</v>
      </c>
      <c r="F159" s="13" t="s">
        <v>466</v>
      </c>
      <c r="G159" s="15"/>
      <c r="H159" s="1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2.5" customHeight="1">
      <c r="A160" s="11">
        <v>158.0</v>
      </c>
      <c r="B160" s="20">
        <v>78.0</v>
      </c>
      <c r="C160" s="13" t="s">
        <v>467</v>
      </c>
      <c r="D160" s="13" t="s">
        <v>468</v>
      </c>
      <c r="E160" s="13" t="s">
        <v>273</v>
      </c>
      <c r="F160" s="13" t="s">
        <v>274</v>
      </c>
      <c r="G160" s="14" t="s">
        <v>18</v>
      </c>
      <c r="H160" s="1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2.5" customHeight="1">
      <c r="A161" s="11">
        <v>159.0</v>
      </c>
      <c r="B161" s="20">
        <v>78.0</v>
      </c>
      <c r="C161" s="13" t="s">
        <v>469</v>
      </c>
      <c r="D161" s="13" t="s">
        <v>470</v>
      </c>
      <c r="E161" s="13" t="s">
        <v>32</v>
      </c>
      <c r="F161" s="13" t="s">
        <v>33</v>
      </c>
      <c r="G161" s="15"/>
      <c r="H161" s="1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2.5" customHeight="1">
      <c r="A162" s="11">
        <v>160.0</v>
      </c>
      <c r="B162" s="20">
        <v>77.0</v>
      </c>
      <c r="C162" s="13" t="s">
        <v>121</v>
      </c>
      <c r="D162" s="13" t="s">
        <v>122</v>
      </c>
      <c r="E162" s="13" t="s">
        <v>123</v>
      </c>
      <c r="F162" s="13" t="s">
        <v>124</v>
      </c>
      <c r="G162" s="15"/>
      <c r="H162" s="1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2.5" customHeight="1">
      <c r="A163" s="11">
        <v>161.0</v>
      </c>
      <c r="B163" s="20">
        <v>77.0</v>
      </c>
      <c r="C163" s="13" t="s">
        <v>471</v>
      </c>
      <c r="D163" s="13" t="s">
        <v>472</v>
      </c>
      <c r="E163" s="13" t="s">
        <v>453</v>
      </c>
      <c r="F163" s="13" t="s">
        <v>454</v>
      </c>
      <c r="G163" s="14" t="s">
        <v>18</v>
      </c>
      <c r="H163" s="1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2.5" customHeight="1">
      <c r="A164" s="11">
        <v>162.0</v>
      </c>
      <c r="B164" s="20">
        <v>77.0</v>
      </c>
      <c r="C164" s="13" t="s">
        <v>473</v>
      </c>
      <c r="D164" s="13" t="s">
        <v>474</v>
      </c>
      <c r="E164" s="13" t="s">
        <v>475</v>
      </c>
      <c r="F164" s="13" t="s">
        <v>476</v>
      </c>
      <c r="G164" s="14" t="s">
        <v>18</v>
      </c>
      <c r="H164" s="14" t="s">
        <v>18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2.5" customHeight="1">
      <c r="A165" s="11">
        <v>163.0</v>
      </c>
      <c r="B165" s="20">
        <v>77.0</v>
      </c>
      <c r="C165" s="13" t="s">
        <v>373</v>
      </c>
      <c r="D165" s="13" t="s">
        <v>477</v>
      </c>
      <c r="E165" s="13" t="s">
        <v>16</v>
      </c>
      <c r="F165" s="13" t="s">
        <v>17</v>
      </c>
      <c r="G165" s="14" t="s">
        <v>18</v>
      </c>
      <c r="H165" s="1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2.5" customHeight="1">
      <c r="A166" s="11">
        <v>164.0</v>
      </c>
      <c r="B166" s="20">
        <v>77.0</v>
      </c>
      <c r="C166" s="13" t="s">
        <v>478</v>
      </c>
      <c r="D166" s="13" t="s">
        <v>479</v>
      </c>
      <c r="E166" s="13" t="s">
        <v>480</v>
      </c>
      <c r="F166" s="13" t="s">
        <v>481</v>
      </c>
      <c r="G166" s="14" t="s">
        <v>18</v>
      </c>
      <c r="H166" s="1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2.5" customHeight="1">
      <c r="A167" s="11">
        <v>165.0</v>
      </c>
      <c r="B167" s="20">
        <v>76.0</v>
      </c>
      <c r="C167" s="13" t="s">
        <v>432</v>
      </c>
      <c r="D167" s="13" t="s">
        <v>433</v>
      </c>
      <c r="E167" s="13" t="s">
        <v>332</v>
      </c>
      <c r="F167" s="13" t="s">
        <v>333</v>
      </c>
      <c r="G167" s="15"/>
      <c r="H167" s="1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2.5" customHeight="1">
      <c r="A168" s="11">
        <v>166.0</v>
      </c>
      <c r="B168" s="20">
        <v>76.0</v>
      </c>
      <c r="C168" s="13" t="s">
        <v>482</v>
      </c>
      <c r="D168" s="13" t="s">
        <v>483</v>
      </c>
      <c r="E168" s="13" t="s">
        <v>221</v>
      </c>
      <c r="F168" s="13" t="s">
        <v>222</v>
      </c>
      <c r="G168" s="14" t="s">
        <v>18</v>
      </c>
      <c r="H168" s="1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2.5" customHeight="1">
      <c r="A169" s="11">
        <v>167.0</v>
      </c>
      <c r="B169" s="20">
        <v>76.0</v>
      </c>
      <c r="C169" s="13" t="s">
        <v>484</v>
      </c>
      <c r="D169" s="13" t="s">
        <v>485</v>
      </c>
      <c r="E169" s="13" t="s">
        <v>486</v>
      </c>
      <c r="F169" s="13" t="s">
        <v>487</v>
      </c>
      <c r="G169" s="15"/>
      <c r="H169" s="1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2.5" customHeight="1">
      <c r="A170" s="11">
        <v>168.0</v>
      </c>
      <c r="B170" s="20">
        <v>76.0</v>
      </c>
      <c r="C170" s="13" t="s">
        <v>488</v>
      </c>
      <c r="D170" s="13" t="s">
        <v>489</v>
      </c>
      <c r="E170" s="13" t="s">
        <v>490</v>
      </c>
      <c r="F170" s="13" t="s">
        <v>491</v>
      </c>
      <c r="G170" s="15"/>
      <c r="H170" s="1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2.5" customHeight="1">
      <c r="A171" s="11">
        <v>169.0</v>
      </c>
      <c r="B171" s="20">
        <v>76.0</v>
      </c>
      <c r="C171" s="13" t="s">
        <v>492</v>
      </c>
      <c r="D171" s="13" t="s">
        <v>493</v>
      </c>
      <c r="E171" s="13" t="s">
        <v>444</v>
      </c>
      <c r="F171" s="13" t="s">
        <v>445</v>
      </c>
      <c r="G171" s="15"/>
      <c r="H171" s="1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2.5" customHeight="1">
      <c r="A172" s="11">
        <v>170.0</v>
      </c>
      <c r="B172" s="20">
        <v>75.0</v>
      </c>
      <c r="C172" s="13" t="s">
        <v>494</v>
      </c>
      <c r="D172" s="13" t="s">
        <v>495</v>
      </c>
      <c r="E172" s="13" t="s">
        <v>496</v>
      </c>
      <c r="F172" s="13" t="s">
        <v>497</v>
      </c>
      <c r="G172" s="15"/>
      <c r="H172" s="1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2.5" customHeight="1">
      <c r="A173" s="11">
        <v>171.0</v>
      </c>
      <c r="B173" s="20">
        <v>75.0</v>
      </c>
      <c r="C173" s="13" t="s">
        <v>498</v>
      </c>
      <c r="D173" s="13" t="s">
        <v>499</v>
      </c>
      <c r="E173" s="13" t="s">
        <v>500</v>
      </c>
      <c r="F173" s="13" t="s">
        <v>501</v>
      </c>
      <c r="G173" s="14" t="s">
        <v>18</v>
      </c>
      <c r="H173" s="14" t="s">
        <v>18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2.5" customHeight="1">
      <c r="A174" s="11">
        <v>172.0</v>
      </c>
      <c r="B174" s="20">
        <v>75.0</v>
      </c>
      <c r="C174" s="13" t="s">
        <v>430</v>
      </c>
      <c r="D174" s="13" t="s">
        <v>431</v>
      </c>
      <c r="E174" s="13" t="s">
        <v>311</v>
      </c>
      <c r="F174" s="13" t="s">
        <v>312</v>
      </c>
      <c r="G174" s="15"/>
      <c r="H174" s="1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2.5" customHeight="1">
      <c r="A175" s="11">
        <v>173.0</v>
      </c>
      <c r="B175" s="20">
        <v>75.0</v>
      </c>
      <c r="C175" s="13" t="s">
        <v>502</v>
      </c>
      <c r="D175" s="13" t="s">
        <v>503</v>
      </c>
      <c r="E175" s="13" t="s">
        <v>303</v>
      </c>
      <c r="F175" s="13" t="s">
        <v>304</v>
      </c>
      <c r="G175" s="14" t="s">
        <v>18</v>
      </c>
      <c r="H175" s="1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2.5" customHeight="1">
      <c r="A176" s="11">
        <v>174.0</v>
      </c>
      <c r="B176" s="20">
        <v>75.0</v>
      </c>
      <c r="C176" s="13" t="s">
        <v>504</v>
      </c>
      <c r="D176" s="13" t="s">
        <v>505</v>
      </c>
      <c r="E176" s="13" t="s">
        <v>506</v>
      </c>
      <c r="F176" s="13" t="s">
        <v>507</v>
      </c>
      <c r="G176" s="15"/>
      <c r="H176" s="1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2.5" customHeight="1">
      <c r="A177" s="11">
        <v>175.0</v>
      </c>
      <c r="B177" s="20">
        <v>74.0</v>
      </c>
      <c r="C177" s="13" t="s">
        <v>508</v>
      </c>
      <c r="D177" s="13" t="s">
        <v>509</v>
      </c>
      <c r="E177" s="13" t="s">
        <v>332</v>
      </c>
      <c r="F177" s="13" t="s">
        <v>333</v>
      </c>
      <c r="G177" s="15"/>
      <c r="H177" s="1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2.5" customHeight="1">
      <c r="A178" s="11">
        <v>176.0</v>
      </c>
      <c r="B178" s="20">
        <v>74.0</v>
      </c>
      <c r="C178" s="13" t="s">
        <v>510</v>
      </c>
      <c r="D178" s="13" t="s">
        <v>511</v>
      </c>
      <c r="E178" s="13" t="s">
        <v>167</v>
      </c>
      <c r="F178" s="13" t="s">
        <v>168</v>
      </c>
      <c r="G178" s="14" t="s">
        <v>18</v>
      </c>
      <c r="H178" s="1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2.5" customHeight="1">
      <c r="A179" s="11">
        <v>177.0</v>
      </c>
      <c r="B179" s="20">
        <v>74.0</v>
      </c>
      <c r="C179" s="13" t="s">
        <v>512</v>
      </c>
      <c r="D179" s="13" t="s">
        <v>513</v>
      </c>
      <c r="E179" s="13" t="s">
        <v>514</v>
      </c>
      <c r="F179" s="13" t="s">
        <v>515</v>
      </c>
      <c r="G179" s="14" t="s">
        <v>18</v>
      </c>
      <c r="H179" s="1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2.5" customHeight="1">
      <c r="A180" s="11">
        <v>178.0</v>
      </c>
      <c r="B180" s="20">
        <v>74.0</v>
      </c>
      <c r="C180" s="13" t="s">
        <v>516</v>
      </c>
      <c r="D180" s="13" t="s">
        <v>517</v>
      </c>
      <c r="E180" s="13" t="s">
        <v>139</v>
      </c>
      <c r="F180" s="13" t="s">
        <v>140</v>
      </c>
      <c r="G180" s="15"/>
      <c r="H180" s="1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2.5" customHeight="1">
      <c r="A181" s="11">
        <v>179.0</v>
      </c>
      <c r="B181" s="20">
        <v>74.0</v>
      </c>
      <c r="C181" s="13" t="s">
        <v>518</v>
      </c>
      <c r="D181" s="13" t="s">
        <v>519</v>
      </c>
      <c r="E181" s="13" t="s">
        <v>426</v>
      </c>
      <c r="F181" s="13" t="s">
        <v>427</v>
      </c>
      <c r="G181" s="14" t="s">
        <v>18</v>
      </c>
      <c r="H181" s="1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2.5" customHeight="1">
      <c r="A182" s="11">
        <v>180.0</v>
      </c>
      <c r="B182" s="20">
        <v>73.0</v>
      </c>
      <c r="C182" s="13" t="s">
        <v>127</v>
      </c>
      <c r="D182" s="13" t="s">
        <v>128</v>
      </c>
      <c r="E182" s="13" t="s">
        <v>127</v>
      </c>
      <c r="F182" s="13" t="s">
        <v>128</v>
      </c>
      <c r="G182" s="14" t="s">
        <v>18</v>
      </c>
      <c r="H182" s="1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2.5" customHeight="1">
      <c r="A183" s="11">
        <v>181.0</v>
      </c>
      <c r="B183" s="20">
        <v>73.0</v>
      </c>
      <c r="C183" s="13" t="s">
        <v>403</v>
      </c>
      <c r="D183" s="13" t="s">
        <v>404</v>
      </c>
      <c r="E183" s="13" t="s">
        <v>87</v>
      </c>
      <c r="F183" s="13" t="s">
        <v>88</v>
      </c>
      <c r="G183" s="15"/>
      <c r="H183" s="1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2.5" customHeight="1">
      <c r="A184" s="11">
        <v>182.0</v>
      </c>
      <c r="B184" s="20">
        <v>73.0</v>
      </c>
      <c r="C184" s="13" t="s">
        <v>520</v>
      </c>
      <c r="D184" s="13" t="s">
        <v>521</v>
      </c>
      <c r="E184" s="13" t="s">
        <v>135</v>
      </c>
      <c r="F184" s="13" t="s">
        <v>522</v>
      </c>
      <c r="G184" s="14" t="s">
        <v>18</v>
      </c>
      <c r="H184" s="1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2.5" customHeight="1">
      <c r="A185" s="11">
        <v>183.0</v>
      </c>
      <c r="B185" s="20">
        <v>73.0</v>
      </c>
      <c r="C185" s="13" t="s">
        <v>523</v>
      </c>
      <c r="D185" s="13" t="s">
        <v>524</v>
      </c>
      <c r="E185" s="13" t="s">
        <v>506</v>
      </c>
      <c r="F185" s="13" t="s">
        <v>507</v>
      </c>
      <c r="G185" s="14" t="s">
        <v>18</v>
      </c>
      <c r="H185" s="1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2.5" customHeight="1">
      <c r="A186" s="11">
        <v>184.0</v>
      </c>
      <c r="B186" s="20">
        <v>72.0</v>
      </c>
      <c r="C186" s="13" t="s">
        <v>525</v>
      </c>
      <c r="D186" s="13" t="s">
        <v>526</v>
      </c>
      <c r="E186" s="13" t="s">
        <v>393</v>
      </c>
      <c r="F186" s="13" t="s">
        <v>394</v>
      </c>
      <c r="G186" s="14" t="s">
        <v>18</v>
      </c>
      <c r="H186" s="1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2.5" customHeight="1">
      <c r="A187" s="11">
        <v>185.0</v>
      </c>
      <c r="B187" s="20">
        <v>72.0</v>
      </c>
      <c r="C187" s="13" t="s">
        <v>527</v>
      </c>
      <c r="D187" s="13" t="s">
        <v>528</v>
      </c>
      <c r="E187" s="13" t="s">
        <v>41</v>
      </c>
      <c r="F187" s="13" t="s">
        <v>176</v>
      </c>
      <c r="G187" s="15"/>
      <c r="H187" s="1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2.5" customHeight="1">
      <c r="A188" s="11">
        <v>186.0</v>
      </c>
      <c r="B188" s="20">
        <v>72.0</v>
      </c>
      <c r="C188" s="13" t="s">
        <v>529</v>
      </c>
      <c r="D188" s="13" t="s">
        <v>530</v>
      </c>
      <c r="E188" s="13" t="s">
        <v>531</v>
      </c>
      <c r="F188" s="13" t="s">
        <v>532</v>
      </c>
      <c r="G188" s="14" t="s">
        <v>18</v>
      </c>
      <c r="H188" s="1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2.5" customHeight="1">
      <c r="A189" s="11">
        <v>187.0</v>
      </c>
      <c r="B189" s="20">
        <v>72.0</v>
      </c>
      <c r="C189" s="13" t="s">
        <v>533</v>
      </c>
      <c r="D189" s="13" t="s">
        <v>534</v>
      </c>
      <c r="E189" s="13" t="s">
        <v>233</v>
      </c>
      <c r="F189" s="13" t="s">
        <v>234</v>
      </c>
      <c r="G189" s="14" t="s">
        <v>18</v>
      </c>
      <c r="H189" s="1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2.5" customHeight="1">
      <c r="A190" s="11">
        <v>188.0</v>
      </c>
      <c r="B190" s="20">
        <v>72.0</v>
      </c>
      <c r="C190" s="13" t="s">
        <v>535</v>
      </c>
      <c r="D190" s="13" t="s">
        <v>536</v>
      </c>
      <c r="E190" s="13" t="s">
        <v>537</v>
      </c>
      <c r="F190" s="13" t="s">
        <v>515</v>
      </c>
      <c r="G190" s="14" t="s">
        <v>18</v>
      </c>
      <c r="H190" s="1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2.5" customHeight="1">
      <c r="A191" s="11">
        <v>189.0</v>
      </c>
      <c r="B191" s="20">
        <v>71.0</v>
      </c>
      <c r="C191" s="13" t="s">
        <v>169</v>
      </c>
      <c r="D191" s="13" t="s">
        <v>170</v>
      </c>
      <c r="E191" s="13" t="s">
        <v>171</v>
      </c>
      <c r="F191" s="13" t="s">
        <v>538</v>
      </c>
      <c r="G191" s="15"/>
      <c r="H191" s="1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2.5" customHeight="1">
      <c r="A192" s="11">
        <v>190.0</v>
      </c>
      <c r="B192" s="20">
        <v>71.0</v>
      </c>
      <c r="C192" s="13" t="s">
        <v>539</v>
      </c>
      <c r="D192" s="13" t="s">
        <v>540</v>
      </c>
      <c r="E192" s="13" t="s">
        <v>541</v>
      </c>
      <c r="F192" s="13" t="s">
        <v>542</v>
      </c>
      <c r="G192" s="15"/>
      <c r="H192" s="1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2.5" customHeight="1">
      <c r="A193" s="11">
        <v>191.0</v>
      </c>
      <c r="B193" s="20">
        <v>71.0</v>
      </c>
      <c r="C193" s="13" t="s">
        <v>543</v>
      </c>
      <c r="D193" s="13" t="s">
        <v>544</v>
      </c>
      <c r="E193" s="13" t="s">
        <v>545</v>
      </c>
      <c r="F193" s="13" t="s">
        <v>546</v>
      </c>
      <c r="G193" s="15"/>
      <c r="H193" s="1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2.5" customHeight="1">
      <c r="A194" s="11">
        <v>192.0</v>
      </c>
      <c r="B194" s="20">
        <v>71.0</v>
      </c>
      <c r="C194" s="13" t="s">
        <v>547</v>
      </c>
      <c r="D194" s="13" t="s">
        <v>548</v>
      </c>
      <c r="E194" s="13" t="s">
        <v>135</v>
      </c>
      <c r="F194" s="13" t="s">
        <v>522</v>
      </c>
      <c r="G194" s="14" t="s">
        <v>18</v>
      </c>
      <c r="H194" s="1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2.5" customHeight="1">
      <c r="A195" s="11">
        <v>193.0</v>
      </c>
      <c r="B195" s="20">
        <v>71.0</v>
      </c>
      <c r="C195" s="13" t="s">
        <v>549</v>
      </c>
      <c r="D195" s="13" t="s">
        <v>550</v>
      </c>
      <c r="E195" s="13" t="s">
        <v>357</v>
      </c>
      <c r="F195" s="13" t="s">
        <v>358</v>
      </c>
      <c r="G195" s="15"/>
      <c r="H195" s="1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2.5" customHeight="1">
      <c r="A196" s="11">
        <v>194.0</v>
      </c>
      <c r="B196" s="20">
        <v>70.0</v>
      </c>
      <c r="C196" s="13" t="s">
        <v>508</v>
      </c>
      <c r="D196" s="13" t="s">
        <v>509</v>
      </c>
      <c r="E196" s="13" t="s">
        <v>332</v>
      </c>
      <c r="F196" s="13" t="s">
        <v>551</v>
      </c>
      <c r="G196" s="15"/>
      <c r="H196" s="1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2.5" customHeight="1">
      <c r="A197" s="11">
        <v>195.0</v>
      </c>
      <c r="B197" s="20">
        <v>70.0</v>
      </c>
      <c r="C197" s="13" t="s">
        <v>552</v>
      </c>
      <c r="D197" s="13" t="s">
        <v>553</v>
      </c>
      <c r="E197" s="13" t="s">
        <v>554</v>
      </c>
      <c r="F197" s="13" t="s">
        <v>246</v>
      </c>
      <c r="G197" s="14" t="s">
        <v>18</v>
      </c>
      <c r="H197" s="1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2.5" customHeight="1">
      <c r="A198" s="11">
        <v>196.0</v>
      </c>
      <c r="B198" s="20">
        <v>70.0</v>
      </c>
      <c r="C198" s="13" t="s">
        <v>510</v>
      </c>
      <c r="D198" s="13" t="s">
        <v>511</v>
      </c>
      <c r="E198" s="13" t="s">
        <v>167</v>
      </c>
      <c r="F198" s="13" t="s">
        <v>555</v>
      </c>
      <c r="G198" s="15"/>
      <c r="H198" s="1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2.5" customHeight="1">
      <c r="A199" s="11">
        <v>197.0</v>
      </c>
      <c r="B199" s="20">
        <v>70.0</v>
      </c>
      <c r="C199" s="13" t="s">
        <v>556</v>
      </c>
      <c r="D199" s="13" t="s">
        <v>557</v>
      </c>
      <c r="E199" s="13" t="s">
        <v>135</v>
      </c>
      <c r="F199" s="13" t="s">
        <v>558</v>
      </c>
      <c r="G199" s="15"/>
      <c r="H199" s="1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2.5" customHeight="1">
      <c r="A200" s="11">
        <v>198.0</v>
      </c>
      <c r="B200" s="20">
        <v>70.0</v>
      </c>
      <c r="C200" s="13" t="s">
        <v>559</v>
      </c>
      <c r="D200" s="13" t="s">
        <v>560</v>
      </c>
      <c r="E200" s="13" t="s">
        <v>453</v>
      </c>
      <c r="F200" s="13" t="s">
        <v>454</v>
      </c>
      <c r="G200" s="15"/>
      <c r="H200" s="1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2.5" customHeight="1">
      <c r="A201" s="11">
        <v>199.0</v>
      </c>
      <c r="B201" s="20">
        <v>69.0</v>
      </c>
      <c r="C201" s="13" t="s">
        <v>147</v>
      </c>
      <c r="D201" s="13" t="s">
        <v>148</v>
      </c>
      <c r="E201" s="13" t="s">
        <v>149</v>
      </c>
      <c r="F201" s="13" t="s">
        <v>150</v>
      </c>
      <c r="G201" s="15"/>
      <c r="H201" s="1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2.5" customHeight="1">
      <c r="A202" s="11">
        <v>200.0</v>
      </c>
      <c r="B202" s="20">
        <v>69.0</v>
      </c>
      <c r="C202" s="13" t="s">
        <v>561</v>
      </c>
      <c r="D202" s="13" t="s">
        <v>562</v>
      </c>
      <c r="E202" s="13" t="s">
        <v>545</v>
      </c>
      <c r="F202" s="13" t="s">
        <v>563</v>
      </c>
      <c r="G202" s="14" t="s">
        <v>18</v>
      </c>
      <c r="H202" s="1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2.5" customHeight="1">
      <c r="A203" s="11">
        <v>201.0</v>
      </c>
      <c r="B203" s="20">
        <v>69.0</v>
      </c>
      <c r="C203" s="13" t="s">
        <v>564</v>
      </c>
      <c r="D203" s="13" t="s">
        <v>565</v>
      </c>
      <c r="E203" s="13" t="s">
        <v>273</v>
      </c>
      <c r="F203" s="13" t="s">
        <v>274</v>
      </c>
      <c r="G203" s="14" t="s">
        <v>18</v>
      </c>
      <c r="H203" s="14" t="s">
        <v>18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2.5" customHeight="1">
      <c r="A204" s="11">
        <v>202.0</v>
      </c>
      <c r="B204" s="20">
        <v>69.0</v>
      </c>
      <c r="C204" s="13" t="s">
        <v>566</v>
      </c>
      <c r="D204" s="13" t="s">
        <v>567</v>
      </c>
      <c r="E204" s="13" t="s">
        <v>568</v>
      </c>
      <c r="F204" s="13" t="s">
        <v>569</v>
      </c>
      <c r="G204" s="15"/>
      <c r="H204" s="1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2.5" customHeight="1">
      <c r="A205" s="11">
        <v>203.0</v>
      </c>
      <c r="B205" s="20">
        <v>69.0</v>
      </c>
      <c r="C205" s="13" t="s">
        <v>570</v>
      </c>
      <c r="D205" s="13" t="s">
        <v>571</v>
      </c>
      <c r="E205" s="13" t="s">
        <v>139</v>
      </c>
      <c r="F205" s="13" t="s">
        <v>140</v>
      </c>
      <c r="G205" s="14" t="s">
        <v>18</v>
      </c>
      <c r="H205" s="1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2.5" customHeight="1">
      <c r="A206" s="11">
        <v>204.0</v>
      </c>
      <c r="B206" s="20">
        <v>68.0</v>
      </c>
      <c r="C206" s="13" t="s">
        <v>572</v>
      </c>
      <c r="D206" s="13" t="s">
        <v>573</v>
      </c>
      <c r="E206" s="13" t="s">
        <v>32</v>
      </c>
      <c r="F206" s="13" t="s">
        <v>33</v>
      </c>
      <c r="G206" s="14" t="s">
        <v>18</v>
      </c>
      <c r="H206" s="1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2.5" customHeight="1">
      <c r="A207" s="11">
        <v>205.0</v>
      </c>
      <c r="B207" s="20">
        <v>68.0</v>
      </c>
      <c r="C207" s="13" t="s">
        <v>267</v>
      </c>
      <c r="D207" s="13" t="s">
        <v>574</v>
      </c>
      <c r="E207" s="13" t="s">
        <v>269</v>
      </c>
      <c r="F207" s="13" t="s">
        <v>270</v>
      </c>
      <c r="G207" s="14" t="s">
        <v>18</v>
      </c>
      <c r="H207" s="1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2.5" customHeight="1">
      <c r="A208" s="11">
        <v>206.0</v>
      </c>
      <c r="B208" s="20">
        <v>68.0</v>
      </c>
      <c r="C208" s="13" t="s">
        <v>375</v>
      </c>
      <c r="D208" s="13" t="s">
        <v>376</v>
      </c>
      <c r="E208" s="13" t="s">
        <v>377</v>
      </c>
      <c r="F208" s="13" t="s">
        <v>378</v>
      </c>
      <c r="G208" s="15"/>
      <c r="H208" s="1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2.5" customHeight="1">
      <c r="A209" s="11">
        <v>207.0</v>
      </c>
      <c r="B209" s="20">
        <v>68.0</v>
      </c>
      <c r="C209" s="13" t="s">
        <v>351</v>
      </c>
      <c r="D209" s="13" t="s">
        <v>352</v>
      </c>
      <c r="E209" s="13" t="s">
        <v>353</v>
      </c>
      <c r="F209" s="13" t="s">
        <v>354</v>
      </c>
      <c r="G209" s="15"/>
      <c r="H209" s="1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2.5" customHeight="1">
      <c r="A210" s="11">
        <v>208.0</v>
      </c>
      <c r="B210" s="20">
        <v>68.0</v>
      </c>
      <c r="C210" s="13" t="s">
        <v>575</v>
      </c>
      <c r="D210" s="13" t="s">
        <v>576</v>
      </c>
      <c r="E210" s="13" t="s">
        <v>577</v>
      </c>
      <c r="F210" s="13" t="s">
        <v>578</v>
      </c>
      <c r="G210" s="14" t="s">
        <v>18</v>
      </c>
      <c r="H210" s="1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2.5" customHeight="1">
      <c r="A211" s="11">
        <v>209.0</v>
      </c>
      <c r="B211" s="20">
        <v>67.0</v>
      </c>
      <c r="C211" s="13" t="s">
        <v>262</v>
      </c>
      <c r="D211" s="13" t="s">
        <v>579</v>
      </c>
      <c r="E211" s="13" t="s">
        <v>264</v>
      </c>
      <c r="F211" s="13" t="s">
        <v>265</v>
      </c>
      <c r="G211" s="15"/>
      <c r="H211" s="1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2.5" customHeight="1">
      <c r="A212" s="11">
        <v>210.0</v>
      </c>
      <c r="B212" s="20">
        <v>67.0</v>
      </c>
      <c r="C212" s="13" t="s">
        <v>580</v>
      </c>
      <c r="D212" s="13" t="s">
        <v>581</v>
      </c>
      <c r="E212" s="13" t="s">
        <v>119</v>
      </c>
      <c r="F212" s="13" t="s">
        <v>120</v>
      </c>
      <c r="G212" s="14" t="s">
        <v>18</v>
      </c>
      <c r="H212" s="1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2.5" customHeight="1">
      <c r="A213" s="11">
        <v>211.0</v>
      </c>
      <c r="B213" s="20">
        <v>67.0</v>
      </c>
      <c r="C213" s="13" t="s">
        <v>582</v>
      </c>
      <c r="D213" s="13" t="s">
        <v>583</v>
      </c>
      <c r="E213" s="13" t="s">
        <v>123</v>
      </c>
      <c r="F213" s="13" t="s">
        <v>124</v>
      </c>
      <c r="G213" s="14" t="s">
        <v>18</v>
      </c>
      <c r="H213" s="1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2.5" customHeight="1">
      <c r="A214" s="11">
        <v>212.0</v>
      </c>
      <c r="B214" s="20">
        <v>67.0</v>
      </c>
      <c r="C214" s="13" t="s">
        <v>584</v>
      </c>
      <c r="D214" s="13" t="s">
        <v>585</v>
      </c>
      <c r="E214" s="13" t="s">
        <v>324</v>
      </c>
      <c r="F214" s="13" t="s">
        <v>325</v>
      </c>
      <c r="G214" s="15"/>
      <c r="H214" s="1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2.5" customHeight="1">
      <c r="A215" s="11">
        <v>213.0</v>
      </c>
      <c r="B215" s="20">
        <v>67.0</v>
      </c>
      <c r="C215" s="13" t="s">
        <v>586</v>
      </c>
      <c r="D215" s="13" t="s">
        <v>587</v>
      </c>
      <c r="E215" s="13" t="s">
        <v>490</v>
      </c>
      <c r="F215" s="13" t="s">
        <v>491</v>
      </c>
      <c r="G215" s="14" t="s">
        <v>18</v>
      </c>
      <c r="H215" s="1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2.5" customHeight="1">
      <c r="A216" s="11">
        <v>214.0</v>
      </c>
      <c r="B216" s="20">
        <v>66.0</v>
      </c>
      <c r="C216" s="13" t="s">
        <v>588</v>
      </c>
      <c r="D216" s="13" t="s">
        <v>589</v>
      </c>
      <c r="E216" s="13" t="s">
        <v>590</v>
      </c>
      <c r="F216" s="13" t="s">
        <v>591</v>
      </c>
      <c r="G216" s="14" t="s">
        <v>18</v>
      </c>
      <c r="H216" s="1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2.5" customHeight="1">
      <c r="A217" s="11">
        <v>215.0</v>
      </c>
      <c r="B217" s="20">
        <v>66.0</v>
      </c>
      <c r="C217" s="13" t="s">
        <v>30</v>
      </c>
      <c r="D217" s="13" t="s">
        <v>592</v>
      </c>
      <c r="E217" s="13" t="s">
        <v>32</v>
      </c>
      <c r="F217" s="13" t="s">
        <v>33</v>
      </c>
      <c r="G217" s="15"/>
      <c r="H217" s="1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2.5" customHeight="1">
      <c r="A218" s="11">
        <v>216.0</v>
      </c>
      <c r="B218" s="20">
        <v>66.0</v>
      </c>
      <c r="C218" s="13" t="s">
        <v>113</v>
      </c>
      <c r="D218" s="13" t="s">
        <v>114</v>
      </c>
      <c r="E218" s="13" t="s">
        <v>115</v>
      </c>
      <c r="F218" s="13" t="s">
        <v>116</v>
      </c>
      <c r="G218" s="14" t="s">
        <v>18</v>
      </c>
      <c r="H218" s="14" t="s">
        <v>18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2.5" customHeight="1">
      <c r="A219" s="11">
        <v>217.0</v>
      </c>
      <c r="B219" s="20">
        <v>66.0</v>
      </c>
      <c r="C219" s="13" t="s">
        <v>593</v>
      </c>
      <c r="D219" s="13" t="s">
        <v>594</v>
      </c>
      <c r="E219" s="13" t="s">
        <v>595</v>
      </c>
      <c r="F219" s="13" t="s">
        <v>596</v>
      </c>
      <c r="G219" s="14" t="s">
        <v>18</v>
      </c>
      <c r="H219" s="1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2.5" customHeight="1">
      <c r="A220" s="11">
        <v>218.0</v>
      </c>
      <c r="B220" s="20">
        <v>66.0</v>
      </c>
      <c r="C220" s="13" t="s">
        <v>597</v>
      </c>
      <c r="D220" s="13" t="s">
        <v>598</v>
      </c>
      <c r="E220" s="13" t="s">
        <v>599</v>
      </c>
      <c r="F220" s="13" t="s">
        <v>600</v>
      </c>
      <c r="G220" s="14" t="s">
        <v>18</v>
      </c>
      <c r="H220" s="1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2.5" customHeight="1">
      <c r="A221" s="11">
        <v>219.0</v>
      </c>
      <c r="B221" s="20">
        <v>65.0</v>
      </c>
      <c r="C221" s="13" t="s">
        <v>601</v>
      </c>
      <c r="D221" s="13" t="s">
        <v>602</v>
      </c>
      <c r="E221" s="13" t="s">
        <v>603</v>
      </c>
      <c r="F221" s="13" t="s">
        <v>604</v>
      </c>
      <c r="G221" s="15"/>
      <c r="H221" s="1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2.5" customHeight="1">
      <c r="A222" s="11">
        <v>220.0</v>
      </c>
      <c r="B222" s="20">
        <v>65.0</v>
      </c>
      <c r="C222" s="13" t="s">
        <v>605</v>
      </c>
      <c r="D222" s="13" t="s">
        <v>606</v>
      </c>
      <c r="E222" s="13" t="s">
        <v>607</v>
      </c>
      <c r="F222" s="13" t="s">
        <v>608</v>
      </c>
      <c r="G222" s="15"/>
      <c r="H222" s="1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2.5" customHeight="1">
      <c r="A223" s="11">
        <v>221.0</v>
      </c>
      <c r="B223" s="20">
        <v>65.0</v>
      </c>
      <c r="C223" s="13" t="s">
        <v>609</v>
      </c>
      <c r="D223" s="13" t="s">
        <v>610</v>
      </c>
      <c r="E223" s="13" t="s">
        <v>500</v>
      </c>
      <c r="F223" s="13" t="s">
        <v>611</v>
      </c>
      <c r="G223" s="14" t="s">
        <v>18</v>
      </c>
      <c r="H223" s="1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2.5" customHeight="1">
      <c r="A224" s="11">
        <v>222.0</v>
      </c>
      <c r="B224" s="20">
        <v>65.0</v>
      </c>
      <c r="C224" s="13" t="s">
        <v>612</v>
      </c>
      <c r="D224" s="13" t="s">
        <v>613</v>
      </c>
      <c r="E224" s="13" t="s">
        <v>614</v>
      </c>
      <c r="F224" s="13" t="s">
        <v>615</v>
      </c>
      <c r="G224" s="15"/>
      <c r="H224" s="1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2.5" customHeight="1">
      <c r="A225" s="11">
        <v>223.0</v>
      </c>
      <c r="B225" s="20">
        <v>65.0</v>
      </c>
      <c r="C225" s="13" t="s">
        <v>547</v>
      </c>
      <c r="D225" s="13" t="s">
        <v>548</v>
      </c>
      <c r="E225" s="13" t="s">
        <v>135</v>
      </c>
      <c r="F225" s="13" t="s">
        <v>558</v>
      </c>
      <c r="G225" s="15"/>
      <c r="H225" s="1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2.5" customHeight="1">
      <c r="A226" s="11">
        <v>224.0</v>
      </c>
      <c r="B226" s="20">
        <v>64.0</v>
      </c>
      <c r="C226" s="13" t="s">
        <v>616</v>
      </c>
      <c r="D226" s="13" t="s">
        <v>617</v>
      </c>
      <c r="E226" s="13" t="s">
        <v>618</v>
      </c>
      <c r="F226" s="13" t="s">
        <v>619</v>
      </c>
      <c r="G226" s="14" t="s">
        <v>18</v>
      </c>
      <c r="H226" s="1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2.5" customHeight="1">
      <c r="A227" s="11">
        <v>225.0</v>
      </c>
      <c r="B227" s="20">
        <v>64.0</v>
      </c>
      <c r="C227" s="13" t="s">
        <v>620</v>
      </c>
      <c r="D227" s="13" t="s">
        <v>621</v>
      </c>
      <c r="E227" s="13" t="s">
        <v>620</v>
      </c>
      <c r="F227" s="13" t="s">
        <v>621</v>
      </c>
      <c r="G227" s="14" t="s">
        <v>18</v>
      </c>
      <c r="H227" s="1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2.5" customHeight="1">
      <c r="A228" s="11">
        <v>226.0</v>
      </c>
      <c r="B228" s="20">
        <v>64.0</v>
      </c>
      <c r="C228" s="13" t="s">
        <v>622</v>
      </c>
      <c r="D228" s="13" t="s">
        <v>623</v>
      </c>
      <c r="E228" s="13" t="s">
        <v>624</v>
      </c>
      <c r="F228" s="13" t="s">
        <v>623</v>
      </c>
      <c r="G228" s="14" t="s">
        <v>18</v>
      </c>
      <c r="H228" s="1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2.5" customHeight="1">
      <c r="A229" s="11">
        <v>227.0</v>
      </c>
      <c r="B229" s="20">
        <v>64.0</v>
      </c>
      <c r="C229" s="13" t="s">
        <v>625</v>
      </c>
      <c r="D229" s="13" t="s">
        <v>626</v>
      </c>
      <c r="E229" s="13" t="s">
        <v>545</v>
      </c>
      <c r="F229" s="13" t="s">
        <v>627</v>
      </c>
      <c r="G229" s="15"/>
      <c r="H229" s="1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2.5" customHeight="1">
      <c r="A230" s="11">
        <v>228.0</v>
      </c>
      <c r="B230" s="20">
        <v>64.0</v>
      </c>
      <c r="C230" s="13" t="s">
        <v>539</v>
      </c>
      <c r="D230" s="13" t="s">
        <v>540</v>
      </c>
      <c r="E230" s="13" t="s">
        <v>541</v>
      </c>
      <c r="F230" s="13" t="s">
        <v>542</v>
      </c>
      <c r="G230" s="14" t="s">
        <v>18</v>
      </c>
      <c r="H230" s="1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2.5" customHeight="1">
      <c r="A231" s="11">
        <v>229.0</v>
      </c>
      <c r="B231" s="20">
        <v>63.0</v>
      </c>
      <c r="C231" s="13" t="s">
        <v>159</v>
      </c>
      <c r="D231" s="13" t="s">
        <v>160</v>
      </c>
      <c r="E231" s="13" t="s">
        <v>135</v>
      </c>
      <c r="F231" s="13" t="s">
        <v>558</v>
      </c>
      <c r="G231" s="14" t="s">
        <v>18</v>
      </c>
      <c r="H231" s="1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2.5" customHeight="1">
      <c r="A232" s="11">
        <v>230.0</v>
      </c>
      <c r="B232" s="20">
        <v>63.0</v>
      </c>
      <c r="C232" s="13" t="s">
        <v>628</v>
      </c>
      <c r="D232" s="13" t="s">
        <v>629</v>
      </c>
      <c r="E232" s="13" t="s">
        <v>628</v>
      </c>
      <c r="F232" s="13" t="s">
        <v>629</v>
      </c>
      <c r="G232" s="14" t="s">
        <v>18</v>
      </c>
      <c r="H232" s="1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2.5" customHeight="1">
      <c r="A233" s="11">
        <v>231.0</v>
      </c>
      <c r="B233" s="20">
        <v>63.0</v>
      </c>
      <c r="C233" s="13" t="s">
        <v>455</v>
      </c>
      <c r="D233" s="13" t="s">
        <v>456</v>
      </c>
      <c r="E233" s="13" t="s">
        <v>457</v>
      </c>
      <c r="F233" s="13" t="s">
        <v>458</v>
      </c>
      <c r="G233" s="15"/>
      <c r="H233" s="1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2.5" customHeight="1">
      <c r="A234" s="11">
        <v>232.0</v>
      </c>
      <c r="B234" s="20">
        <v>63.0</v>
      </c>
      <c r="C234" s="13" t="s">
        <v>630</v>
      </c>
      <c r="D234" s="13" t="s">
        <v>631</v>
      </c>
      <c r="E234" s="13" t="s">
        <v>273</v>
      </c>
      <c r="F234" s="13" t="s">
        <v>274</v>
      </c>
      <c r="G234" s="14" t="s">
        <v>18</v>
      </c>
      <c r="H234" s="1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2.5" customHeight="1">
      <c r="A235" s="11">
        <v>233.0</v>
      </c>
      <c r="B235" s="20">
        <v>63.0</v>
      </c>
      <c r="C235" s="13" t="s">
        <v>632</v>
      </c>
      <c r="D235" s="13" t="s">
        <v>633</v>
      </c>
      <c r="E235" s="13" t="s">
        <v>634</v>
      </c>
      <c r="F235" s="13" t="s">
        <v>35</v>
      </c>
      <c r="G235" s="14" t="s">
        <v>18</v>
      </c>
      <c r="H235" s="1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2.5" customHeight="1">
      <c r="A236" s="11">
        <v>234.0</v>
      </c>
      <c r="B236" s="20">
        <v>62.0</v>
      </c>
      <c r="C236" s="13" t="s">
        <v>635</v>
      </c>
      <c r="D236" s="13" t="s">
        <v>636</v>
      </c>
      <c r="E236" s="13" t="s">
        <v>486</v>
      </c>
      <c r="F236" s="13" t="s">
        <v>487</v>
      </c>
      <c r="G236" s="15"/>
      <c r="H236" s="1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2.5" customHeight="1">
      <c r="A237" s="11">
        <v>235.0</v>
      </c>
      <c r="B237" s="20">
        <v>62.0</v>
      </c>
      <c r="C237" s="13" t="s">
        <v>237</v>
      </c>
      <c r="D237" s="13" t="s">
        <v>238</v>
      </c>
      <c r="E237" s="13" t="s">
        <v>239</v>
      </c>
      <c r="F237" s="13" t="s">
        <v>240</v>
      </c>
      <c r="G237" s="15"/>
      <c r="H237" s="1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2.5" customHeight="1">
      <c r="A238" s="11">
        <v>236.0</v>
      </c>
      <c r="B238" s="20">
        <v>62.0</v>
      </c>
      <c r="C238" s="13" t="s">
        <v>399</v>
      </c>
      <c r="D238" s="13" t="s">
        <v>400</v>
      </c>
      <c r="E238" s="13" t="s">
        <v>401</v>
      </c>
      <c r="F238" s="13" t="s">
        <v>402</v>
      </c>
      <c r="G238" s="15"/>
      <c r="H238" s="1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2.5" customHeight="1">
      <c r="A239" s="11">
        <v>237.0</v>
      </c>
      <c r="B239" s="20">
        <v>62.0</v>
      </c>
      <c r="C239" s="13" t="s">
        <v>637</v>
      </c>
      <c r="D239" s="13" t="s">
        <v>638</v>
      </c>
      <c r="E239" s="13" t="s">
        <v>32</v>
      </c>
      <c r="F239" s="13" t="s">
        <v>33</v>
      </c>
      <c r="G239" s="14" t="s">
        <v>18</v>
      </c>
      <c r="H239" s="1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2.5" customHeight="1">
      <c r="A240" s="11">
        <v>238.0</v>
      </c>
      <c r="B240" s="20">
        <v>62.0</v>
      </c>
      <c r="C240" s="13" t="s">
        <v>59</v>
      </c>
      <c r="D240" s="13" t="s">
        <v>60</v>
      </c>
      <c r="E240" s="13" t="s">
        <v>59</v>
      </c>
      <c r="F240" s="13" t="s">
        <v>60</v>
      </c>
      <c r="G240" s="14" t="s">
        <v>18</v>
      </c>
      <c r="H240" s="1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2.5" customHeight="1">
      <c r="A241" s="11">
        <v>239.0</v>
      </c>
      <c r="B241" s="20">
        <v>61.0</v>
      </c>
      <c r="C241" s="13" t="s">
        <v>307</v>
      </c>
      <c r="D241" s="13" t="s">
        <v>308</v>
      </c>
      <c r="E241" s="13" t="s">
        <v>307</v>
      </c>
      <c r="F241" s="13" t="s">
        <v>308</v>
      </c>
      <c r="G241" s="14" t="s">
        <v>18</v>
      </c>
      <c r="H241" s="1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2.5" customHeight="1">
      <c r="A242" s="11">
        <v>240.0</v>
      </c>
      <c r="B242" s="20">
        <v>61.0</v>
      </c>
      <c r="C242" s="13" t="s">
        <v>422</v>
      </c>
      <c r="D242" s="13" t="s">
        <v>423</v>
      </c>
      <c r="E242" s="13" t="s">
        <v>63</v>
      </c>
      <c r="F242" s="13" t="s">
        <v>64</v>
      </c>
      <c r="G242" s="14" t="s">
        <v>18</v>
      </c>
      <c r="H242" s="1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2.5" customHeight="1">
      <c r="A243" s="11">
        <v>241.0</v>
      </c>
      <c r="B243" s="20">
        <v>61.0</v>
      </c>
      <c r="C243" s="13" t="s">
        <v>359</v>
      </c>
      <c r="D243" s="13" t="s">
        <v>360</v>
      </c>
      <c r="E243" s="13" t="s">
        <v>87</v>
      </c>
      <c r="F243" s="13" t="s">
        <v>88</v>
      </c>
      <c r="G243" s="15"/>
      <c r="H243" s="1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2.5" customHeight="1">
      <c r="A244" s="11">
        <v>242.0</v>
      </c>
      <c r="B244" s="20">
        <v>61.0</v>
      </c>
      <c r="C244" s="13" t="s">
        <v>121</v>
      </c>
      <c r="D244" s="13" t="s">
        <v>122</v>
      </c>
      <c r="E244" s="13" t="s">
        <v>123</v>
      </c>
      <c r="F244" s="13" t="s">
        <v>124</v>
      </c>
      <c r="G244" s="15"/>
      <c r="H244" s="1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2.5" customHeight="1">
      <c r="A245" s="11">
        <v>243.0</v>
      </c>
      <c r="B245" s="20">
        <v>61.0</v>
      </c>
      <c r="C245" s="13" t="s">
        <v>597</v>
      </c>
      <c r="D245" s="13" t="s">
        <v>598</v>
      </c>
      <c r="E245" s="13" t="s">
        <v>639</v>
      </c>
      <c r="F245" s="13" t="s">
        <v>600</v>
      </c>
      <c r="G245" s="15"/>
      <c r="H245" s="1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2.5" customHeight="1">
      <c r="A246" s="11">
        <v>244.0</v>
      </c>
      <c r="B246" s="20">
        <v>60.0</v>
      </c>
      <c r="C246" s="13" t="s">
        <v>640</v>
      </c>
      <c r="D246" s="13" t="s">
        <v>641</v>
      </c>
      <c r="E246" s="13" t="s">
        <v>393</v>
      </c>
      <c r="F246" s="13" t="s">
        <v>394</v>
      </c>
      <c r="G246" s="15"/>
      <c r="H246" s="1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2.5" customHeight="1">
      <c r="A247" s="11">
        <v>245.0</v>
      </c>
      <c r="B247" s="20">
        <v>60.0</v>
      </c>
      <c r="C247" s="13" t="s">
        <v>161</v>
      </c>
      <c r="D247" s="13" t="s">
        <v>162</v>
      </c>
      <c r="E247" s="13" t="s">
        <v>163</v>
      </c>
      <c r="F247" s="13" t="s">
        <v>164</v>
      </c>
      <c r="G247" s="14" t="s">
        <v>18</v>
      </c>
      <c r="H247" s="1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2.5" customHeight="1">
      <c r="A248" s="11">
        <v>246.0</v>
      </c>
      <c r="B248" s="20">
        <v>60.0</v>
      </c>
      <c r="C248" s="13" t="s">
        <v>69</v>
      </c>
      <c r="D248" s="13" t="s">
        <v>70</v>
      </c>
      <c r="E248" s="13" t="s">
        <v>71</v>
      </c>
      <c r="F248" s="13" t="s">
        <v>72</v>
      </c>
      <c r="G248" s="14" t="s">
        <v>18</v>
      </c>
      <c r="H248" s="1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2.5" customHeight="1">
      <c r="A249" s="11">
        <v>247.0</v>
      </c>
      <c r="B249" s="20">
        <v>60.0</v>
      </c>
      <c r="C249" s="13" t="s">
        <v>642</v>
      </c>
      <c r="D249" s="13" t="s">
        <v>643</v>
      </c>
      <c r="E249" s="13" t="s">
        <v>303</v>
      </c>
      <c r="F249" s="13" t="s">
        <v>304</v>
      </c>
      <c r="G249" s="14" t="s">
        <v>18</v>
      </c>
      <c r="H249" s="1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2.5" customHeight="1">
      <c r="A250" s="11">
        <v>248.0</v>
      </c>
      <c r="B250" s="20">
        <v>60.0</v>
      </c>
      <c r="C250" s="13" t="s">
        <v>644</v>
      </c>
      <c r="D250" s="13" t="s">
        <v>645</v>
      </c>
      <c r="E250" s="13" t="s">
        <v>646</v>
      </c>
      <c r="F250" s="13" t="s">
        <v>647</v>
      </c>
      <c r="G250" s="15"/>
      <c r="H250" s="1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2.5" customHeight="1">
      <c r="A251" s="11">
        <v>249.0</v>
      </c>
      <c r="B251" s="20">
        <v>59.0</v>
      </c>
      <c r="C251" s="13" t="s">
        <v>648</v>
      </c>
      <c r="D251" s="13" t="s">
        <v>649</v>
      </c>
      <c r="E251" s="13" t="s">
        <v>639</v>
      </c>
      <c r="F251" s="13" t="s">
        <v>600</v>
      </c>
      <c r="G251" s="14" t="s">
        <v>18</v>
      </c>
      <c r="H251" s="1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2.5" customHeight="1">
      <c r="A252" s="11">
        <v>250.0</v>
      </c>
      <c r="B252" s="20">
        <v>59.0</v>
      </c>
      <c r="C252" s="13" t="s">
        <v>650</v>
      </c>
      <c r="D252" s="13" t="s">
        <v>651</v>
      </c>
      <c r="E252" s="13" t="s">
        <v>311</v>
      </c>
      <c r="F252" s="13" t="s">
        <v>312</v>
      </c>
      <c r="G252" s="14" t="s">
        <v>18</v>
      </c>
      <c r="H252" s="1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2.5" customHeight="1">
      <c r="A253" s="11">
        <v>251.0</v>
      </c>
      <c r="B253" s="20">
        <v>59.0</v>
      </c>
      <c r="C253" s="13" t="s">
        <v>652</v>
      </c>
      <c r="D253" s="13" t="s">
        <v>653</v>
      </c>
      <c r="E253" s="13" t="s">
        <v>87</v>
      </c>
      <c r="F253" s="13" t="s">
        <v>88</v>
      </c>
      <c r="G253" s="15"/>
      <c r="H253" s="1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2.5" customHeight="1">
      <c r="A254" s="11">
        <v>252.0</v>
      </c>
      <c r="B254" s="20">
        <v>59.0</v>
      </c>
      <c r="C254" s="13" t="s">
        <v>654</v>
      </c>
      <c r="D254" s="13" t="s">
        <v>655</v>
      </c>
      <c r="E254" s="13" t="s">
        <v>656</v>
      </c>
      <c r="F254" s="13" t="s">
        <v>657</v>
      </c>
      <c r="G254" s="14" t="s">
        <v>18</v>
      </c>
      <c r="H254" s="1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2.5" customHeight="1">
      <c r="A255" s="11">
        <v>253.0</v>
      </c>
      <c r="B255" s="20">
        <v>59.0</v>
      </c>
      <c r="C255" s="13" t="s">
        <v>169</v>
      </c>
      <c r="D255" s="13" t="s">
        <v>170</v>
      </c>
      <c r="E255" s="13" t="s">
        <v>171</v>
      </c>
      <c r="F255" s="13" t="s">
        <v>658</v>
      </c>
      <c r="G255" s="15"/>
      <c r="H255" s="1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2.5" customHeight="1">
      <c r="A256" s="11">
        <v>254.0</v>
      </c>
      <c r="B256" s="20">
        <v>58.0</v>
      </c>
      <c r="C256" s="13" t="s">
        <v>159</v>
      </c>
      <c r="D256" s="13" t="s">
        <v>160</v>
      </c>
      <c r="E256" s="13" t="s">
        <v>135</v>
      </c>
      <c r="F256" s="13" t="s">
        <v>558</v>
      </c>
      <c r="G256" s="15"/>
      <c r="H256" s="1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2.5" customHeight="1">
      <c r="A257" s="11">
        <v>255.0</v>
      </c>
      <c r="B257" s="20">
        <v>58.0</v>
      </c>
      <c r="C257" s="13" t="s">
        <v>367</v>
      </c>
      <c r="D257" s="13" t="s">
        <v>368</v>
      </c>
      <c r="E257" s="13" t="s">
        <v>437</v>
      </c>
      <c r="F257" s="13" t="s">
        <v>144</v>
      </c>
      <c r="G257" s="14" t="s">
        <v>18</v>
      </c>
      <c r="H257" s="1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2.5" customHeight="1">
      <c r="A258" s="11">
        <v>256.0</v>
      </c>
      <c r="B258" s="20">
        <v>58.0</v>
      </c>
      <c r="C258" s="13" t="s">
        <v>659</v>
      </c>
      <c r="D258" s="13" t="s">
        <v>660</v>
      </c>
      <c r="E258" s="13" t="s">
        <v>191</v>
      </c>
      <c r="F258" s="13" t="s">
        <v>192</v>
      </c>
      <c r="G258" s="15"/>
      <c r="H258" s="1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2.5" customHeight="1">
      <c r="A259" s="11">
        <v>257.0</v>
      </c>
      <c r="B259" s="20">
        <v>58.0</v>
      </c>
      <c r="C259" s="13" t="s">
        <v>661</v>
      </c>
      <c r="D259" s="13" t="s">
        <v>662</v>
      </c>
      <c r="E259" s="13" t="s">
        <v>167</v>
      </c>
      <c r="F259" s="13" t="s">
        <v>663</v>
      </c>
      <c r="G259" s="14" t="s">
        <v>18</v>
      </c>
      <c r="H259" s="1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2.5" customHeight="1">
      <c r="A260" s="11">
        <v>258.0</v>
      </c>
      <c r="B260" s="20">
        <v>58.0</v>
      </c>
      <c r="C260" s="13" t="s">
        <v>69</v>
      </c>
      <c r="D260" s="13" t="s">
        <v>70</v>
      </c>
      <c r="E260" s="13" t="s">
        <v>71</v>
      </c>
      <c r="F260" s="13" t="s">
        <v>72</v>
      </c>
      <c r="G260" s="15"/>
      <c r="H260" s="1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2.5" customHeight="1">
      <c r="A261" s="11">
        <v>259.0</v>
      </c>
      <c r="B261" s="20">
        <v>57.0</v>
      </c>
      <c r="C261" s="13" t="s">
        <v>664</v>
      </c>
      <c r="D261" s="13" t="s">
        <v>665</v>
      </c>
      <c r="E261" s="13" t="s">
        <v>28</v>
      </c>
      <c r="F261" s="13" t="s">
        <v>323</v>
      </c>
      <c r="G261" s="14" t="s">
        <v>18</v>
      </c>
      <c r="H261" s="1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2.5" customHeight="1">
      <c r="A262" s="11">
        <v>260.0</v>
      </c>
      <c r="B262" s="20">
        <v>57.0</v>
      </c>
      <c r="C262" s="13" t="s">
        <v>223</v>
      </c>
      <c r="D262" s="13" t="s">
        <v>224</v>
      </c>
      <c r="E262" s="13" t="s">
        <v>123</v>
      </c>
      <c r="F262" s="13" t="s">
        <v>124</v>
      </c>
      <c r="G262" s="14" t="s">
        <v>18</v>
      </c>
      <c r="H262" s="1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2.5" customHeight="1">
      <c r="A263" s="11">
        <v>261.0</v>
      </c>
      <c r="B263" s="20">
        <v>57.0</v>
      </c>
      <c r="C263" s="13" t="s">
        <v>81</v>
      </c>
      <c r="D263" s="13" t="s">
        <v>82</v>
      </c>
      <c r="E263" s="13" t="s">
        <v>83</v>
      </c>
      <c r="F263" s="13" t="s">
        <v>84</v>
      </c>
      <c r="G263" s="14" t="s">
        <v>18</v>
      </c>
      <c r="H263" s="1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2.5" customHeight="1">
      <c r="A264" s="11">
        <v>262.0</v>
      </c>
      <c r="B264" s="20">
        <v>57.0</v>
      </c>
      <c r="C264" s="13" t="s">
        <v>666</v>
      </c>
      <c r="D264" s="13" t="s">
        <v>667</v>
      </c>
      <c r="E264" s="13" t="s">
        <v>107</v>
      </c>
      <c r="F264" s="13" t="s">
        <v>108</v>
      </c>
      <c r="G264" s="15"/>
      <c r="H264" s="1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2.5" customHeight="1">
      <c r="A265" s="11">
        <v>263.0</v>
      </c>
      <c r="B265" s="20">
        <v>57.0</v>
      </c>
      <c r="C265" s="13" t="s">
        <v>668</v>
      </c>
      <c r="D265" s="13" t="s">
        <v>669</v>
      </c>
      <c r="E265" s="13" t="s">
        <v>32</v>
      </c>
      <c r="F265" s="13" t="s">
        <v>33</v>
      </c>
      <c r="G265" s="15"/>
      <c r="H265" s="1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2.5" customHeight="1">
      <c r="A266" s="11">
        <v>264.0</v>
      </c>
      <c r="B266" s="20">
        <v>56.0</v>
      </c>
      <c r="C266" s="13" t="s">
        <v>670</v>
      </c>
      <c r="D266" s="13" t="s">
        <v>671</v>
      </c>
      <c r="E266" s="13" t="s">
        <v>672</v>
      </c>
      <c r="F266" s="13" t="s">
        <v>200</v>
      </c>
      <c r="G266" s="14" t="s">
        <v>18</v>
      </c>
      <c r="H266" s="1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2.5" customHeight="1">
      <c r="A267" s="11">
        <v>265.0</v>
      </c>
      <c r="B267" s="20">
        <v>56.0</v>
      </c>
      <c r="C267" s="13" t="s">
        <v>413</v>
      </c>
      <c r="D267" s="13" t="s">
        <v>414</v>
      </c>
      <c r="E267" s="13" t="s">
        <v>87</v>
      </c>
      <c r="F267" s="13" t="s">
        <v>88</v>
      </c>
      <c r="G267" s="14" t="s">
        <v>18</v>
      </c>
      <c r="H267" s="1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2.5" customHeight="1">
      <c r="A268" s="11">
        <v>266.0</v>
      </c>
      <c r="B268" s="20">
        <v>56.0</v>
      </c>
      <c r="C268" s="13" t="s">
        <v>151</v>
      </c>
      <c r="D268" s="13" t="s">
        <v>152</v>
      </c>
      <c r="E268" s="13" t="s">
        <v>153</v>
      </c>
      <c r="F268" s="13" t="s">
        <v>154</v>
      </c>
      <c r="G268" s="15"/>
      <c r="H268" s="1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2.5" customHeight="1">
      <c r="A269" s="11">
        <v>267.0</v>
      </c>
      <c r="B269" s="20">
        <v>56.0</v>
      </c>
      <c r="C269" s="13" t="s">
        <v>640</v>
      </c>
      <c r="D269" s="13" t="s">
        <v>641</v>
      </c>
      <c r="E269" s="13" t="s">
        <v>393</v>
      </c>
      <c r="F269" s="13" t="s">
        <v>394</v>
      </c>
      <c r="G269" s="15"/>
      <c r="H269" s="1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2.5" customHeight="1">
      <c r="A270" s="11">
        <v>268.0</v>
      </c>
      <c r="B270" s="20">
        <v>56.0</v>
      </c>
      <c r="C270" s="13" t="s">
        <v>673</v>
      </c>
      <c r="D270" s="13" t="s">
        <v>674</v>
      </c>
      <c r="E270" s="13" t="s">
        <v>131</v>
      </c>
      <c r="F270" s="13" t="s">
        <v>132</v>
      </c>
      <c r="G270" s="14" t="s">
        <v>18</v>
      </c>
      <c r="H270" s="1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2.5" customHeight="1">
      <c r="A271" s="11">
        <v>269.0</v>
      </c>
      <c r="B271" s="20">
        <v>55.0</v>
      </c>
      <c r="C271" s="13" t="s">
        <v>432</v>
      </c>
      <c r="D271" s="13" t="s">
        <v>433</v>
      </c>
      <c r="E271" s="13" t="s">
        <v>332</v>
      </c>
      <c r="F271" s="13" t="s">
        <v>333</v>
      </c>
      <c r="G271" s="15"/>
      <c r="H271" s="1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2.5" customHeight="1">
      <c r="A272" s="11">
        <v>270.0</v>
      </c>
      <c r="B272" s="20">
        <v>55.0</v>
      </c>
      <c r="C272" s="13" t="s">
        <v>334</v>
      </c>
      <c r="D272" s="13" t="s">
        <v>335</v>
      </c>
      <c r="E272" s="13" t="s">
        <v>336</v>
      </c>
      <c r="F272" s="13" t="s">
        <v>337</v>
      </c>
      <c r="G272" s="15"/>
      <c r="H272" s="1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2.5" customHeight="1">
      <c r="A273" s="11">
        <v>271.0</v>
      </c>
      <c r="B273" s="20">
        <v>55.0</v>
      </c>
      <c r="C273" s="13" t="s">
        <v>675</v>
      </c>
      <c r="D273" s="13" t="s">
        <v>676</v>
      </c>
      <c r="E273" s="13" t="s">
        <v>273</v>
      </c>
      <c r="F273" s="13" t="s">
        <v>274</v>
      </c>
      <c r="G273" s="14" t="s">
        <v>18</v>
      </c>
      <c r="H273" s="1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2.5" customHeight="1">
      <c r="A274" s="11">
        <v>272.0</v>
      </c>
      <c r="B274" s="20">
        <v>55.0</v>
      </c>
      <c r="C274" s="13" t="s">
        <v>533</v>
      </c>
      <c r="D274" s="13" t="s">
        <v>534</v>
      </c>
      <c r="E274" s="13" t="s">
        <v>233</v>
      </c>
      <c r="F274" s="13" t="s">
        <v>234</v>
      </c>
      <c r="G274" s="15"/>
      <c r="H274" s="1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2.5" customHeight="1">
      <c r="A275" s="11">
        <v>273.0</v>
      </c>
      <c r="B275" s="20">
        <v>55.0</v>
      </c>
      <c r="C275" s="13" t="s">
        <v>484</v>
      </c>
      <c r="D275" s="13" t="s">
        <v>485</v>
      </c>
      <c r="E275" s="13" t="s">
        <v>486</v>
      </c>
      <c r="F275" s="13" t="s">
        <v>487</v>
      </c>
      <c r="G275" s="14" t="s">
        <v>18</v>
      </c>
      <c r="H275" s="1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2.5" customHeight="1">
      <c r="A276" s="11">
        <v>274.0</v>
      </c>
      <c r="B276" s="20">
        <v>54.0</v>
      </c>
      <c r="C276" s="13" t="s">
        <v>677</v>
      </c>
      <c r="D276" s="13" t="s">
        <v>678</v>
      </c>
      <c r="E276" s="13" t="s">
        <v>28</v>
      </c>
      <c r="F276" s="13" t="s">
        <v>323</v>
      </c>
      <c r="G276" s="15"/>
      <c r="H276" s="1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2.5" customHeight="1">
      <c r="A277" s="11">
        <v>275.0</v>
      </c>
      <c r="B277" s="20">
        <v>54.0</v>
      </c>
      <c r="C277" s="13" t="s">
        <v>679</v>
      </c>
      <c r="D277" s="13" t="s">
        <v>680</v>
      </c>
      <c r="E277" s="13" t="s">
        <v>679</v>
      </c>
      <c r="F277" s="13" t="s">
        <v>680</v>
      </c>
      <c r="G277" s="14" t="s">
        <v>18</v>
      </c>
      <c r="H277" s="1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2.5" customHeight="1">
      <c r="A278" s="11">
        <v>276.0</v>
      </c>
      <c r="B278" s="20">
        <v>54.0</v>
      </c>
      <c r="C278" s="13" t="s">
        <v>597</v>
      </c>
      <c r="D278" s="13" t="s">
        <v>78</v>
      </c>
      <c r="E278" s="13" t="s">
        <v>639</v>
      </c>
      <c r="F278" s="13" t="s">
        <v>600</v>
      </c>
      <c r="G278" s="15"/>
      <c r="H278" s="1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2.5" customHeight="1">
      <c r="A279" s="11">
        <v>277.0</v>
      </c>
      <c r="B279" s="20">
        <v>54.0</v>
      </c>
      <c r="C279" s="13" t="s">
        <v>161</v>
      </c>
      <c r="D279" s="13" t="s">
        <v>681</v>
      </c>
      <c r="E279" s="13" t="s">
        <v>163</v>
      </c>
      <c r="F279" s="13" t="s">
        <v>164</v>
      </c>
      <c r="G279" s="15"/>
      <c r="H279" s="1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2.5" customHeight="1">
      <c r="A280" s="11">
        <v>278.0</v>
      </c>
      <c r="B280" s="20">
        <v>54.0</v>
      </c>
      <c r="C280" s="13" t="s">
        <v>19</v>
      </c>
      <c r="D280" s="13" t="s">
        <v>20</v>
      </c>
      <c r="E280" s="13" t="s">
        <v>19</v>
      </c>
      <c r="F280" s="13" t="s">
        <v>20</v>
      </c>
      <c r="G280" s="14" t="s">
        <v>18</v>
      </c>
      <c r="H280" s="1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2.5" customHeight="1">
      <c r="A281" s="11">
        <v>279.0</v>
      </c>
      <c r="B281" s="20">
        <v>53.0</v>
      </c>
      <c r="C281" s="13" t="s">
        <v>682</v>
      </c>
      <c r="D281" s="13" t="s">
        <v>683</v>
      </c>
      <c r="E281" s="13" t="s">
        <v>684</v>
      </c>
      <c r="F281" s="13" t="s">
        <v>685</v>
      </c>
      <c r="G281" s="14"/>
      <c r="H281" s="1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2.5" customHeight="1">
      <c r="A282" s="11">
        <v>280.0</v>
      </c>
      <c r="B282" s="20">
        <v>53.0</v>
      </c>
      <c r="C282" s="13" t="s">
        <v>686</v>
      </c>
      <c r="D282" s="13" t="s">
        <v>687</v>
      </c>
      <c r="E282" s="13" t="s">
        <v>490</v>
      </c>
      <c r="F282" s="13" t="s">
        <v>491</v>
      </c>
      <c r="G282" s="14" t="s">
        <v>18</v>
      </c>
      <c r="H282" s="1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2.5" customHeight="1">
      <c r="A283" s="11">
        <v>281.0</v>
      </c>
      <c r="B283" s="20">
        <v>53.0</v>
      </c>
      <c r="C283" s="13" t="s">
        <v>61</v>
      </c>
      <c r="D283" s="13" t="s">
        <v>62</v>
      </c>
      <c r="E283" s="13" t="s">
        <v>63</v>
      </c>
      <c r="F283" s="13" t="s">
        <v>64</v>
      </c>
      <c r="G283" s="14"/>
      <c r="H283" s="1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2.5" customHeight="1">
      <c r="A284" s="11">
        <v>282.0</v>
      </c>
      <c r="B284" s="20">
        <v>53.0</v>
      </c>
      <c r="C284" s="13" t="s">
        <v>267</v>
      </c>
      <c r="D284" s="13" t="s">
        <v>574</v>
      </c>
      <c r="E284" s="13" t="s">
        <v>269</v>
      </c>
      <c r="F284" s="13" t="s">
        <v>270</v>
      </c>
      <c r="G284" s="14"/>
      <c r="H284" s="1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2.5" customHeight="1">
      <c r="A285" s="11">
        <v>283.0</v>
      </c>
      <c r="B285" s="20">
        <v>53.0</v>
      </c>
      <c r="C285" s="13" t="s">
        <v>688</v>
      </c>
      <c r="D285" s="13" t="s">
        <v>689</v>
      </c>
      <c r="E285" s="13" t="s">
        <v>690</v>
      </c>
      <c r="F285" s="13" t="s">
        <v>691</v>
      </c>
      <c r="G285" s="14"/>
      <c r="H285" s="1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2.5" customHeight="1">
      <c r="A286" s="11">
        <v>284.0</v>
      </c>
      <c r="B286" s="20">
        <v>52.0</v>
      </c>
      <c r="C286" s="13" t="s">
        <v>692</v>
      </c>
      <c r="D286" s="13" t="s">
        <v>693</v>
      </c>
      <c r="E286" s="13" t="s">
        <v>694</v>
      </c>
      <c r="F286" s="13" t="s">
        <v>128</v>
      </c>
      <c r="G286" s="14" t="s">
        <v>18</v>
      </c>
      <c r="H286" s="1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2.5" customHeight="1">
      <c r="A287" s="11">
        <v>285.0</v>
      </c>
      <c r="B287" s="20">
        <v>52.0</v>
      </c>
      <c r="C287" s="13" t="s">
        <v>695</v>
      </c>
      <c r="D287" s="13" t="s">
        <v>696</v>
      </c>
      <c r="E287" s="13" t="s">
        <v>409</v>
      </c>
      <c r="F287" s="13" t="s">
        <v>410</v>
      </c>
      <c r="G287" s="14" t="s">
        <v>18</v>
      </c>
      <c r="H287" s="1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2.5" customHeight="1">
      <c r="A288" s="11">
        <v>286.0</v>
      </c>
      <c r="B288" s="20">
        <v>52.0</v>
      </c>
      <c r="C288" s="13" t="s">
        <v>697</v>
      </c>
      <c r="D288" s="13" t="s">
        <v>698</v>
      </c>
      <c r="E288" s="13" t="s">
        <v>697</v>
      </c>
      <c r="F288" s="13" t="s">
        <v>698</v>
      </c>
      <c r="G288" s="14" t="s">
        <v>18</v>
      </c>
      <c r="H288" s="1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2.5" customHeight="1">
      <c r="A289" s="11">
        <v>287.0</v>
      </c>
      <c r="B289" s="20">
        <v>52.0</v>
      </c>
      <c r="C289" s="13" t="s">
        <v>699</v>
      </c>
      <c r="D289" s="13" t="s">
        <v>700</v>
      </c>
      <c r="E289" s="13" t="s">
        <v>701</v>
      </c>
      <c r="F289" s="13" t="s">
        <v>702</v>
      </c>
      <c r="G289" s="14"/>
      <c r="H289" s="1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2.5" customHeight="1">
      <c r="A290" s="11">
        <v>288.0</v>
      </c>
      <c r="B290" s="20">
        <v>52.0</v>
      </c>
      <c r="C290" s="13" t="s">
        <v>703</v>
      </c>
      <c r="D290" s="13" t="s">
        <v>704</v>
      </c>
      <c r="E290" s="13" t="s">
        <v>705</v>
      </c>
      <c r="F290" s="13" t="s">
        <v>706</v>
      </c>
      <c r="G290" s="14" t="s">
        <v>18</v>
      </c>
      <c r="H290" s="1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2.5" customHeight="1">
      <c r="A291" s="11">
        <v>289.0</v>
      </c>
      <c r="B291" s="20">
        <v>51.0</v>
      </c>
      <c r="C291" s="13" t="s">
        <v>707</v>
      </c>
      <c r="D291" s="13" t="s">
        <v>708</v>
      </c>
      <c r="E291" s="13" t="s">
        <v>273</v>
      </c>
      <c r="F291" s="13" t="s">
        <v>274</v>
      </c>
      <c r="G291" s="14" t="s">
        <v>18</v>
      </c>
      <c r="H291" s="1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2.5" customHeight="1">
      <c r="A292" s="11">
        <v>290.0</v>
      </c>
      <c r="B292" s="20">
        <v>51.0</v>
      </c>
      <c r="C292" s="13" t="s">
        <v>709</v>
      </c>
      <c r="D292" s="13" t="s">
        <v>710</v>
      </c>
      <c r="E292" s="13" t="s">
        <v>409</v>
      </c>
      <c r="F292" s="13" t="s">
        <v>410</v>
      </c>
      <c r="G292" s="14"/>
      <c r="H292" s="1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2.5" customHeight="1">
      <c r="A293" s="11">
        <v>291.0</v>
      </c>
      <c r="B293" s="20">
        <v>51.0</v>
      </c>
      <c r="C293" s="13" t="s">
        <v>711</v>
      </c>
      <c r="D293" s="13" t="s">
        <v>712</v>
      </c>
      <c r="E293" s="13" t="s">
        <v>713</v>
      </c>
      <c r="F293" s="13" t="s">
        <v>180</v>
      </c>
      <c r="G293" s="14"/>
      <c r="H293" s="1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2.5" customHeight="1">
      <c r="A294" s="11">
        <v>292.0</v>
      </c>
      <c r="B294" s="20">
        <v>51.0</v>
      </c>
      <c r="C294" s="13" t="s">
        <v>714</v>
      </c>
      <c r="D294" s="13" t="s">
        <v>715</v>
      </c>
      <c r="E294" s="13" t="s">
        <v>590</v>
      </c>
      <c r="F294" s="13" t="s">
        <v>591</v>
      </c>
      <c r="G294" s="14" t="s">
        <v>18</v>
      </c>
      <c r="H294" s="1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2.5" customHeight="1">
      <c r="A295" s="11">
        <v>293.0</v>
      </c>
      <c r="B295" s="20">
        <v>51.0</v>
      </c>
      <c r="C295" s="13" t="s">
        <v>716</v>
      </c>
      <c r="D295" s="13" t="s">
        <v>717</v>
      </c>
      <c r="E295" s="13" t="s">
        <v>465</v>
      </c>
      <c r="F295" s="13" t="s">
        <v>466</v>
      </c>
      <c r="G295" s="14" t="s">
        <v>18</v>
      </c>
      <c r="H295" s="1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2.5" customHeight="1">
      <c r="A296" s="11">
        <v>294.0</v>
      </c>
      <c r="B296" s="20">
        <v>50.0</v>
      </c>
      <c r="C296" s="13" t="s">
        <v>26</v>
      </c>
      <c r="D296" s="13" t="s">
        <v>27</v>
      </c>
      <c r="E296" s="13" t="s">
        <v>28</v>
      </c>
      <c r="F296" s="13" t="s">
        <v>323</v>
      </c>
      <c r="G296" s="14"/>
      <c r="H296" s="1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2.5" customHeight="1">
      <c r="A297" s="11">
        <v>295.0</v>
      </c>
      <c r="B297" s="20">
        <v>50.0</v>
      </c>
      <c r="C297" s="13" t="s">
        <v>319</v>
      </c>
      <c r="D297" s="13" t="s">
        <v>718</v>
      </c>
      <c r="E297" s="13" t="s">
        <v>16</v>
      </c>
      <c r="F297" s="13" t="s">
        <v>17</v>
      </c>
      <c r="G297" s="14"/>
      <c r="H297" s="1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2.5" customHeight="1">
      <c r="A298" s="11">
        <v>296.0</v>
      </c>
      <c r="B298" s="20">
        <v>50.0</v>
      </c>
      <c r="C298" s="13" t="s">
        <v>719</v>
      </c>
      <c r="D298" s="13" t="s">
        <v>720</v>
      </c>
      <c r="E298" s="13" t="s">
        <v>721</v>
      </c>
      <c r="F298" s="13" t="s">
        <v>722</v>
      </c>
      <c r="G298" s="14" t="s">
        <v>18</v>
      </c>
      <c r="H298" s="1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2.5" customHeight="1">
      <c r="A299" s="11">
        <v>297.0</v>
      </c>
      <c r="B299" s="20">
        <v>50.0</v>
      </c>
      <c r="C299" s="13" t="s">
        <v>723</v>
      </c>
      <c r="D299" s="13" t="s">
        <v>724</v>
      </c>
      <c r="E299" s="13" t="s">
        <v>500</v>
      </c>
      <c r="F299" s="13" t="s">
        <v>725</v>
      </c>
      <c r="G299" s="14" t="s">
        <v>18</v>
      </c>
      <c r="H299" s="1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2.5" customHeight="1">
      <c r="A300" s="11">
        <v>298.0</v>
      </c>
      <c r="B300" s="20">
        <v>50.0</v>
      </c>
      <c r="C300" s="13" t="s">
        <v>45</v>
      </c>
      <c r="D300" s="13" t="s">
        <v>46</v>
      </c>
      <c r="E300" s="13" t="s">
        <v>47</v>
      </c>
      <c r="F300" s="13" t="s">
        <v>48</v>
      </c>
      <c r="G300" s="14"/>
      <c r="H300" s="1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2.5" customHeight="1">
      <c r="A301" s="11">
        <v>299.0</v>
      </c>
      <c r="B301" s="20">
        <v>49.0</v>
      </c>
      <c r="C301" s="21" t="s">
        <v>726</v>
      </c>
      <c r="D301" s="21" t="s">
        <v>727</v>
      </c>
      <c r="E301" s="21" t="s">
        <v>149</v>
      </c>
      <c r="F301" s="21" t="s">
        <v>150</v>
      </c>
      <c r="G301" s="14"/>
      <c r="H301" s="1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2.5" customHeight="1">
      <c r="A302" s="11">
        <v>300.0</v>
      </c>
      <c r="B302" s="20">
        <v>49.0</v>
      </c>
      <c r="C302" s="21" t="s">
        <v>728</v>
      </c>
      <c r="D302" s="21" t="s">
        <v>729</v>
      </c>
      <c r="E302" s="21" t="s">
        <v>730</v>
      </c>
      <c r="F302" s="21" t="s">
        <v>731</v>
      </c>
      <c r="G302" s="14"/>
      <c r="H302" s="1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2.5" customHeight="1">
      <c r="A303" s="11">
        <v>301.0</v>
      </c>
      <c r="B303" s="20">
        <v>49.0</v>
      </c>
      <c r="C303" s="21" t="s">
        <v>732</v>
      </c>
      <c r="D303" s="21" t="s">
        <v>733</v>
      </c>
      <c r="E303" s="21" t="s">
        <v>103</v>
      </c>
      <c r="F303" s="21" t="s">
        <v>734</v>
      </c>
      <c r="G303" s="14" t="s">
        <v>18</v>
      </c>
      <c r="H303" s="1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2.5" customHeight="1">
      <c r="A304" s="11">
        <v>302.0</v>
      </c>
      <c r="B304" s="20">
        <v>49.0</v>
      </c>
      <c r="C304" s="21" t="s">
        <v>735</v>
      </c>
      <c r="D304" s="21" t="s">
        <v>736</v>
      </c>
      <c r="E304" s="21" t="s">
        <v>123</v>
      </c>
      <c r="F304" s="21" t="s">
        <v>124</v>
      </c>
      <c r="G304" s="14" t="s">
        <v>18</v>
      </c>
      <c r="H304" s="1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2.5" customHeight="1">
      <c r="A305" s="11">
        <v>303.0</v>
      </c>
      <c r="B305" s="20">
        <v>49.0</v>
      </c>
      <c r="C305" s="21" t="s">
        <v>737</v>
      </c>
      <c r="D305" s="21" t="s">
        <v>738</v>
      </c>
      <c r="E305" s="21" t="s">
        <v>387</v>
      </c>
      <c r="F305" s="21" t="s">
        <v>388</v>
      </c>
      <c r="G305" s="14"/>
      <c r="H305" s="1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2.5" customHeight="1">
      <c r="A306" s="11">
        <v>304.0</v>
      </c>
      <c r="B306" s="20">
        <v>48.0</v>
      </c>
      <c r="C306" s="21" t="s">
        <v>739</v>
      </c>
      <c r="D306" s="21" t="s">
        <v>740</v>
      </c>
      <c r="E306" s="21" t="s">
        <v>401</v>
      </c>
      <c r="F306" s="21" t="s">
        <v>402</v>
      </c>
      <c r="G306" s="14"/>
      <c r="H306" s="1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2.5" customHeight="1">
      <c r="A307" s="11">
        <v>305.0</v>
      </c>
      <c r="B307" s="20">
        <v>48.0</v>
      </c>
      <c r="C307" s="21" t="s">
        <v>741</v>
      </c>
      <c r="D307" s="21" t="s">
        <v>742</v>
      </c>
      <c r="E307" s="21" t="s">
        <v>221</v>
      </c>
      <c r="F307" s="21" t="s">
        <v>222</v>
      </c>
      <c r="G307" s="14" t="s">
        <v>18</v>
      </c>
      <c r="H307" s="1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2.5" customHeight="1">
      <c r="A308" s="11">
        <v>306.0</v>
      </c>
      <c r="B308" s="20">
        <v>48.0</v>
      </c>
      <c r="C308" s="21" t="s">
        <v>743</v>
      </c>
      <c r="D308" s="21" t="s">
        <v>744</v>
      </c>
      <c r="E308" s="21" t="s">
        <v>245</v>
      </c>
      <c r="F308" s="21" t="s">
        <v>246</v>
      </c>
      <c r="G308" s="14"/>
      <c r="H308" s="1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2.5" customHeight="1">
      <c r="A309" s="11">
        <v>307.0</v>
      </c>
      <c r="B309" s="20">
        <v>48.0</v>
      </c>
      <c r="C309" s="21" t="s">
        <v>723</v>
      </c>
      <c r="D309" s="21" t="s">
        <v>724</v>
      </c>
      <c r="E309" s="21" t="s">
        <v>500</v>
      </c>
      <c r="F309" s="21" t="s">
        <v>725</v>
      </c>
      <c r="G309" s="14"/>
      <c r="H309" s="1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2.5" customHeight="1">
      <c r="A310" s="11">
        <v>308.0</v>
      </c>
      <c r="B310" s="20">
        <v>48.0</v>
      </c>
      <c r="C310" s="21" t="s">
        <v>745</v>
      </c>
      <c r="D310" s="21" t="s">
        <v>746</v>
      </c>
      <c r="E310" s="21" t="s">
        <v>32</v>
      </c>
      <c r="F310" s="21" t="s">
        <v>33</v>
      </c>
      <c r="G310" s="14"/>
      <c r="H310" s="1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2.5" customHeight="1">
      <c r="A311" s="11">
        <v>309.0</v>
      </c>
      <c r="B311" s="20">
        <v>47.0</v>
      </c>
      <c r="C311" s="21" t="s">
        <v>709</v>
      </c>
      <c r="D311" s="21" t="s">
        <v>710</v>
      </c>
      <c r="E311" s="21" t="s">
        <v>409</v>
      </c>
      <c r="F311" s="21" t="s">
        <v>410</v>
      </c>
      <c r="G311" s="14"/>
      <c r="H311" s="1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2.5" customHeight="1">
      <c r="A312" s="11">
        <v>310.0</v>
      </c>
      <c r="B312" s="20">
        <v>47.0</v>
      </c>
      <c r="C312" s="21" t="s">
        <v>747</v>
      </c>
      <c r="D312" s="21" t="s">
        <v>748</v>
      </c>
      <c r="E312" s="21" t="s">
        <v>75</v>
      </c>
      <c r="F312" s="21" t="s">
        <v>76</v>
      </c>
      <c r="G312" s="14" t="s">
        <v>18</v>
      </c>
      <c r="H312" s="1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2.5" customHeight="1">
      <c r="A313" s="11">
        <v>311.0</v>
      </c>
      <c r="B313" s="20">
        <v>47.0</v>
      </c>
      <c r="C313" s="21" t="s">
        <v>749</v>
      </c>
      <c r="D313" s="21" t="s">
        <v>750</v>
      </c>
      <c r="E313" s="21" t="s">
        <v>16</v>
      </c>
      <c r="F313" s="21" t="s">
        <v>17</v>
      </c>
      <c r="G313" s="14" t="s">
        <v>18</v>
      </c>
      <c r="H313" s="1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2.5" customHeight="1">
      <c r="A314" s="11">
        <v>312.0</v>
      </c>
      <c r="B314" s="20">
        <v>47.0</v>
      </c>
      <c r="C314" s="21" t="s">
        <v>751</v>
      </c>
      <c r="D314" s="21" t="s">
        <v>752</v>
      </c>
      <c r="E314" s="21" t="s">
        <v>16</v>
      </c>
      <c r="F314" s="21" t="s">
        <v>17</v>
      </c>
      <c r="G314" s="14"/>
      <c r="H314" s="1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2.5" customHeight="1">
      <c r="A315" s="11">
        <v>313.0</v>
      </c>
      <c r="B315" s="20">
        <v>47.0</v>
      </c>
      <c r="C315" s="21" t="s">
        <v>753</v>
      </c>
      <c r="D315" s="21" t="s">
        <v>754</v>
      </c>
      <c r="E315" s="21" t="s">
        <v>755</v>
      </c>
      <c r="F315" s="21" t="s">
        <v>756</v>
      </c>
      <c r="G315" s="14"/>
      <c r="H315" s="1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2.5" customHeight="1">
      <c r="A316" s="11">
        <v>314.0</v>
      </c>
      <c r="B316" s="20">
        <v>46.0</v>
      </c>
      <c r="C316" s="21" t="s">
        <v>757</v>
      </c>
      <c r="D316" s="21" t="s">
        <v>758</v>
      </c>
      <c r="E316" s="21" t="s">
        <v>531</v>
      </c>
      <c r="F316" s="21" t="s">
        <v>532</v>
      </c>
      <c r="G316" s="14" t="s">
        <v>18</v>
      </c>
      <c r="H316" s="1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2.5" customHeight="1">
      <c r="A317" s="11">
        <v>315.0</v>
      </c>
      <c r="B317" s="20">
        <v>46.0</v>
      </c>
      <c r="C317" s="21" t="s">
        <v>759</v>
      </c>
      <c r="D317" s="21" t="s">
        <v>760</v>
      </c>
      <c r="E317" s="21" t="s">
        <v>353</v>
      </c>
      <c r="F317" s="21" t="s">
        <v>354</v>
      </c>
      <c r="G317" s="14"/>
      <c r="H317" s="1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2.5" customHeight="1">
      <c r="A318" s="11">
        <v>316.0</v>
      </c>
      <c r="B318" s="20">
        <v>46.0</v>
      </c>
      <c r="C318" s="21" t="s">
        <v>761</v>
      </c>
      <c r="D318" s="21" t="s">
        <v>762</v>
      </c>
      <c r="E318" s="21" t="s">
        <v>763</v>
      </c>
      <c r="F318" s="21" t="s">
        <v>764</v>
      </c>
      <c r="G318" s="14" t="s">
        <v>18</v>
      </c>
      <c r="H318" s="1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2.5" customHeight="1">
      <c r="A319" s="11">
        <v>317.0</v>
      </c>
      <c r="B319" s="20">
        <v>46.0</v>
      </c>
      <c r="C319" s="21" t="s">
        <v>765</v>
      </c>
      <c r="D319" s="21" t="s">
        <v>766</v>
      </c>
      <c r="E319" s="21" t="s">
        <v>393</v>
      </c>
      <c r="F319" s="21" t="s">
        <v>394</v>
      </c>
      <c r="G319" s="14"/>
      <c r="H319" s="1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2.5" customHeight="1">
      <c r="A320" s="11">
        <v>318.0</v>
      </c>
      <c r="B320" s="20">
        <v>46.0</v>
      </c>
      <c r="C320" s="21" t="s">
        <v>767</v>
      </c>
      <c r="D320" s="21" t="s">
        <v>768</v>
      </c>
      <c r="E320" s="21" t="s">
        <v>769</v>
      </c>
      <c r="F320" s="21" t="s">
        <v>770</v>
      </c>
      <c r="G320" s="14"/>
      <c r="H320" s="1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2.5" customHeight="1">
      <c r="A321" s="11">
        <v>319.0</v>
      </c>
      <c r="B321" s="20">
        <v>45.0</v>
      </c>
      <c r="C321" s="21" t="s">
        <v>771</v>
      </c>
      <c r="D321" s="21" t="s">
        <v>772</v>
      </c>
      <c r="E321" s="21" t="s">
        <v>773</v>
      </c>
      <c r="F321" s="21" t="s">
        <v>774</v>
      </c>
      <c r="G321" s="14" t="s">
        <v>18</v>
      </c>
      <c r="H321" s="1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2.5" customHeight="1">
      <c r="A322" s="11">
        <v>320.0</v>
      </c>
      <c r="B322" s="20">
        <v>45.0</v>
      </c>
      <c r="C322" s="21" t="s">
        <v>775</v>
      </c>
      <c r="D322" s="21" t="s">
        <v>776</v>
      </c>
      <c r="E322" s="21" t="s">
        <v>273</v>
      </c>
      <c r="F322" s="21" t="s">
        <v>274</v>
      </c>
      <c r="G322" s="14"/>
      <c r="H322" s="1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2.5" customHeight="1">
      <c r="A323" s="11">
        <v>321.0</v>
      </c>
      <c r="B323" s="20">
        <v>45.0</v>
      </c>
      <c r="C323" s="21" t="s">
        <v>97</v>
      </c>
      <c r="D323" s="21" t="s">
        <v>98</v>
      </c>
      <c r="E323" s="21" t="s">
        <v>97</v>
      </c>
      <c r="F323" s="21" t="s">
        <v>98</v>
      </c>
      <c r="G323" s="14"/>
      <c r="H323" s="1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2.5" customHeight="1">
      <c r="A324" s="11">
        <v>322.0</v>
      </c>
      <c r="B324" s="20">
        <v>45.0</v>
      </c>
      <c r="C324" s="21" t="s">
        <v>19</v>
      </c>
      <c r="D324" s="21" t="s">
        <v>20</v>
      </c>
      <c r="E324" s="21" t="s">
        <v>19</v>
      </c>
      <c r="F324" s="21" t="s">
        <v>20</v>
      </c>
      <c r="G324" s="14"/>
      <c r="H324" s="1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2.5" customHeight="1">
      <c r="A325" s="11">
        <v>323.0</v>
      </c>
      <c r="B325" s="20">
        <v>45.0</v>
      </c>
      <c r="C325" s="21" t="s">
        <v>777</v>
      </c>
      <c r="D325" s="21" t="s">
        <v>778</v>
      </c>
      <c r="E325" s="21" t="s">
        <v>779</v>
      </c>
      <c r="F325" s="21" t="s">
        <v>35</v>
      </c>
      <c r="G325" s="14" t="s">
        <v>18</v>
      </c>
      <c r="H325" s="1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2.5" customHeight="1">
      <c r="A326" s="11">
        <v>324.0</v>
      </c>
      <c r="B326" s="20">
        <v>44.0</v>
      </c>
      <c r="C326" s="21" t="s">
        <v>765</v>
      </c>
      <c r="D326" s="21" t="s">
        <v>766</v>
      </c>
      <c r="E326" s="21" t="s">
        <v>393</v>
      </c>
      <c r="F326" s="21" t="s">
        <v>394</v>
      </c>
      <c r="G326" s="14"/>
      <c r="H326" s="1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2.5" customHeight="1">
      <c r="A327" s="11">
        <v>325.0</v>
      </c>
      <c r="B327" s="20">
        <v>44.0</v>
      </c>
      <c r="C327" s="21" t="s">
        <v>780</v>
      </c>
      <c r="D327" s="21" t="s">
        <v>781</v>
      </c>
      <c r="E327" s="21" t="s">
        <v>332</v>
      </c>
      <c r="F327" s="21" t="s">
        <v>333</v>
      </c>
      <c r="G327" s="14" t="s">
        <v>18</v>
      </c>
      <c r="H327" s="1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2.5" customHeight="1">
      <c r="A328" s="11">
        <v>326.0</v>
      </c>
      <c r="B328" s="20">
        <v>44.0</v>
      </c>
      <c r="C328" s="21" t="s">
        <v>782</v>
      </c>
      <c r="D328" s="21" t="s">
        <v>783</v>
      </c>
      <c r="E328" s="21" t="s">
        <v>344</v>
      </c>
      <c r="F328" s="21" t="s">
        <v>128</v>
      </c>
      <c r="G328" s="14" t="s">
        <v>18</v>
      </c>
      <c r="H328" s="1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2.5" customHeight="1">
      <c r="A329" s="11">
        <v>327.0</v>
      </c>
      <c r="B329" s="20">
        <v>44.0</v>
      </c>
      <c r="C329" s="21" t="s">
        <v>784</v>
      </c>
      <c r="D329" s="21" t="s">
        <v>785</v>
      </c>
      <c r="E329" s="21" t="s">
        <v>786</v>
      </c>
      <c r="F329" s="21" t="s">
        <v>787</v>
      </c>
      <c r="G329" s="14"/>
      <c r="H329" s="1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2.5" customHeight="1">
      <c r="A330" s="11">
        <v>328.0</v>
      </c>
      <c r="B330" s="20">
        <v>44.0</v>
      </c>
      <c r="C330" s="21" t="s">
        <v>788</v>
      </c>
      <c r="D330" s="21" t="s">
        <v>789</v>
      </c>
      <c r="E330" s="21" t="s">
        <v>328</v>
      </c>
      <c r="F330" s="21" t="s">
        <v>329</v>
      </c>
      <c r="G330" s="14" t="s">
        <v>18</v>
      </c>
      <c r="H330" s="1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2.5" customHeight="1">
      <c r="A331" s="11">
        <v>329.0</v>
      </c>
      <c r="B331" s="20">
        <v>43.0</v>
      </c>
      <c r="C331" s="21" t="s">
        <v>790</v>
      </c>
      <c r="D331" s="21" t="s">
        <v>791</v>
      </c>
      <c r="E331" s="21" t="s">
        <v>269</v>
      </c>
      <c r="F331" s="21" t="s">
        <v>270</v>
      </c>
      <c r="G331" s="14" t="s">
        <v>18</v>
      </c>
      <c r="H331" s="1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2.5" customHeight="1">
      <c r="A332" s="11">
        <v>330.0</v>
      </c>
      <c r="B332" s="20">
        <v>43.0</v>
      </c>
      <c r="C332" s="21" t="s">
        <v>141</v>
      </c>
      <c r="D332" s="21" t="s">
        <v>792</v>
      </c>
      <c r="E332" s="21" t="s">
        <v>437</v>
      </c>
      <c r="F332" s="21" t="s">
        <v>144</v>
      </c>
      <c r="G332" s="14"/>
      <c r="H332" s="1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2.5" customHeight="1">
      <c r="A333" s="11">
        <v>331.0</v>
      </c>
      <c r="B333" s="20">
        <v>43.0</v>
      </c>
      <c r="C333" s="21" t="s">
        <v>205</v>
      </c>
      <c r="D333" s="21" t="s">
        <v>206</v>
      </c>
      <c r="E333" s="21" t="s">
        <v>205</v>
      </c>
      <c r="F333" s="21" t="s">
        <v>206</v>
      </c>
      <c r="G333" s="14"/>
      <c r="H333" s="1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2.5" customHeight="1">
      <c r="A334" s="11">
        <v>332.0</v>
      </c>
      <c r="B334" s="20">
        <v>43.0</v>
      </c>
      <c r="C334" s="21" t="s">
        <v>373</v>
      </c>
      <c r="D334" s="21" t="s">
        <v>477</v>
      </c>
      <c r="E334" s="21" t="s">
        <v>16</v>
      </c>
      <c r="F334" s="21" t="s">
        <v>17</v>
      </c>
      <c r="G334" s="14"/>
      <c r="H334" s="1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2.5" customHeight="1">
      <c r="A335" s="11">
        <v>333.0</v>
      </c>
      <c r="B335" s="20">
        <v>43.0</v>
      </c>
      <c r="C335" s="21" t="s">
        <v>793</v>
      </c>
      <c r="D335" s="21" t="s">
        <v>794</v>
      </c>
      <c r="E335" s="21" t="s">
        <v>273</v>
      </c>
      <c r="F335" s="21" t="s">
        <v>274</v>
      </c>
      <c r="G335" s="14" t="s">
        <v>18</v>
      </c>
      <c r="H335" s="1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2.5" customHeight="1">
      <c r="A336" s="11">
        <v>334.0</v>
      </c>
      <c r="B336" s="20">
        <v>42.0</v>
      </c>
      <c r="C336" s="21" t="s">
        <v>795</v>
      </c>
      <c r="D336" s="21" t="s">
        <v>796</v>
      </c>
      <c r="E336" s="21" t="s">
        <v>444</v>
      </c>
      <c r="F336" s="21" t="s">
        <v>445</v>
      </c>
      <c r="G336" s="14" t="s">
        <v>18</v>
      </c>
      <c r="H336" s="1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2.5" customHeight="1">
      <c r="A337" s="11">
        <v>335.0</v>
      </c>
      <c r="B337" s="20">
        <v>42.0</v>
      </c>
      <c r="C337" s="21" t="s">
        <v>797</v>
      </c>
      <c r="D337" s="21" t="s">
        <v>798</v>
      </c>
      <c r="E337" s="21" t="s">
        <v>258</v>
      </c>
      <c r="F337" s="21" t="s">
        <v>259</v>
      </c>
      <c r="G337" s="14" t="s">
        <v>18</v>
      </c>
      <c r="H337" s="1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2.5" customHeight="1">
      <c r="A338" s="11">
        <v>336.0</v>
      </c>
      <c r="B338" s="20">
        <v>42.0</v>
      </c>
      <c r="C338" s="21" t="s">
        <v>799</v>
      </c>
      <c r="D338" s="21" t="s">
        <v>800</v>
      </c>
      <c r="E338" s="21" t="s">
        <v>51</v>
      </c>
      <c r="F338" s="21" t="s">
        <v>52</v>
      </c>
      <c r="G338" s="14" t="s">
        <v>18</v>
      </c>
      <c r="H338" s="1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2.5" customHeight="1">
      <c r="A339" s="11">
        <v>337.0</v>
      </c>
      <c r="B339" s="20">
        <v>42.0</v>
      </c>
      <c r="C339" s="21" t="s">
        <v>801</v>
      </c>
      <c r="D339" s="21" t="s">
        <v>802</v>
      </c>
      <c r="E339" s="21" t="s">
        <v>409</v>
      </c>
      <c r="F339" s="21" t="s">
        <v>410</v>
      </c>
      <c r="G339" s="14"/>
      <c r="H339" s="1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2.5" customHeight="1">
      <c r="A340" s="11">
        <v>338.0</v>
      </c>
      <c r="B340" s="20">
        <v>42.0</v>
      </c>
      <c r="C340" s="21" t="s">
        <v>803</v>
      </c>
      <c r="D340" s="21" t="s">
        <v>804</v>
      </c>
      <c r="E340" s="21" t="s">
        <v>401</v>
      </c>
      <c r="F340" s="21" t="s">
        <v>402</v>
      </c>
      <c r="G340" s="14"/>
      <c r="H340" s="1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2.5" customHeight="1">
      <c r="A341" s="11">
        <v>339.0</v>
      </c>
      <c r="B341" s="20">
        <v>41.0</v>
      </c>
      <c r="C341" s="21" t="s">
        <v>805</v>
      </c>
      <c r="D341" s="21" t="s">
        <v>806</v>
      </c>
      <c r="E341" s="21" t="s">
        <v>32</v>
      </c>
      <c r="F341" s="21" t="s">
        <v>33</v>
      </c>
      <c r="G341" s="14" t="s">
        <v>18</v>
      </c>
      <c r="H341" s="1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2.5" customHeight="1">
      <c r="A342" s="11">
        <v>340.0</v>
      </c>
      <c r="B342" s="20">
        <v>41.0</v>
      </c>
      <c r="C342" s="21" t="s">
        <v>81</v>
      </c>
      <c r="D342" s="21" t="s">
        <v>82</v>
      </c>
      <c r="E342" s="21" t="s">
        <v>83</v>
      </c>
      <c r="F342" s="21" t="s">
        <v>84</v>
      </c>
      <c r="G342" s="14"/>
      <c r="H342" s="1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2.5" customHeight="1">
      <c r="A343" s="11">
        <v>341.0</v>
      </c>
      <c r="B343" s="20">
        <v>41.0</v>
      </c>
      <c r="C343" s="21" t="s">
        <v>807</v>
      </c>
      <c r="D343" s="21" t="s">
        <v>808</v>
      </c>
      <c r="E343" s="21" t="s">
        <v>531</v>
      </c>
      <c r="F343" s="21" t="s">
        <v>532</v>
      </c>
      <c r="G343" s="14"/>
      <c r="H343" s="1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2.5" customHeight="1">
      <c r="A344" s="11">
        <v>342.0</v>
      </c>
      <c r="B344" s="20">
        <v>41.0</v>
      </c>
      <c r="C344" s="21" t="s">
        <v>809</v>
      </c>
      <c r="D344" s="21" t="s">
        <v>810</v>
      </c>
      <c r="E344" s="21" t="s">
        <v>135</v>
      </c>
      <c r="F344" s="21" t="s">
        <v>811</v>
      </c>
      <c r="G344" s="14"/>
      <c r="H344" s="1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2.5" customHeight="1">
      <c r="A345" s="11">
        <v>343.0</v>
      </c>
      <c r="B345" s="20">
        <v>41.0</v>
      </c>
      <c r="C345" s="21" t="s">
        <v>301</v>
      </c>
      <c r="D345" s="21" t="s">
        <v>302</v>
      </c>
      <c r="E345" s="21" t="s">
        <v>303</v>
      </c>
      <c r="F345" s="21" t="s">
        <v>304</v>
      </c>
      <c r="G345" s="14"/>
      <c r="H345" s="1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2.5" customHeight="1">
      <c r="A346" s="11">
        <v>344.0</v>
      </c>
      <c r="B346" s="20">
        <v>40.0</v>
      </c>
      <c r="C346" s="21" t="s">
        <v>795</v>
      </c>
      <c r="D346" s="21" t="s">
        <v>796</v>
      </c>
      <c r="E346" s="21" t="s">
        <v>444</v>
      </c>
      <c r="F346" s="21" t="s">
        <v>445</v>
      </c>
      <c r="G346" s="14"/>
      <c r="H346" s="1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2.5" customHeight="1">
      <c r="A347" s="11">
        <v>345.0</v>
      </c>
      <c r="B347" s="20">
        <v>40.0</v>
      </c>
      <c r="C347" s="21" t="s">
        <v>812</v>
      </c>
      <c r="D347" s="21" t="s">
        <v>813</v>
      </c>
      <c r="E347" s="21" t="s">
        <v>340</v>
      </c>
      <c r="F347" s="21" t="s">
        <v>341</v>
      </c>
      <c r="G347" s="14"/>
      <c r="H347" s="1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2.5" customHeight="1">
      <c r="A348" s="11">
        <v>346.0</v>
      </c>
      <c r="B348" s="20">
        <v>40.0</v>
      </c>
      <c r="C348" s="21" t="s">
        <v>440</v>
      </c>
      <c r="D348" s="21" t="s">
        <v>441</v>
      </c>
      <c r="E348" s="21" t="s">
        <v>393</v>
      </c>
      <c r="F348" s="21" t="s">
        <v>394</v>
      </c>
      <c r="G348" s="14"/>
      <c r="H348" s="1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2.5" customHeight="1">
      <c r="A349" s="11">
        <v>347.0</v>
      </c>
      <c r="B349" s="20">
        <v>40.0</v>
      </c>
      <c r="C349" s="21" t="s">
        <v>814</v>
      </c>
      <c r="D349" s="21" t="s">
        <v>815</v>
      </c>
      <c r="E349" s="21" t="s">
        <v>409</v>
      </c>
      <c r="F349" s="21" t="s">
        <v>410</v>
      </c>
      <c r="G349" s="14"/>
      <c r="H349" s="1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2.5" customHeight="1">
      <c r="A350" s="11">
        <v>348.0</v>
      </c>
      <c r="B350" s="20">
        <v>40.0</v>
      </c>
      <c r="C350" s="21" t="s">
        <v>816</v>
      </c>
      <c r="D350" s="21" t="s">
        <v>817</v>
      </c>
      <c r="E350" s="21" t="s">
        <v>818</v>
      </c>
      <c r="F350" s="21" t="s">
        <v>819</v>
      </c>
      <c r="G350" s="14"/>
      <c r="H350" s="1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2.5" customHeight="1">
      <c r="A351" s="11">
        <v>349.0</v>
      </c>
      <c r="B351" s="20">
        <v>39.0</v>
      </c>
      <c r="C351" s="21" t="s">
        <v>820</v>
      </c>
      <c r="D351" s="21" t="s">
        <v>821</v>
      </c>
      <c r="E351" s="21" t="s">
        <v>822</v>
      </c>
      <c r="F351" s="21" t="s">
        <v>823</v>
      </c>
      <c r="G351" s="14" t="s">
        <v>18</v>
      </c>
      <c r="H351" s="1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2.5" customHeight="1">
      <c r="A352" s="11">
        <v>350.0</v>
      </c>
      <c r="B352" s="20">
        <v>39.0</v>
      </c>
      <c r="C352" s="21" t="s">
        <v>824</v>
      </c>
      <c r="D352" s="21" t="s">
        <v>825</v>
      </c>
      <c r="E352" s="21" t="s">
        <v>32</v>
      </c>
      <c r="F352" s="21" t="s">
        <v>33</v>
      </c>
      <c r="G352" s="14"/>
      <c r="H352" s="1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2.5" customHeight="1">
      <c r="A353" s="11">
        <v>351.0</v>
      </c>
      <c r="B353" s="20">
        <v>39.0</v>
      </c>
      <c r="C353" s="21" t="s">
        <v>826</v>
      </c>
      <c r="D353" s="21" t="s">
        <v>827</v>
      </c>
      <c r="E353" s="21" t="s">
        <v>486</v>
      </c>
      <c r="F353" s="21" t="s">
        <v>487</v>
      </c>
      <c r="G353" s="14" t="s">
        <v>18</v>
      </c>
      <c r="H353" s="1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2.5" customHeight="1">
      <c r="A354" s="11">
        <v>352.0</v>
      </c>
      <c r="B354" s="20">
        <v>39.0</v>
      </c>
      <c r="C354" s="21" t="s">
        <v>99</v>
      </c>
      <c r="D354" s="21" t="s">
        <v>828</v>
      </c>
      <c r="E354" s="21" t="s">
        <v>95</v>
      </c>
      <c r="F354" s="21" t="s">
        <v>96</v>
      </c>
      <c r="G354" s="14"/>
      <c r="H354" s="1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2.5" customHeight="1">
      <c r="A355" s="11">
        <v>353.0</v>
      </c>
      <c r="B355" s="20">
        <v>39.0</v>
      </c>
      <c r="C355" s="21" t="s">
        <v>739</v>
      </c>
      <c r="D355" s="21" t="s">
        <v>740</v>
      </c>
      <c r="E355" s="21" t="s">
        <v>401</v>
      </c>
      <c r="F355" s="21" t="s">
        <v>402</v>
      </c>
      <c r="G355" s="14"/>
      <c r="H355" s="1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2.5" customHeight="1">
      <c r="A356" s="11">
        <v>354.0</v>
      </c>
      <c r="B356" s="20">
        <v>38.0</v>
      </c>
      <c r="C356" s="21" t="s">
        <v>797</v>
      </c>
      <c r="D356" s="21" t="s">
        <v>798</v>
      </c>
      <c r="E356" s="21" t="s">
        <v>258</v>
      </c>
      <c r="F356" s="21" t="s">
        <v>259</v>
      </c>
      <c r="G356" s="14"/>
      <c r="H356" s="1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2.5" customHeight="1">
      <c r="A357" s="11">
        <v>355.0</v>
      </c>
      <c r="B357" s="20">
        <v>38.0</v>
      </c>
      <c r="C357" s="21" t="s">
        <v>795</v>
      </c>
      <c r="D357" s="21" t="s">
        <v>796</v>
      </c>
      <c r="E357" s="21" t="s">
        <v>444</v>
      </c>
      <c r="F357" s="21" t="s">
        <v>445</v>
      </c>
      <c r="G357" s="14"/>
      <c r="H357" s="1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2.5" customHeight="1">
      <c r="A358" s="11">
        <v>356.0</v>
      </c>
      <c r="B358" s="20">
        <v>38.0</v>
      </c>
      <c r="C358" s="21" t="s">
        <v>51</v>
      </c>
      <c r="D358" s="21" t="s">
        <v>52</v>
      </c>
      <c r="E358" s="21" t="s">
        <v>51</v>
      </c>
      <c r="F358" s="21" t="s">
        <v>52</v>
      </c>
      <c r="G358" s="14"/>
      <c r="H358" s="1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2.5" customHeight="1">
      <c r="A359" s="11">
        <v>357.0</v>
      </c>
      <c r="B359" s="20">
        <v>38.0</v>
      </c>
      <c r="C359" s="21" t="s">
        <v>829</v>
      </c>
      <c r="D359" s="21" t="s">
        <v>830</v>
      </c>
      <c r="E359" s="21" t="s">
        <v>16</v>
      </c>
      <c r="F359" s="21" t="s">
        <v>17</v>
      </c>
      <c r="G359" s="14"/>
      <c r="H359" s="1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2.5" customHeight="1">
      <c r="A360" s="11">
        <v>358.0</v>
      </c>
      <c r="B360" s="20">
        <v>38.0</v>
      </c>
      <c r="C360" s="21" t="s">
        <v>801</v>
      </c>
      <c r="D360" s="21" t="s">
        <v>802</v>
      </c>
      <c r="E360" s="21" t="s">
        <v>409</v>
      </c>
      <c r="F360" s="21" t="s">
        <v>410</v>
      </c>
      <c r="G360" s="14"/>
      <c r="H360" s="1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2.5" customHeight="1">
      <c r="A361" s="11">
        <v>359.0</v>
      </c>
      <c r="B361" s="20">
        <v>37.0</v>
      </c>
      <c r="C361" s="21" t="s">
        <v>219</v>
      </c>
      <c r="D361" s="21" t="s">
        <v>220</v>
      </c>
      <c r="E361" s="21" t="s">
        <v>221</v>
      </c>
      <c r="F361" s="21" t="s">
        <v>222</v>
      </c>
      <c r="G361" s="14"/>
      <c r="H361" s="1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2.5" customHeight="1">
      <c r="A362" s="11">
        <v>360.0</v>
      </c>
      <c r="B362" s="20">
        <v>37.0</v>
      </c>
      <c r="C362" s="21" t="s">
        <v>89</v>
      </c>
      <c r="D362" s="21" t="s">
        <v>90</v>
      </c>
      <c r="E362" s="21" t="s">
        <v>91</v>
      </c>
      <c r="F362" s="21" t="s">
        <v>92</v>
      </c>
      <c r="G362" s="14"/>
      <c r="H362" s="1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2.5" customHeight="1">
      <c r="A363" s="11">
        <v>361.0</v>
      </c>
      <c r="B363" s="20">
        <v>37.0</v>
      </c>
      <c r="C363" s="21" t="s">
        <v>831</v>
      </c>
      <c r="D363" s="21" t="s">
        <v>832</v>
      </c>
      <c r="E363" s="21" t="s">
        <v>833</v>
      </c>
      <c r="F363" s="21" t="s">
        <v>246</v>
      </c>
      <c r="G363" s="14" t="s">
        <v>18</v>
      </c>
      <c r="H363" s="1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2.5" customHeight="1">
      <c r="A364" s="11">
        <v>362.0</v>
      </c>
      <c r="B364" s="20">
        <v>37.0</v>
      </c>
      <c r="C364" s="21" t="s">
        <v>834</v>
      </c>
      <c r="D364" s="21" t="s">
        <v>835</v>
      </c>
      <c r="E364" s="21" t="s">
        <v>834</v>
      </c>
      <c r="F364" s="21" t="s">
        <v>835</v>
      </c>
      <c r="G364" s="14"/>
      <c r="H364" s="1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2.5" customHeight="1">
      <c r="A365" s="11">
        <v>363.0</v>
      </c>
      <c r="B365" s="20">
        <v>37.0</v>
      </c>
      <c r="C365" s="21" t="s">
        <v>455</v>
      </c>
      <c r="D365" s="21" t="s">
        <v>456</v>
      </c>
      <c r="E365" s="21" t="s">
        <v>457</v>
      </c>
      <c r="F365" s="21" t="s">
        <v>458</v>
      </c>
      <c r="G365" s="14"/>
      <c r="H365" s="1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2.5" customHeight="1">
      <c r="A366" s="11">
        <v>364.0</v>
      </c>
      <c r="B366" s="20">
        <v>36.0</v>
      </c>
      <c r="C366" s="21" t="s">
        <v>795</v>
      </c>
      <c r="D366" s="21" t="s">
        <v>836</v>
      </c>
      <c r="E366" s="21" t="s">
        <v>444</v>
      </c>
      <c r="F366" s="21" t="s">
        <v>445</v>
      </c>
      <c r="G366" s="14"/>
      <c r="H366" s="1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2.5" customHeight="1">
      <c r="A367" s="11">
        <v>365.0</v>
      </c>
      <c r="B367" s="20">
        <v>36.0</v>
      </c>
      <c r="C367" s="21" t="s">
        <v>837</v>
      </c>
      <c r="D367" s="21" t="s">
        <v>838</v>
      </c>
      <c r="E367" s="21" t="s">
        <v>289</v>
      </c>
      <c r="F367" s="21" t="s">
        <v>290</v>
      </c>
      <c r="G367" s="14"/>
      <c r="H367" s="1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2.5" customHeight="1">
      <c r="A368" s="11">
        <v>366.0</v>
      </c>
      <c r="B368" s="20">
        <v>36.0</v>
      </c>
      <c r="C368" s="21" t="s">
        <v>839</v>
      </c>
      <c r="D368" s="21" t="s">
        <v>840</v>
      </c>
      <c r="E368" s="21" t="s">
        <v>67</v>
      </c>
      <c r="F368" s="21" t="s">
        <v>68</v>
      </c>
      <c r="G368" s="14" t="s">
        <v>18</v>
      </c>
      <c r="H368" s="1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2.5" customHeight="1">
      <c r="A369" s="11">
        <v>367.0</v>
      </c>
      <c r="B369" s="20">
        <v>36.0</v>
      </c>
      <c r="C369" s="21" t="s">
        <v>841</v>
      </c>
      <c r="D369" s="21" t="s">
        <v>842</v>
      </c>
      <c r="E369" s="21" t="s">
        <v>843</v>
      </c>
      <c r="F369" s="21" t="s">
        <v>20</v>
      </c>
      <c r="G369" s="14" t="s">
        <v>18</v>
      </c>
      <c r="H369" s="1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2.5" customHeight="1">
      <c r="A370" s="11">
        <v>368.0</v>
      </c>
      <c r="B370" s="20">
        <v>36.0</v>
      </c>
      <c r="C370" s="21" t="s">
        <v>844</v>
      </c>
      <c r="D370" s="21" t="s">
        <v>845</v>
      </c>
      <c r="E370" s="21" t="s">
        <v>531</v>
      </c>
      <c r="F370" s="21" t="s">
        <v>532</v>
      </c>
      <c r="G370" s="14"/>
      <c r="H370" s="1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2.5" customHeight="1">
      <c r="A371" s="11">
        <v>369.0</v>
      </c>
      <c r="B371" s="20">
        <v>35.0</v>
      </c>
      <c r="C371" s="21" t="s">
        <v>846</v>
      </c>
      <c r="D371" s="21" t="s">
        <v>847</v>
      </c>
      <c r="E371" s="21" t="s">
        <v>273</v>
      </c>
      <c r="F371" s="21" t="s">
        <v>274</v>
      </c>
      <c r="G371" s="14"/>
      <c r="H371" s="1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2.5" customHeight="1">
      <c r="A372" s="11">
        <v>370.0</v>
      </c>
      <c r="B372" s="20">
        <v>35.0</v>
      </c>
      <c r="C372" s="21" t="s">
        <v>848</v>
      </c>
      <c r="D372" s="21" t="s">
        <v>849</v>
      </c>
      <c r="E372" s="21" t="s">
        <v>119</v>
      </c>
      <c r="F372" s="21" t="s">
        <v>120</v>
      </c>
      <c r="G372" s="14" t="s">
        <v>18</v>
      </c>
      <c r="H372" s="1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2.5" customHeight="1">
      <c r="A373" s="11">
        <v>371.0</v>
      </c>
      <c r="B373" s="20">
        <v>35.0</v>
      </c>
      <c r="C373" s="21" t="s">
        <v>739</v>
      </c>
      <c r="D373" s="21" t="s">
        <v>740</v>
      </c>
      <c r="E373" s="21" t="s">
        <v>401</v>
      </c>
      <c r="F373" s="21" t="s">
        <v>402</v>
      </c>
      <c r="G373" s="14"/>
      <c r="H373" s="1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2.5" customHeight="1">
      <c r="A374" s="11">
        <v>372.0</v>
      </c>
      <c r="B374" s="20">
        <v>35.0</v>
      </c>
      <c r="C374" s="21" t="s">
        <v>850</v>
      </c>
      <c r="D374" s="21" t="s">
        <v>851</v>
      </c>
      <c r="E374" s="21" t="s">
        <v>531</v>
      </c>
      <c r="F374" s="21" t="s">
        <v>532</v>
      </c>
      <c r="G374" s="14" t="s">
        <v>18</v>
      </c>
      <c r="H374" s="1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2.5" customHeight="1">
      <c r="A375" s="11">
        <v>373.0</v>
      </c>
      <c r="B375" s="20">
        <v>35.0</v>
      </c>
      <c r="C375" s="21" t="s">
        <v>262</v>
      </c>
      <c r="D375" s="21" t="s">
        <v>579</v>
      </c>
      <c r="E375" s="21" t="s">
        <v>264</v>
      </c>
      <c r="F375" s="21" t="s">
        <v>265</v>
      </c>
      <c r="G375" s="14"/>
      <c r="H375" s="1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2.5" customHeight="1">
      <c r="A376" s="11">
        <v>374.0</v>
      </c>
      <c r="B376" s="20">
        <v>112.0</v>
      </c>
      <c r="C376" s="21" t="s">
        <v>852</v>
      </c>
      <c r="D376" s="21" t="s">
        <v>853</v>
      </c>
      <c r="E376" s="21" t="s">
        <v>401</v>
      </c>
      <c r="F376" s="21" t="s">
        <v>402</v>
      </c>
      <c r="G376" s="14"/>
      <c r="H376" s="1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2.5" customHeight="1">
      <c r="A377" s="11">
        <v>375.0</v>
      </c>
      <c r="B377" s="20">
        <v>112.0</v>
      </c>
      <c r="C377" s="21" t="s">
        <v>262</v>
      </c>
      <c r="D377" s="21" t="s">
        <v>579</v>
      </c>
      <c r="E377" s="21" t="s">
        <v>264</v>
      </c>
      <c r="F377" s="21" t="s">
        <v>265</v>
      </c>
      <c r="G377" s="14"/>
      <c r="H377" s="1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2.5" customHeight="1">
      <c r="A378" s="11">
        <v>376.0</v>
      </c>
      <c r="B378" s="20">
        <v>112.0</v>
      </c>
      <c r="C378" s="21" t="s">
        <v>235</v>
      </c>
      <c r="D378" s="21" t="s">
        <v>236</v>
      </c>
      <c r="E378" s="21" t="s">
        <v>131</v>
      </c>
      <c r="F378" s="21" t="s">
        <v>132</v>
      </c>
      <c r="G378" s="14"/>
      <c r="H378" s="1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2.5" customHeight="1">
      <c r="A379" s="11">
        <v>377.0</v>
      </c>
      <c r="B379" s="20">
        <v>112.0</v>
      </c>
      <c r="C379" s="21" t="s">
        <v>854</v>
      </c>
      <c r="D379" s="21" t="s">
        <v>855</v>
      </c>
      <c r="E379" s="21" t="s">
        <v>856</v>
      </c>
      <c r="F379" s="21" t="s">
        <v>128</v>
      </c>
      <c r="G379" s="14"/>
      <c r="H379" s="1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2.5" customHeight="1">
      <c r="A380" s="11">
        <v>378.0</v>
      </c>
      <c r="B380" s="20">
        <v>112.0</v>
      </c>
      <c r="C380" s="21" t="s">
        <v>857</v>
      </c>
      <c r="D380" s="21" t="s">
        <v>858</v>
      </c>
      <c r="E380" s="21" t="s">
        <v>506</v>
      </c>
      <c r="F380" s="21" t="s">
        <v>507</v>
      </c>
      <c r="G380" s="14"/>
      <c r="H380" s="1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7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7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7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7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7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7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7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7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7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7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7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7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7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7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7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7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7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7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7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7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7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7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7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7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7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7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7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7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7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7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7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7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7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7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7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7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7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7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7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7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7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7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7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7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7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7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7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7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7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7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7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7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7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7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7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7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7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7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7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7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7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7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7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7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7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7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7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7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7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7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7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7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7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7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7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7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7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7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7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7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7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7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7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7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7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7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7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7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7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7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7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7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7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7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7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7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7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7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7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7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7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7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7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7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7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7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7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7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7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7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7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7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7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7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7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7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7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7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7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7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7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7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7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7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7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7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7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7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7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7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7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7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7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7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7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7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7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7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7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7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7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7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7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7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7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7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7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7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7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7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7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7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7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7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7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7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7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7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7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7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7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7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7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7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7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7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7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7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7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7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7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7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7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7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7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7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7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7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7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7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7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7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7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7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7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7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7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7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7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7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7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7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7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7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7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7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7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7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7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7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7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7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7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7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7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7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7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7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7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7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7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7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7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7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7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7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7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7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7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7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7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7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7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7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7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7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7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7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7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7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7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7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7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7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7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7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7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7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7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7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7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7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7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7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7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7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7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7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7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7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7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7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7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7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7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7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7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7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7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7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7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7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7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7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7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7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7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7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7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7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7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7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7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7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7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7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7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7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7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7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7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7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7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7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7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7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7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7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7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7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7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7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7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7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7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7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7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7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7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7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7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7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7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7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7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7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7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7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7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7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7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7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7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7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7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7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7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7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7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7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7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7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7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7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7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7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7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7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7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7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7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7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7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7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7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7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7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7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7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7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7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7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7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7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7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7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7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7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7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7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7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7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7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7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7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7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7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7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7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7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7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7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7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7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7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7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7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7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7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7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7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7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7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7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7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7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7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7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7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7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7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7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7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7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7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7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7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7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7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7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7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7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7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7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7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7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7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7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7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7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7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7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7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7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7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7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7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7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7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7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7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7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7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7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7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7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7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7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7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7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7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7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7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7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7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7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7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7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7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7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7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7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7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7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7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7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7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7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7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7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7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7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7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7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7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7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7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7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7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7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7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7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7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7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7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7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7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7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7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7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7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7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7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7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7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7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7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7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7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7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7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7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7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7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7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7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7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7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7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7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7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7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7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7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7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7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7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7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7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7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7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7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7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7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7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7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7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7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7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7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7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7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7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7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7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7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7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7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7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7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7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7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7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7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7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7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7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7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7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7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7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7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7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7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7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7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7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7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7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7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7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7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7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7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7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</sheetData>
  <dataValidations>
    <dataValidation type="custom" allowBlank="1" showDropDown="1" sqref="B3:B380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3.0"/>
    <col customWidth="1" min="3" max="3" width="9.75"/>
    <col customWidth="1" min="4" max="4" width="13.63"/>
    <col customWidth="1" min="5" max="5" width="7.63"/>
    <col customWidth="1" min="6" max="6" width="35.5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22.5" customHeight="1">
      <c r="A2" s="23" t="s">
        <v>6</v>
      </c>
      <c r="B2" s="23" t="s">
        <v>7</v>
      </c>
      <c r="C2" s="23" t="s">
        <v>8</v>
      </c>
      <c r="D2" s="23" t="s">
        <v>9</v>
      </c>
      <c r="E2" s="23" t="s">
        <v>859</v>
      </c>
      <c r="F2" s="23" t="s">
        <v>860</v>
      </c>
      <c r="G2" s="24" t="s">
        <v>12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ht="22.5" customHeight="1">
      <c r="A3" s="23">
        <v>1.0</v>
      </c>
      <c r="B3" s="25">
        <v>109.0</v>
      </c>
      <c r="C3" s="23" t="s">
        <v>861</v>
      </c>
      <c r="D3" s="23"/>
      <c r="E3" s="23" t="s">
        <v>862</v>
      </c>
      <c r="F3" s="26"/>
      <c r="G3" s="27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22.5" customHeight="1">
      <c r="A4" s="23">
        <v>2.0</v>
      </c>
      <c r="B4" s="25">
        <v>109.0</v>
      </c>
      <c r="C4" s="23" t="s">
        <v>863</v>
      </c>
      <c r="D4" s="23"/>
      <c r="E4" s="23" t="s">
        <v>864</v>
      </c>
      <c r="F4" s="26"/>
      <c r="G4" s="24" t="s">
        <v>18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22.5" customHeight="1">
      <c r="A5" s="23">
        <v>3.0</v>
      </c>
      <c r="B5" s="25">
        <v>109.0</v>
      </c>
      <c r="C5" s="23" t="s">
        <v>865</v>
      </c>
      <c r="D5" s="23"/>
      <c r="E5" s="23" t="s">
        <v>866</v>
      </c>
      <c r="F5" s="26"/>
      <c r="G5" s="28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22.5" customHeight="1">
      <c r="A6" s="23">
        <v>4.0</v>
      </c>
      <c r="B6" s="29">
        <v>110.0</v>
      </c>
      <c r="C6" s="21" t="s">
        <v>867</v>
      </c>
      <c r="D6" s="21"/>
      <c r="E6" s="21" t="s">
        <v>868</v>
      </c>
      <c r="F6" s="30" t="s">
        <v>869</v>
      </c>
      <c r="G6" s="31" t="s">
        <v>18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22.5" customHeight="1">
      <c r="A7" s="23">
        <v>5.0</v>
      </c>
      <c r="B7" s="29">
        <v>110.0</v>
      </c>
      <c r="C7" s="21" t="s">
        <v>870</v>
      </c>
      <c r="D7" s="21"/>
      <c r="E7" s="21" t="s">
        <v>871</v>
      </c>
      <c r="F7" s="21" t="s">
        <v>872</v>
      </c>
      <c r="G7" s="3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22.5" customHeight="1">
      <c r="A8" s="23">
        <v>6.0</v>
      </c>
      <c r="B8" s="29">
        <v>110.0</v>
      </c>
      <c r="C8" s="21" t="s">
        <v>873</v>
      </c>
      <c r="D8" s="21"/>
      <c r="E8" s="21" t="s">
        <v>874</v>
      </c>
      <c r="F8" s="21" t="s">
        <v>875</v>
      </c>
      <c r="G8" s="31" t="s">
        <v>18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22.5" customHeight="1">
      <c r="A9" s="23">
        <v>7.0</v>
      </c>
      <c r="B9" s="29">
        <v>111.0</v>
      </c>
      <c r="C9" s="21" t="s">
        <v>876</v>
      </c>
      <c r="D9" s="21" t="s">
        <v>877</v>
      </c>
      <c r="E9" s="21" t="s">
        <v>878</v>
      </c>
      <c r="F9" s="26"/>
      <c r="G9" s="24" t="s">
        <v>18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22.5" customHeight="1">
      <c r="A10" s="23">
        <v>8.0</v>
      </c>
      <c r="B10" s="29">
        <v>111.0</v>
      </c>
      <c r="C10" s="21" t="s">
        <v>879</v>
      </c>
      <c r="D10" s="21" t="s">
        <v>880</v>
      </c>
      <c r="E10" s="21" t="s">
        <v>881</v>
      </c>
      <c r="F10" s="26"/>
      <c r="G10" s="27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22.5" customHeight="1">
      <c r="A11" s="23">
        <v>9.0</v>
      </c>
      <c r="B11" s="29">
        <v>111.0</v>
      </c>
      <c r="C11" s="21" t="s">
        <v>882</v>
      </c>
      <c r="D11" s="21" t="s">
        <v>883</v>
      </c>
      <c r="E11" s="21" t="s">
        <v>884</v>
      </c>
      <c r="F11" s="26"/>
      <c r="G11" s="24" t="s">
        <v>18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22.5" customHeight="1">
      <c r="A12" s="23">
        <v>10.0</v>
      </c>
      <c r="B12" s="25">
        <v>108.0</v>
      </c>
      <c r="C12" s="21" t="s">
        <v>885</v>
      </c>
      <c r="D12" s="21" t="s">
        <v>886</v>
      </c>
      <c r="E12" s="21" t="s">
        <v>887</v>
      </c>
      <c r="F12" s="26"/>
      <c r="G12" s="24" t="s">
        <v>18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22.5" customHeight="1">
      <c r="A13" s="23">
        <v>11.0</v>
      </c>
      <c r="B13" s="25">
        <v>108.0</v>
      </c>
      <c r="C13" s="21" t="s">
        <v>888</v>
      </c>
      <c r="D13" s="21" t="s">
        <v>889</v>
      </c>
      <c r="E13" s="21" t="s">
        <v>890</v>
      </c>
      <c r="F13" s="26"/>
      <c r="G13" s="27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22.5" customHeight="1">
      <c r="A14" s="23">
        <v>12.0</v>
      </c>
      <c r="B14" s="25">
        <v>108.0</v>
      </c>
      <c r="C14" s="21" t="s">
        <v>891</v>
      </c>
      <c r="D14" s="21" t="s">
        <v>892</v>
      </c>
      <c r="E14" s="21" t="s">
        <v>893</v>
      </c>
      <c r="F14" s="26"/>
      <c r="G14" s="24" t="s">
        <v>18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22.5" customHeight="1">
      <c r="A15" s="23">
        <v>13.0</v>
      </c>
      <c r="B15" s="25">
        <v>107.0</v>
      </c>
      <c r="C15" s="21" t="s">
        <v>894</v>
      </c>
      <c r="D15" s="21" t="s">
        <v>895</v>
      </c>
      <c r="E15" s="21" t="s">
        <v>896</v>
      </c>
      <c r="F15" s="26"/>
      <c r="G15" s="24" t="s">
        <v>18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22.5" customHeight="1">
      <c r="A16" s="23">
        <v>14.0</v>
      </c>
      <c r="B16" s="25">
        <v>107.0</v>
      </c>
      <c r="C16" s="21" t="s">
        <v>879</v>
      </c>
      <c r="D16" s="21" t="s">
        <v>880</v>
      </c>
      <c r="E16" s="21" t="s">
        <v>881</v>
      </c>
      <c r="F16" s="26"/>
      <c r="G16" s="24" t="s">
        <v>18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22.5" customHeight="1">
      <c r="A17" s="23">
        <v>15.0</v>
      </c>
      <c r="B17" s="25">
        <v>107.0</v>
      </c>
      <c r="C17" s="21" t="s">
        <v>586</v>
      </c>
      <c r="D17" s="21" t="s">
        <v>897</v>
      </c>
      <c r="E17" s="21" t="s">
        <v>898</v>
      </c>
      <c r="F17" s="26"/>
      <c r="G17" s="27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22.5" customHeight="1">
      <c r="A18" s="23">
        <v>16.0</v>
      </c>
      <c r="B18" s="25">
        <v>106.0</v>
      </c>
      <c r="C18" s="21" t="s">
        <v>879</v>
      </c>
      <c r="D18" s="21" t="s">
        <v>880</v>
      </c>
      <c r="E18" s="21" t="s">
        <v>881</v>
      </c>
      <c r="F18" s="26"/>
      <c r="G18" s="27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22.5" customHeight="1">
      <c r="A19" s="23">
        <v>17.0</v>
      </c>
      <c r="B19" s="25">
        <v>106.0</v>
      </c>
      <c r="C19" s="21" t="s">
        <v>894</v>
      </c>
      <c r="D19" s="21" t="s">
        <v>895</v>
      </c>
      <c r="E19" s="21" t="s">
        <v>896</v>
      </c>
      <c r="F19" s="27"/>
      <c r="G19" s="27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22.5" customHeight="1">
      <c r="A20" s="23">
        <v>18.0</v>
      </c>
      <c r="B20" s="25">
        <v>106.0</v>
      </c>
      <c r="C20" s="21" t="s">
        <v>644</v>
      </c>
      <c r="D20" s="21" t="s">
        <v>645</v>
      </c>
      <c r="E20" s="21" t="s">
        <v>899</v>
      </c>
      <c r="F20" s="27"/>
      <c r="G20" s="27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22.5" customHeight="1">
      <c r="A21" s="23">
        <v>19.0</v>
      </c>
      <c r="B21" s="32">
        <v>105.0</v>
      </c>
      <c r="C21" s="21" t="s">
        <v>861</v>
      </c>
      <c r="D21" s="21" t="s">
        <v>900</v>
      </c>
      <c r="E21" s="21" t="s">
        <v>862</v>
      </c>
      <c r="F21" s="27"/>
      <c r="G21" s="27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22.5" customHeight="1">
      <c r="A22" s="23">
        <v>20.0</v>
      </c>
      <c r="B22" s="32">
        <v>105.0</v>
      </c>
      <c r="C22" s="21" t="s">
        <v>586</v>
      </c>
      <c r="D22" s="21" t="s">
        <v>587</v>
      </c>
      <c r="E22" s="21" t="s">
        <v>898</v>
      </c>
      <c r="F22" s="27"/>
      <c r="G22" s="27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22.5" customHeight="1">
      <c r="A23" s="23">
        <v>21.0</v>
      </c>
      <c r="B23" s="32">
        <v>105.0</v>
      </c>
      <c r="C23" s="21" t="s">
        <v>901</v>
      </c>
      <c r="D23" s="21" t="s">
        <v>902</v>
      </c>
      <c r="E23" s="21" t="s">
        <v>903</v>
      </c>
      <c r="F23" s="27"/>
      <c r="G23" s="27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22.5" customHeight="1">
      <c r="A24" s="23">
        <v>22.0</v>
      </c>
      <c r="B24" s="32">
        <v>104.0</v>
      </c>
      <c r="C24" s="21" t="s">
        <v>904</v>
      </c>
      <c r="D24" s="21" t="s">
        <v>905</v>
      </c>
      <c r="E24" s="21" t="s">
        <v>906</v>
      </c>
      <c r="F24" s="27"/>
      <c r="G24" s="24" t="s">
        <v>18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22.5" customHeight="1">
      <c r="A25" s="23">
        <v>23.0</v>
      </c>
      <c r="B25" s="32">
        <v>104.0</v>
      </c>
      <c r="C25" s="21" t="s">
        <v>894</v>
      </c>
      <c r="D25" s="21" t="s">
        <v>895</v>
      </c>
      <c r="E25" s="21" t="s">
        <v>896</v>
      </c>
      <c r="F25" s="27"/>
      <c r="G25" s="27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22.5" customHeight="1">
      <c r="A26" s="23">
        <v>24.0</v>
      </c>
      <c r="B26" s="32">
        <v>104.0</v>
      </c>
      <c r="C26" s="21" t="s">
        <v>586</v>
      </c>
      <c r="D26" s="21" t="s">
        <v>587</v>
      </c>
      <c r="E26" s="21" t="s">
        <v>898</v>
      </c>
      <c r="F26" s="27"/>
      <c r="G26" s="27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22.5" customHeight="1">
      <c r="A27" s="23">
        <v>25.0</v>
      </c>
      <c r="B27" s="32">
        <v>103.0</v>
      </c>
      <c r="C27" s="21" t="s">
        <v>876</v>
      </c>
      <c r="D27" s="21" t="s">
        <v>877</v>
      </c>
      <c r="E27" s="21" t="s">
        <v>878</v>
      </c>
      <c r="F27" s="27"/>
      <c r="G27" s="27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22.5" customHeight="1">
      <c r="A28" s="23">
        <v>26.0</v>
      </c>
      <c r="B28" s="32">
        <v>103.0</v>
      </c>
      <c r="C28" s="21" t="s">
        <v>865</v>
      </c>
      <c r="D28" s="21" t="s">
        <v>907</v>
      </c>
      <c r="E28" s="21" t="s">
        <v>866</v>
      </c>
      <c r="F28" s="27"/>
      <c r="G28" s="24" t="s">
        <v>18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22.5" customHeight="1">
      <c r="A29" s="23">
        <v>27.0</v>
      </c>
      <c r="B29" s="32">
        <v>103.0</v>
      </c>
      <c r="C29" s="21" t="s">
        <v>908</v>
      </c>
      <c r="D29" s="21" t="s">
        <v>909</v>
      </c>
      <c r="E29" s="21" t="s">
        <v>910</v>
      </c>
      <c r="F29" s="27"/>
      <c r="G29" s="24" t="s">
        <v>18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22.5" customHeight="1">
      <c r="A30" s="23">
        <v>28.0</v>
      </c>
      <c r="B30" s="32">
        <v>102.0</v>
      </c>
      <c r="C30" s="21" t="s">
        <v>911</v>
      </c>
      <c r="D30" s="21" t="s">
        <v>912</v>
      </c>
      <c r="E30" s="21" t="s">
        <v>913</v>
      </c>
      <c r="F30" s="27"/>
      <c r="G30" s="27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22.5" customHeight="1">
      <c r="A31" s="23">
        <v>29.0</v>
      </c>
      <c r="B31" s="32">
        <v>102.0</v>
      </c>
      <c r="C31" s="21" t="s">
        <v>885</v>
      </c>
      <c r="D31" s="21" t="s">
        <v>886</v>
      </c>
      <c r="E31" s="21" t="s">
        <v>887</v>
      </c>
      <c r="F31" s="27"/>
      <c r="G31" s="27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22.5" customHeight="1">
      <c r="A32" s="23">
        <v>30.0</v>
      </c>
      <c r="B32" s="32">
        <v>102.0</v>
      </c>
      <c r="C32" s="21" t="s">
        <v>411</v>
      </c>
      <c r="D32" s="21" t="s">
        <v>412</v>
      </c>
      <c r="E32" s="21" t="s">
        <v>914</v>
      </c>
      <c r="F32" s="27"/>
      <c r="G32" s="24" t="s">
        <v>18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22.5" customHeight="1">
      <c r="A33" s="23">
        <v>31.0</v>
      </c>
      <c r="B33" s="32">
        <v>101.0</v>
      </c>
      <c r="C33" s="21" t="s">
        <v>870</v>
      </c>
      <c r="D33" s="21" t="s">
        <v>915</v>
      </c>
      <c r="E33" s="21" t="s">
        <v>871</v>
      </c>
      <c r="F33" s="27"/>
      <c r="G33" s="27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22.5" customHeight="1">
      <c r="A34" s="23">
        <v>32.0</v>
      </c>
      <c r="B34" s="32">
        <v>101.0</v>
      </c>
      <c r="C34" s="21" t="s">
        <v>879</v>
      </c>
      <c r="D34" s="21" t="s">
        <v>880</v>
      </c>
      <c r="E34" s="21" t="s">
        <v>881</v>
      </c>
      <c r="F34" s="27"/>
      <c r="G34" s="27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22.5" customHeight="1">
      <c r="A35" s="23">
        <v>33.0</v>
      </c>
      <c r="B35" s="32">
        <v>101.0</v>
      </c>
      <c r="C35" s="21" t="s">
        <v>586</v>
      </c>
      <c r="D35" s="21" t="s">
        <v>587</v>
      </c>
      <c r="E35" s="21" t="s">
        <v>898</v>
      </c>
      <c r="F35" s="27"/>
      <c r="G35" s="27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22.5" customHeight="1">
      <c r="A36" s="23">
        <v>34.0</v>
      </c>
      <c r="B36" s="32">
        <v>100.0</v>
      </c>
      <c r="C36" s="21" t="s">
        <v>916</v>
      </c>
      <c r="D36" s="21" t="s">
        <v>917</v>
      </c>
      <c r="E36" s="21" t="s">
        <v>918</v>
      </c>
      <c r="F36" s="27"/>
      <c r="G36" s="24" t="s">
        <v>18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22.5" customHeight="1">
      <c r="A37" s="23">
        <v>35.0</v>
      </c>
      <c r="B37" s="32">
        <v>100.0</v>
      </c>
      <c r="C37" s="21" t="s">
        <v>870</v>
      </c>
      <c r="D37" s="21" t="s">
        <v>915</v>
      </c>
      <c r="E37" s="21" t="s">
        <v>871</v>
      </c>
      <c r="F37" s="27"/>
      <c r="G37" s="27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22.5" customHeight="1">
      <c r="A38" s="23">
        <v>36.0</v>
      </c>
      <c r="B38" s="32">
        <v>100.0</v>
      </c>
      <c r="C38" s="21" t="s">
        <v>919</v>
      </c>
      <c r="D38" s="21" t="s">
        <v>920</v>
      </c>
      <c r="E38" s="21" t="s">
        <v>921</v>
      </c>
      <c r="F38" s="27"/>
      <c r="G38" s="27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22.5" customHeight="1">
      <c r="A39" s="23">
        <v>37.0</v>
      </c>
      <c r="B39" s="32">
        <v>99.0</v>
      </c>
      <c r="C39" s="21" t="s">
        <v>922</v>
      </c>
      <c r="D39" s="21" t="s">
        <v>923</v>
      </c>
      <c r="E39" s="21" t="s">
        <v>924</v>
      </c>
      <c r="F39" s="27"/>
      <c r="G39" s="27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22.5" customHeight="1">
      <c r="A40" s="23">
        <v>38.0</v>
      </c>
      <c r="B40" s="32">
        <v>99.0</v>
      </c>
      <c r="C40" s="21" t="s">
        <v>925</v>
      </c>
      <c r="D40" s="21" t="s">
        <v>926</v>
      </c>
      <c r="E40" s="21" t="s">
        <v>927</v>
      </c>
      <c r="F40" s="27"/>
      <c r="G40" s="24" t="s">
        <v>18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22.5" customHeight="1">
      <c r="A41" s="23">
        <v>39.0</v>
      </c>
      <c r="B41" s="32">
        <v>99.0</v>
      </c>
      <c r="C41" s="21" t="s">
        <v>894</v>
      </c>
      <c r="D41" s="21" t="s">
        <v>895</v>
      </c>
      <c r="E41" s="21" t="s">
        <v>896</v>
      </c>
      <c r="F41" s="27"/>
      <c r="G41" s="27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22.5" customHeight="1">
      <c r="A42" s="23">
        <v>40.0</v>
      </c>
      <c r="B42" s="32">
        <v>98.0</v>
      </c>
      <c r="C42" s="21" t="s">
        <v>928</v>
      </c>
      <c r="D42" s="21" t="s">
        <v>929</v>
      </c>
      <c r="E42" s="21" t="s">
        <v>930</v>
      </c>
      <c r="F42" s="27"/>
      <c r="G42" s="24" t="s">
        <v>18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22.5" customHeight="1">
      <c r="A43" s="23">
        <v>41.0</v>
      </c>
      <c r="B43" s="32">
        <v>98.0</v>
      </c>
      <c r="C43" s="21" t="s">
        <v>931</v>
      </c>
      <c r="D43" s="21" t="s">
        <v>932</v>
      </c>
      <c r="E43" s="21" t="s">
        <v>933</v>
      </c>
      <c r="F43" s="27"/>
      <c r="G43" s="24" t="s">
        <v>18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22.5" customHeight="1">
      <c r="A44" s="23">
        <v>42.0</v>
      </c>
      <c r="B44" s="32">
        <v>98.0</v>
      </c>
      <c r="C44" s="21" t="s">
        <v>863</v>
      </c>
      <c r="D44" s="21" t="s">
        <v>934</v>
      </c>
      <c r="E44" s="21" t="s">
        <v>864</v>
      </c>
      <c r="F44" s="27"/>
      <c r="G44" s="27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22.5" customHeight="1">
      <c r="A45" s="23">
        <v>43.0</v>
      </c>
      <c r="B45" s="32">
        <v>97.0</v>
      </c>
      <c r="C45" s="21" t="s">
        <v>861</v>
      </c>
      <c r="D45" s="21" t="s">
        <v>900</v>
      </c>
      <c r="E45" s="21" t="s">
        <v>862</v>
      </c>
      <c r="F45" s="27"/>
      <c r="G45" s="27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22.5" customHeight="1">
      <c r="A46" s="23">
        <v>44.0</v>
      </c>
      <c r="B46" s="32">
        <v>97.0</v>
      </c>
      <c r="C46" s="21" t="s">
        <v>935</v>
      </c>
      <c r="D46" s="21" t="s">
        <v>936</v>
      </c>
      <c r="E46" s="21" t="s">
        <v>937</v>
      </c>
      <c r="F46" s="27"/>
      <c r="G46" s="27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22.5" customHeight="1">
      <c r="A47" s="23">
        <v>45.0</v>
      </c>
      <c r="B47" s="32">
        <v>97.0</v>
      </c>
      <c r="C47" s="21" t="s">
        <v>586</v>
      </c>
      <c r="D47" s="21" t="s">
        <v>587</v>
      </c>
      <c r="E47" s="21" t="s">
        <v>898</v>
      </c>
      <c r="F47" s="27"/>
      <c r="G47" s="27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22.5" customHeight="1">
      <c r="A48" s="23">
        <v>46.0</v>
      </c>
      <c r="B48" s="32">
        <v>96.0</v>
      </c>
      <c r="C48" s="21" t="s">
        <v>911</v>
      </c>
      <c r="D48" s="21" t="s">
        <v>912</v>
      </c>
      <c r="E48" s="21" t="s">
        <v>913</v>
      </c>
      <c r="F48" s="27"/>
      <c r="G48" s="24" t="s">
        <v>18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22.5" customHeight="1">
      <c r="A49" s="23">
        <v>47.0</v>
      </c>
      <c r="B49" s="32">
        <v>96.0</v>
      </c>
      <c r="C49" s="21" t="s">
        <v>938</v>
      </c>
      <c r="D49" s="21" t="s">
        <v>939</v>
      </c>
      <c r="E49" s="21" t="s">
        <v>940</v>
      </c>
      <c r="F49" s="27"/>
      <c r="G49" s="27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22.5" customHeight="1">
      <c r="A50" s="23">
        <v>48.0</v>
      </c>
      <c r="B50" s="32">
        <v>96.0</v>
      </c>
      <c r="C50" s="21" t="s">
        <v>941</v>
      </c>
      <c r="D50" s="21" t="s">
        <v>942</v>
      </c>
      <c r="E50" s="21" t="s">
        <v>943</v>
      </c>
      <c r="F50" s="27"/>
      <c r="G50" s="24" t="s">
        <v>18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22.5" customHeight="1">
      <c r="A51" s="23">
        <v>49.0</v>
      </c>
      <c r="B51" s="32">
        <v>95.0</v>
      </c>
      <c r="C51" s="21" t="s">
        <v>861</v>
      </c>
      <c r="D51" s="21" t="s">
        <v>900</v>
      </c>
      <c r="E51" s="21" t="s">
        <v>862</v>
      </c>
      <c r="F51" s="27"/>
      <c r="G51" s="27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22.5" customHeight="1">
      <c r="A52" s="23">
        <v>50.0</v>
      </c>
      <c r="B52" s="32">
        <v>95.0</v>
      </c>
      <c r="C52" s="21" t="s">
        <v>944</v>
      </c>
      <c r="D52" s="21" t="s">
        <v>945</v>
      </c>
      <c r="E52" s="21" t="s">
        <v>946</v>
      </c>
      <c r="F52" s="27"/>
      <c r="G52" s="24" t="s">
        <v>18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22.5" customHeight="1">
      <c r="A53" s="23">
        <v>51.0</v>
      </c>
      <c r="B53" s="32">
        <v>95.0</v>
      </c>
      <c r="C53" s="21" t="s">
        <v>947</v>
      </c>
      <c r="D53" s="21" t="s">
        <v>948</v>
      </c>
      <c r="E53" s="21" t="s">
        <v>949</v>
      </c>
      <c r="F53" s="27"/>
      <c r="G53" s="24" t="s">
        <v>18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22.5" customHeight="1">
      <c r="A54" s="23">
        <v>52.0</v>
      </c>
      <c r="B54" s="32">
        <v>94.0</v>
      </c>
      <c r="C54" s="21" t="s">
        <v>922</v>
      </c>
      <c r="D54" s="21" t="s">
        <v>923</v>
      </c>
      <c r="E54" s="21" t="s">
        <v>924</v>
      </c>
      <c r="F54" s="27"/>
      <c r="G54" s="27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22.5" customHeight="1">
      <c r="A55" s="23">
        <v>53.0</v>
      </c>
      <c r="B55" s="32">
        <v>94.0</v>
      </c>
      <c r="C55" s="21" t="s">
        <v>586</v>
      </c>
      <c r="D55" s="21" t="s">
        <v>587</v>
      </c>
      <c r="E55" s="21" t="s">
        <v>898</v>
      </c>
      <c r="F55" s="27"/>
      <c r="G55" s="27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22.5" customHeight="1">
      <c r="A56" s="23">
        <v>54.0</v>
      </c>
      <c r="B56" s="32">
        <v>94.0</v>
      </c>
      <c r="C56" s="21" t="s">
        <v>950</v>
      </c>
      <c r="D56" s="21" t="s">
        <v>951</v>
      </c>
      <c r="E56" s="21" t="s">
        <v>952</v>
      </c>
      <c r="F56" s="27"/>
      <c r="G56" s="24" t="s">
        <v>18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22.5" customHeight="1">
      <c r="A57" s="23">
        <v>55.0</v>
      </c>
      <c r="B57" s="32">
        <v>93.0</v>
      </c>
      <c r="C57" s="21" t="s">
        <v>953</v>
      </c>
      <c r="D57" s="21" t="s">
        <v>954</v>
      </c>
      <c r="E57" s="21" t="s">
        <v>955</v>
      </c>
      <c r="F57" s="27"/>
      <c r="G57" s="24" t="s">
        <v>18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22.5" customHeight="1">
      <c r="A58" s="23">
        <v>56.0</v>
      </c>
      <c r="B58" s="32">
        <v>93.0</v>
      </c>
      <c r="C58" s="21" t="s">
        <v>313</v>
      </c>
      <c r="D58" s="21" t="s">
        <v>314</v>
      </c>
      <c r="E58" s="21" t="s">
        <v>956</v>
      </c>
      <c r="F58" s="27"/>
      <c r="G58" s="24" t="s">
        <v>18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22.5" customHeight="1">
      <c r="A59" s="23">
        <v>57.0</v>
      </c>
      <c r="B59" s="32">
        <v>93.0</v>
      </c>
      <c r="C59" s="21" t="s">
        <v>957</v>
      </c>
      <c r="D59" s="21" t="s">
        <v>958</v>
      </c>
      <c r="E59" s="21" t="s">
        <v>959</v>
      </c>
      <c r="F59" s="27"/>
      <c r="G59" s="24" t="s">
        <v>18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22.5" customHeight="1">
      <c r="A60" s="23">
        <v>58.0</v>
      </c>
      <c r="B60" s="32">
        <v>92.0</v>
      </c>
      <c r="C60" s="21" t="s">
        <v>642</v>
      </c>
      <c r="D60" s="21" t="s">
        <v>643</v>
      </c>
      <c r="E60" s="21" t="s">
        <v>960</v>
      </c>
      <c r="F60" s="27"/>
      <c r="G60" s="27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22.5" customHeight="1">
      <c r="A61" s="23">
        <v>59.0</v>
      </c>
      <c r="B61" s="32">
        <v>92.0</v>
      </c>
      <c r="C61" s="21" t="s">
        <v>961</v>
      </c>
      <c r="D61" s="21" t="s">
        <v>962</v>
      </c>
      <c r="E61" s="21" t="s">
        <v>963</v>
      </c>
      <c r="F61" s="27"/>
      <c r="G61" s="27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22.5" customHeight="1">
      <c r="A62" s="23">
        <v>60.0</v>
      </c>
      <c r="B62" s="32">
        <v>92.0</v>
      </c>
      <c r="C62" s="21" t="s">
        <v>964</v>
      </c>
      <c r="D62" s="21" t="s">
        <v>965</v>
      </c>
      <c r="E62" s="21" t="s">
        <v>966</v>
      </c>
      <c r="F62" s="27"/>
      <c r="G62" s="24" t="s">
        <v>18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22.5" customHeight="1">
      <c r="A63" s="23">
        <v>61.0</v>
      </c>
      <c r="B63" s="32">
        <v>91.0</v>
      </c>
      <c r="C63" s="21" t="s">
        <v>967</v>
      </c>
      <c r="D63" s="21" t="s">
        <v>968</v>
      </c>
      <c r="E63" s="21" t="s">
        <v>969</v>
      </c>
      <c r="F63" s="27"/>
      <c r="G63" s="24" t="s">
        <v>18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22.5" customHeight="1">
      <c r="A64" s="23">
        <v>62.0</v>
      </c>
      <c r="B64" s="32">
        <v>91.0</v>
      </c>
      <c r="C64" s="21" t="s">
        <v>970</v>
      </c>
      <c r="D64" s="21" t="s">
        <v>971</v>
      </c>
      <c r="E64" s="21" t="s">
        <v>972</v>
      </c>
      <c r="F64" s="27"/>
      <c r="G64" s="24" t="s">
        <v>18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22.5" customHeight="1">
      <c r="A65" s="23">
        <v>63.0</v>
      </c>
      <c r="B65" s="32">
        <v>91.0</v>
      </c>
      <c r="C65" s="21" t="s">
        <v>973</v>
      </c>
      <c r="D65" s="21" t="s">
        <v>974</v>
      </c>
      <c r="E65" s="21" t="s">
        <v>975</v>
      </c>
      <c r="F65" s="27"/>
      <c r="G65" s="24" t="s">
        <v>18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22.5" customHeight="1">
      <c r="A66" s="23">
        <v>64.0</v>
      </c>
      <c r="B66" s="32">
        <v>90.0</v>
      </c>
      <c r="C66" s="21" t="s">
        <v>976</v>
      </c>
      <c r="D66" s="21" t="s">
        <v>977</v>
      </c>
      <c r="E66" s="21" t="s">
        <v>978</v>
      </c>
      <c r="F66" s="27"/>
      <c r="G66" s="24" t="s">
        <v>18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22.5" customHeight="1">
      <c r="A67" s="23">
        <v>65.0</v>
      </c>
      <c r="B67" s="32">
        <v>90.0</v>
      </c>
      <c r="C67" s="21" t="s">
        <v>908</v>
      </c>
      <c r="D67" s="21" t="s">
        <v>909</v>
      </c>
      <c r="E67" s="21" t="s">
        <v>910</v>
      </c>
      <c r="F67" s="27"/>
      <c r="G67" s="27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22.5" customHeight="1">
      <c r="A68" s="23">
        <v>66.0</v>
      </c>
      <c r="B68" s="32">
        <v>90.0</v>
      </c>
      <c r="C68" s="21" t="s">
        <v>935</v>
      </c>
      <c r="D68" s="21" t="s">
        <v>936</v>
      </c>
      <c r="E68" s="21" t="s">
        <v>937</v>
      </c>
      <c r="F68" s="27"/>
      <c r="G68" s="24" t="s">
        <v>18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22.5" customHeight="1">
      <c r="A69" s="23">
        <v>67.0</v>
      </c>
      <c r="B69" s="32">
        <v>87.0</v>
      </c>
      <c r="C69" s="21" t="s">
        <v>642</v>
      </c>
      <c r="D69" s="21" t="s">
        <v>643</v>
      </c>
      <c r="E69" s="21" t="s">
        <v>960</v>
      </c>
      <c r="F69" s="27"/>
      <c r="G69" s="24" t="s">
        <v>18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22.5" customHeight="1">
      <c r="A70" s="23">
        <v>68.0</v>
      </c>
      <c r="B70" s="32">
        <v>87.0</v>
      </c>
      <c r="C70" s="21" t="s">
        <v>411</v>
      </c>
      <c r="D70" s="21" t="s">
        <v>412</v>
      </c>
      <c r="E70" s="21" t="s">
        <v>914</v>
      </c>
      <c r="F70" s="27"/>
      <c r="G70" s="27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22.5" customHeight="1">
      <c r="A71" s="23">
        <v>69.0</v>
      </c>
      <c r="B71" s="32">
        <v>87.0</v>
      </c>
      <c r="C71" s="21" t="s">
        <v>961</v>
      </c>
      <c r="D71" s="21" t="s">
        <v>962</v>
      </c>
      <c r="E71" s="21" t="s">
        <v>963</v>
      </c>
      <c r="F71" s="27"/>
      <c r="G71" s="24" t="s">
        <v>18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22.5" customHeight="1">
      <c r="A72" s="23">
        <v>70.0</v>
      </c>
      <c r="B72" s="32">
        <v>86.0</v>
      </c>
      <c r="C72" s="21" t="s">
        <v>941</v>
      </c>
      <c r="D72" s="21" t="s">
        <v>942</v>
      </c>
      <c r="E72" s="21" t="s">
        <v>943</v>
      </c>
      <c r="F72" s="27"/>
      <c r="G72" s="27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22.5" customHeight="1">
      <c r="A73" s="23">
        <v>71.0</v>
      </c>
      <c r="B73" s="32">
        <v>86.0</v>
      </c>
      <c r="C73" s="21" t="s">
        <v>979</v>
      </c>
      <c r="D73" s="21" t="s">
        <v>980</v>
      </c>
      <c r="E73" s="21" t="s">
        <v>981</v>
      </c>
      <c r="F73" s="27"/>
      <c r="G73" s="27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22.5" customHeight="1">
      <c r="A74" s="23">
        <v>72.0</v>
      </c>
      <c r="B74" s="32">
        <v>86.0</v>
      </c>
      <c r="C74" s="21" t="s">
        <v>834</v>
      </c>
      <c r="D74" s="21" t="s">
        <v>835</v>
      </c>
      <c r="E74" s="21" t="s">
        <v>982</v>
      </c>
      <c r="F74" s="27"/>
      <c r="G74" s="24" t="s">
        <v>18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22.5" customHeight="1">
      <c r="A75" s="23">
        <v>73.0</v>
      </c>
      <c r="B75" s="32">
        <v>85.0</v>
      </c>
      <c r="C75" s="21" t="s">
        <v>983</v>
      </c>
      <c r="D75" s="21" t="s">
        <v>984</v>
      </c>
      <c r="E75" s="21" t="s">
        <v>985</v>
      </c>
      <c r="F75" s="27"/>
      <c r="G75" s="27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22.5" customHeight="1">
      <c r="A76" s="23">
        <v>74.0</v>
      </c>
      <c r="B76" s="32">
        <v>85.0</v>
      </c>
      <c r="C76" s="21" t="s">
        <v>950</v>
      </c>
      <c r="D76" s="21" t="s">
        <v>951</v>
      </c>
      <c r="E76" s="21" t="s">
        <v>952</v>
      </c>
      <c r="F76" s="27"/>
      <c r="G76" s="27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22.5" customHeight="1">
      <c r="A77" s="23">
        <v>75.0</v>
      </c>
      <c r="B77" s="32">
        <v>85.0</v>
      </c>
      <c r="C77" s="21" t="s">
        <v>986</v>
      </c>
      <c r="D77" s="21" t="s">
        <v>987</v>
      </c>
      <c r="E77" s="21" t="s">
        <v>988</v>
      </c>
      <c r="F77" s="27"/>
      <c r="G77" s="24" t="s">
        <v>18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22.5" customHeight="1">
      <c r="A78" s="23">
        <v>76.0</v>
      </c>
      <c r="B78" s="32">
        <v>84.0</v>
      </c>
      <c r="C78" s="21" t="s">
        <v>989</v>
      </c>
      <c r="D78" s="21" t="s">
        <v>990</v>
      </c>
      <c r="E78" s="21" t="s">
        <v>991</v>
      </c>
      <c r="F78" s="27"/>
      <c r="G78" s="27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22.5" customHeight="1">
      <c r="A79" s="23">
        <v>77.0</v>
      </c>
      <c r="B79" s="32">
        <v>84.0</v>
      </c>
      <c r="C79" s="21" t="s">
        <v>992</v>
      </c>
      <c r="D79" s="21" t="s">
        <v>993</v>
      </c>
      <c r="E79" s="21" t="s">
        <v>994</v>
      </c>
      <c r="F79" s="27"/>
      <c r="G79" s="24" t="s">
        <v>18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22.5" customHeight="1">
      <c r="A80" s="23">
        <v>78.0</v>
      </c>
      <c r="B80" s="32">
        <v>84.0</v>
      </c>
      <c r="C80" s="21" t="s">
        <v>995</v>
      </c>
      <c r="D80" s="21" t="s">
        <v>996</v>
      </c>
      <c r="E80" s="21" t="s">
        <v>997</v>
      </c>
      <c r="F80" s="27"/>
      <c r="G80" s="24" t="s">
        <v>18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22.5" customHeight="1">
      <c r="A81" s="23">
        <v>79.0</v>
      </c>
      <c r="B81" s="32">
        <v>83.0</v>
      </c>
      <c r="C81" s="21" t="s">
        <v>861</v>
      </c>
      <c r="D81" s="21" t="s">
        <v>900</v>
      </c>
      <c r="E81" s="21" t="s">
        <v>862</v>
      </c>
      <c r="F81" s="27"/>
      <c r="G81" s="24" t="s">
        <v>18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22.5" customHeight="1">
      <c r="A82" s="23">
        <v>80.0</v>
      </c>
      <c r="B82" s="32">
        <v>83.0</v>
      </c>
      <c r="C82" s="21" t="s">
        <v>998</v>
      </c>
      <c r="D82" s="21" t="s">
        <v>999</v>
      </c>
      <c r="E82" s="21" t="s">
        <v>998</v>
      </c>
      <c r="F82" s="27"/>
      <c r="G82" s="24" t="s">
        <v>18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22.5" customHeight="1">
      <c r="A83" s="23">
        <v>81.0</v>
      </c>
      <c r="B83" s="32">
        <v>83.0</v>
      </c>
      <c r="C83" s="21" t="s">
        <v>1000</v>
      </c>
      <c r="D83" s="21" t="s">
        <v>1001</v>
      </c>
      <c r="E83" s="21" t="s">
        <v>1002</v>
      </c>
      <c r="F83" s="27"/>
      <c r="G83" s="24" t="s">
        <v>18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22.5" customHeight="1">
      <c r="A84" s="23">
        <v>82.0</v>
      </c>
      <c r="B84" s="32">
        <v>82.0</v>
      </c>
      <c r="C84" s="21" t="s">
        <v>1003</v>
      </c>
      <c r="D84" s="21" t="s">
        <v>1004</v>
      </c>
      <c r="E84" s="21" t="s">
        <v>1005</v>
      </c>
      <c r="F84" s="27"/>
      <c r="G84" s="24" t="s">
        <v>18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22.5" customHeight="1">
      <c r="A85" s="23">
        <v>83.0</v>
      </c>
      <c r="B85" s="32">
        <v>82.0</v>
      </c>
      <c r="C85" s="21" t="s">
        <v>1006</v>
      </c>
      <c r="D85" s="21" t="s">
        <v>1007</v>
      </c>
      <c r="E85" s="21" t="s">
        <v>1008</v>
      </c>
      <c r="F85" s="27"/>
      <c r="G85" s="24" t="s">
        <v>18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22.5" customHeight="1">
      <c r="A86" s="23">
        <v>84.0</v>
      </c>
      <c r="B86" s="32">
        <v>82.0</v>
      </c>
      <c r="C86" s="21" t="s">
        <v>919</v>
      </c>
      <c r="D86" s="21" t="s">
        <v>920</v>
      </c>
      <c r="E86" s="21" t="s">
        <v>921</v>
      </c>
      <c r="F86" s="27"/>
      <c r="G86" s="27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22.5" customHeight="1">
      <c r="A87" s="23">
        <v>85.0</v>
      </c>
      <c r="B87" s="32">
        <v>81.0</v>
      </c>
      <c r="C87" s="21" t="s">
        <v>919</v>
      </c>
      <c r="D87" s="21" t="s">
        <v>920</v>
      </c>
      <c r="E87" s="21" t="s">
        <v>921</v>
      </c>
      <c r="F87" s="27"/>
      <c r="G87" s="24" t="s">
        <v>18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22.5" customHeight="1">
      <c r="A88" s="23">
        <v>86.0</v>
      </c>
      <c r="B88" s="32">
        <v>81.0</v>
      </c>
      <c r="C88" s="21" t="s">
        <v>911</v>
      </c>
      <c r="D88" s="21" t="s">
        <v>912</v>
      </c>
      <c r="E88" s="21" t="s">
        <v>913</v>
      </c>
      <c r="F88" s="27"/>
      <c r="G88" s="27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22.5" customHeight="1">
      <c r="A89" s="23">
        <v>87.0</v>
      </c>
      <c r="B89" s="32">
        <v>81.0</v>
      </c>
      <c r="C89" s="21" t="s">
        <v>888</v>
      </c>
      <c r="D89" s="21" t="s">
        <v>1009</v>
      </c>
      <c r="E89" s="21" t="s">
        <v>890</v>
      </c>
      <c r="F89" s="27"/>
      <c r="G89" s="27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22.5" customHeight="1">
      <c r="A90" s="23">
        <v>88.0</v>
      </c>
      <c r="B90" s="32">
        <v>80.0</v>
      </c>
      <c r="C90" s="21" t="s">
        <v>901</v>
      </c>
      <c r="D90" s="21" t="s">
        <v>1010</v>
      </c>
      <c r="E90" s="21" t="s">
        <v>903</v>
      </c>
      <c r="F90" s="27"/>
      <c r="G90" s="24" t="s">
        <v>18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22.5" customHeight="1">
      <c r="A91" s="23">
        <v>89.0</v>
      </c>
      <c r="B91" s="32">
        <v>80.0</v>
      </c>
      <c r="C91" s="21" t="s">
        <v>861</v>
      </c>
      <c r="D91" s="21" t="s">
        <v>900</v>
      </c>
      <c r="E91" s="21" t="s">
        <v>862</v>
      </c>
      <c r="F91" s="27"/>
      <c r="G91" s="27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22.5" customHeight="1">
      <c r="A92" s="23">
        <v>90.0</v>
      </c>
      <c r="B92" s="32">
        <v>80.0</v>
      </c>
      <c r="C92" s="21" t="s">
        <v>957</v>
      </c>
      <c r="D92" s="21" t="s">
        <v>958</v>
      </c>
      <c r="E92" s="21" t="s">
        <v>959</v>
      </c>
      <c r="F92" s="27"/>
      <c r="G92" s="27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22.5" customHeight="1">
      <c r="A93" s="23">
        <v>91.0</v>
      </c>
      <c r="B93" s="32">
        <v>79.0</v>
      </c>
      <c r="C93" s="21" t="s">
        <v>922</v>
      </c>
      <c r="D93" s="21" t="s">
        <v>923</v>
      </c>
      <c r="E93" s="21" t="s">
        <v>924</v>
      </c>
      <c r="F93" s="27"/>
      <c r="G93" s="24" t="s">
        <v>18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22.5" customHeight="1">
      <c r="A94" s="23">
        <v>92.0</v>
      </c>
      <c r="B94" s="32">
        <v>79.0</v>
      </c>
      <c r="C94" s="21" t="s">
        <v>935</v>
      </c>
      <c r="D94" s="21" t="s">
        <v>936</v>
      </c>
      <c r="E94" s="21" t="s">
        <v>937</v>
      </c>
      <c r="F94" s="27"/>
      <c r="G94" s="27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22.5" customHeight="1">
      <c r="A95" s="23">
        <v>93.0</v>
      </c>
      <c r="B95" s="32">
        <v>79.0</v>
      </c>
      <c r="C95" s="21" t="s">
        <v>950</v>
      </c>
      <c r="D95" s="21" t="s">
        <v>1011</v>
      </c>
      <c r="E95" s="21" t="s">
        <v>952</v>
      </c>
      <c r="F95" s="27"/>
      <c r="G95" s="27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22.5" customHeight="1">
      <c r="A96" s="23">
        <v>94.0</v>
      </c>
      <c r="B96" s="32">
        <v>78.0</v>
      </c>
      <c r="C96" s="21" t="s">
        <v>950</v>
      </c>
      <c r="D96" s="21" t="s">
        <v>1011</v>
      </c>
      <c r="E96" s="21" t="s">
        <v>952</v>
      </c>
      <c r="F96" s="27"/>
      <c r="G96" s="27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22.5" customHeight="1">
      <c r="A97" s="23">
        <v>95.0</v>
      </c>
      <c r="B97" s="32">
        <v>78.0</v>
      </c>
      <c r="C97" s="21" t="s">
        <v>865</v>
      </c>
      <c r="D97" s="21" t="s">
        <v>907</v>
      </c>
      <c r="E97" s="21" t="s">
        <v>866</v>
      </c>
      <c r="F97" s="27"/>
      <c r="G97" s="27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22.5" customHeight="1">
      <c r="A98" s="23">
        <v>96.0</v>
      </c>
      <c r="B98" s="32">
        <v>78.0</v>
      </c>
      <c r="C98" s="21" t="s">
        <v>1012</v>
      </c>
      <c r="D98" s="21" t="s">
        <v>1013</v>
      </c>
      <c r="E98" s="21" t="s">
        <v>1014</v>
      </c>
      <c r="F98" s="27"/>
      <c r="G98" s="27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22.5" customHeight="1">
      <c r="A99" s="23">
        <v>97.0</v>
      </c>
      <c r="B99" s="32">
        <v>77.0</v>
      </c>
      <c r="C99" s="21" t="s">
        <v>659</v>
      </c>
      <c r="D99" s="21" t="s">
        <v>660</v>
      </c>
      <c r="E99" s="21" t="s">
        <v>1015</v>
      </c>
      <c r="F99" s="27"/>
      <c r="G99" s="24" t="s">
        <v>18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22.5" customHeight="1">
      <c r="A100" s="23">
        <v>98.0</v>
      </c>
      <c r="B100" s="32">
        <v>77.0</v>
      </c>
      <c r="C100" s="21" t="s">
        <v>1016</v>
      </c>
      <c r="D100" s="21" t="s">
        <v>1017</v>
      </c>
      <c r="E100" s="21" t="s">
        <v>1018</v>
      </c>
      <c r="F100" s="27"/>
      <c r="G100" s="24" t="s">
        <v>18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22.5" customHeight="1">
      <c r="A101" s="23">
        <v>99.0</v>
      </c>
      <c r="B101" s="32">
        <v>77.0</v>
      </c>
      <c r="C101" s="21" t="s">
        <v>950</v>
      </c>
      <c r="D101" s="21" t="s">
        <v>1011</v>
      </c>
      <c r="E101" s="21" t="s">
        <v>952</v>
      </c>
      <c r="F101" s="27"/>
      <c r="G101" s="27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22.5" customHeight="1">
      <c r="A102" s="23">
        <v>100.0</v>
      </c>
      <c r="B102" s="32">
        <v>76.0</v>
      </c>
      <c r="C102" s="21" t="s">
        <v>861</v>
      </c>
      <c r="D102" s="21" t="s">
        <v>900</v>
      </c>
      <c r="E102" s="21" t="s">
        <v>862</v>
      </c>
      <c r="F102" s="27"/>
      <c r="G102" s="27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22.5" customHeight="1">
      <c r="A103" s="23">
        <v>101.0</v>
      </c>
      <c r="B103" s="32">
        <v>76.0</v>
      </c>
      <c r="C103" s="21" t="s">
        <v>1019</v>
      </c>
      <c r="D103" s="21" t="s">
        <v>1020</v>
      </c>
      <c r="E103" s="21" t="s">
        <v>1021</v>
      </c>
      <c r="F103" s="27"/>
      <c r="G103" s="24" t="s">
        <v>18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22.5" customHeight="1">
      <c r="A104" s="23">
        <v>102.0</v>
      </c>
      <c r="B104" s="32">
        <v>76.0</v>
      </c>
      <c r="C104" s="21" t="s">
        <v>1022</v>
      </c>
      <c r="D104" s="21" t="s">
        <v>1023</v>
      </c>
      <c r="E104" s="21" t="s">
        <v>1024</v>
      </c>
      <c r="F104" s="27"/>
      <c r="G104" s="24" t="s">
        <v>18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22.5" customHeight="1">
      <c r="A105" s="23">
        <v>103.0</v>
      </c>
      <c r="B105" s="32">
        <v>75.0</v>
      </c>
      <c r="C105" s="21" t="s">
        <v>1025</v>
      </c>
      <c r="D105" s="21" t="s">
        <v>1026</v>
      </c>
      <c r="E105" s="21" t="s">
        <v>1027</v>
      </c>
      <c r="F105" s="27"/>
      <c r="G105" s="24" t="s">
        <v>18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22.5" customHeight="1">
      <c r="A106" s="23">
        <v>104.0</v>
      </c>
      <c r="B106" s="32">
        <v>75.0</v>
      </c>
      <c r="C106" s="21" t="s">
        <v>1028</v>
      </c>
      <c r="D106" s="21" t="s">
        <v>1029</v>
      </c>
      <c r="E106" s="21" t="s">
        <v>1030</v>
      </c>
      <c r="F106" s="27"/>
      <c r="G106" s="24" t="s">
        <v>18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22.5" customHeight="1">
      <c r="A107" s="23">
        <v>105.0</v>
      </c>
      <c r="B107" s="32">
        <v>75.0</v>
      </c>
      <c r="C107" s="21" t="s">
        <v>995</v>
      </c>
      <c r="D107" s="21" t="s">
        <v>996</v>
      </c>
      <c r="E107" s="21" t="s">
        <v>997</v>
      </c>
      <c r="F107" s="27"/>
      <c r="G107" s="27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22.5" customHeight="1">
      <c r="A108" s="23">
        <v>106.0</v>
      </c>
      <c r="B108" s="32">
        <v>74.0</v>
      </c>
      <c r="C108" s="21" t="s">
        <v>1031</v>
      </c>
      <c r="D108" s="21" t="s">
        <v>1032</v>
      </c>
      <c r="E108" s="21" t="s">
        <v>1033</v>
      </c>
      <c r="F108" s="27"/>
      <c r="G108" s="24" t="s">
        <v>18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22.5" customHeight="1">
      <c r="A109" s="23">
        <v>107.0</v>
      </c>
      <c r="B109" s="32">
        <v>74.0</v>
      </c>
      <c r="C109" s="21" t="s">
        <v>822</v>
      </c>
      <c r="D109" s="21" t="s">
        <v>1034</v>
      </c>
      <c r="E109" s="21" t="s">
        <v>1035</v>
      </c>
      <c r="F109" s="27"/>
      <c r="G109" s="24" t="s">
        <v>18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22.5" customHeight="1">
      <c r="A110" s="23">
        <v>108.0</v>
      </c>
      <c r="B110" s="32">
        <v>74.0</v>
      </c>
      <c r="C110" s="21" t="s">
        <v>938</v>
      </c>
      <c r="D110" s="21" t="s">
        <v>939</v>
      </c>
      <c r="E110" s="21" t="s">
        <v>940</v>
      </c>
      <c r="F110" s="27"/>
      <c r="G110" s="27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22.5" customHeight="1">
      <c r="A111" s="23">
        <v>109.0</v>
      </c>
      <c r="B111" s="32">
        <v>73.0</v>
      </c>
      <c r="C111" s="21" t="s">
        <v>313</v>
      </c>
      <c r="D111" s="21" t="s">
        <v>314</v>
      </c>
      <c r="E111" s="21" t="s">
        <v>956</v>
      </c>
      <c r="F111" s="27"/>
      <c r="G111" s="27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22.5" customHeight="1">
      <c r="A112" s="23">
        <v>110.0</v>
      </c>
      <c r="B112" s="32">
        <v>73.0</v>
      </c>
      <c r="C112" s="21" t="s">
        <v>1036</v>
      </c>
      <c r="D112" s="21" t="s">
        <v>1037</v>
      </c>
      <c r="E112" s="21" t="s">
        <v>1038</v>
      </c>
      <c r="F112" s="27"/>
      <c r="G112" s="27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22.5" customHeight="1">
      <c r="A113" s="23">
        <v>111.0</v>
      </c>
      <c r="B113" s="32">
        <v>73.0</v>
      </c>
      <c r="C113" s="21" t="s">
        <v>1039</v>
      </c>
      <c r="D113" s="21" t="s">
        <v>1040</v>
      </c>
      <c r="E113" s="21" t="s">
        <v>1041</v>
      </c>
      <c r="F113" s="27"/>
      <c r="G113" s="24" t="s">
        <v>18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22.5" customHeight="1">
      <c r="A114" s="23">
        <v>112.0</v>
      </c>
      <c r="B114" s="32">
        <v>72.0</v>
      </c>
      <c r="C114" s="21" t="s">
        <v>1042</v>
      </c>
      <c r="D114" s="21" t="s">
        <v>1043</v>
      </c>
      <c r="E114" s="21" t="s">
        <v>1044</v>
      </c>
      <c r="F114" s="27"/>
      <c r="G114" s="24" t="s">
        <v>18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22.5" customHeight="1">
      <c r="A115" s="23">
        <v>113.0</v>
      </c>
      <c r="B115" s="32">
        <v>72.0</v>
      </c>
      <c r="C115" s="21" t="s">
        <v>1045</v>
      </c>
      <c r="D115" s="21" t="s">
        <v>1046</v>
      </c>
      <c r="E115" s="21" t="s">
        <v>1047</v>
      </c>
      <c r="F115" s="27"/>
      <c r="G115" s="24" t="s">
        <v>18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22.5" customHeight="1">
      <c r="A116" s="23">
        <v>114.0</v>
      </c>
      <c r="B116" s="32">
        <v>72.0</v>
      </c>
      <c r="C116" s="21" t="s">
        <v>983</v>
      </c>
      <c r="D116" s="21" t="s">
        <v>984</v>
      </c>
      <c r="E116" s="21" t="s">
        <v>985</v>
      </c>
      <c r="F116" s="27"/>
      <c r="G116" s="24" t="s">
        <v>18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22.5" customHeight="1">
      <c r="A117" s="23">
        <v>115.0</v>
      </c>
      <c r="B117" s="32">
        <v>71.0</v>
      </c>
      <c r="C117" s="21" t="s">
        <v>865</v>
      </c>
      <c r="D117" s="21" t="s">
        <v>907</v>
      </c>
      <c r="E117" s="21" t="s">
        <v>866</v>
      </c>
      <c r="F117" s="27"/>
      <c r="G117" s="27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22.5" customHeight="1">
      <c r="A118" s="23">
        <v>116.0</v>
      </c>
      <c r="B118" s="32">
        <v>71.0</v>
      </c>
      <c r="C118" s="21" t="s">
        <v>1025</v>
      </c>
      <c r="D118" s="21" t="s">
        <v>1026</v>
      </c>
      <c r="E118" s="21" t="s">
        <v>1027</v>
      </c>
      <c r="F118" s="27"/>
      <c r="G118" s="27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22.5" customHeight="1">
      <c r="A119" s="23">
        <v>117.0</v>
      </c>
      <c r="B119" s="32">
        <v>71.0</v>
      </c>
      <c r="C119" s="21" t="s">
        <v>1016</v>
      </c>
      <c r="D119" s="21" t="s">
        <v>1017</v>
      </c>
      <c r="E119" s="21" t="s">
        <v>1018</v>
      </c>
      <c r="F119" s="27"/>
      <c r="G119" s="27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22.5" customHeight="1">
      <c r="A120" s="23">
        <v>118.0</v>
      </c>
      <c r="B120" s="32">
        <v>70.0</v>
      </c>
      <c r="C120" s="21" t="s">
        <v>413</v>
      </c>
      <c r="D120" s="21" t="s">
        <v>414</v>
      </c>
      <c r="E120" s="21" t="s">
        <v>1048</v>
      </c>
      <c r="F120" s="27"/>
      <c r="G120" s="24" t="s">
        <v>18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22.5" customHeight="1">
      <c r="A121" s="23">
        <v>119.0</v>
      </c>
      <c r="B121" s="32">
        <v>70.0</v>
      </c>
      <c r="C121" s="21" t="s">
        <v>1049</v>
      </c>
      <c r="D121" s="21" t="s">
        <v>1050</v>
      </c>
      <c r="E121" s="21" t="s">
        <v>1049</v>
      </c>
      <c r="F121" s="27"/>
      <c r="G121" s="24" t="s">
        <v>18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22.5" customHeight="1">
      <c r="A122" s="23">
        <v>120.0</v>
      </c>
      <c r="B122" s="32">
        <v>70.0</v>
      </c>
      <c r="C122" s="21" t="s">
        <v>839</v>
      </c>
      <c r="D122" s="21" t="s">
        <v>840</v>
      </c>
      <c r="E122" s="21" t="s">
        <v>1051</v>
      </c>
      <c r="F122" s="27"/>
      <c r="G122" s="24" t="s">
        <v>18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22.5" customHeight="1">
      <c r="A123" s="23">
        <v>121.0</v>
      </c>
      <c r="B123" s="32">
        <v>69.0</v>
      </c>
      <c r="C123" s="21" t="s">
        <v>1028</v>
      </c>
      <c r="D123" s="21" t="s">
        <v>1052</v>
      </c>
      <c r="E123" s="21" t="s">
        <v>1030</v>
      </c>
      <c r="F123" s="27"/>
      <c r="G123" s="27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22.5" customHeight="1">
      <c r="A124" s="23">
        <v>122.0</v>
      </c>
      <c r="B124" s="32">
        <v>69.0</v>
      </c>
      <c r="C124" s="21" t="s">
        <v>1036</v>
      </c>
      <c r="D124" s="21" t="s">
        <v>1037</v>
      </c>
      <c r="E124" s="21" t="s">
        <v>1038</v>
      </c>
      <c r="F124" s="27"/>
      <c r="G124" s="24" t="s">
        <v>18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22.5" customHeight="1">
      <c r="A125" s="23">
        <v>123.0</v>
      </c>
      <c r="B125" s="32">
        <v>69.0</v>
      </c>
      <c r="C125" s="21" t="s">
        <v>1053</v>
      </c>
      <c r="D125" s="21" t="s">
        <v>1054</v>
      </c>
      <c r="E125" s="21" t="s">
        <v>1055</v>
      </c>
      <c r="F125" s="27"/>
      <c r="G125" s="24" t="s">
        <v>18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22.5" customHeight="1">
      <c r="A126" s="23">
        <v>124.0</v>
      </c>
      <c r="B126" s="32">
        <v>68.0</v>
      </c>
      <c r="C126" s="21" t="s">
        <v>911</v>
      </c>
      <c r="D126" s="21" t="s">
        <v>912</v>
      </c>
      <c r="E126" s="21" t="s">
        <v>913</v>
      </c>
      <c r="F126" s="27"/>
      <c r="G126" s="27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22.5" customHeight="1">
      <c r="A127" s="23">
        <v>125.0</v>
      </c>
      <c r="B127" s="32">
        <v>68.0</v>
      </c>
      <c r="C127" s="21" t="s">
        <v>938</v>
      </c>
      <c r="D127" s="21" t="s">
        <v>939</v>
      </c>
      <c r="E127" s="21" t="s">
        <v>940</v>
      </c>
      <c r="F127" s="27"/>
      <c r="G127" s="24" t="s">
        <v>18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22.5" customHeight="1">
      <c r="A128" s="23">
        <v>126.0</v>
      </c>
      <c r="B128" s="32">
        <v>68.0</v>
      </c>
      <c r="C128" s="21" t="s">
        <v>979</v>
      </c>
      <c r="D128" s="21" t="s">
        <v>980</v>
      </c>
      <c r="E128" s="21" t="s">
        <v>981</v>
      </c>
      <c r="F128" s="27"/>
      <c r="G128" s="24" t="s">
        <v>18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22.5" customHeight="1">
      <c r="A129" s="23">
        <v>127.0</v>
      </c>
      <c r="B129" s="32">
        <v>67.0</v>
      </c>
      <c r="C129" s="21" t="s">
        <v>644</v>
      </c>
      <c r="D129" s="21" t="s">
        <v>645</v>
      </c>
      <c r="E129" s="21" t="s">
        <v>899</v>
      </c>
      <c r="F129" s="27"/>
      <c r="G129" s="27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22.5" customHeight="1">
      <c r="A130" s="23">
        <v>128.0</v>
      </c>
      <c r="B130" s="32">
        <v>67.0</v>
      </c>
      <c r="C130" s="21" t="s">
        <v>911</v>
      </c>
      <c r="D130" s="21" t="s">
        <v>912</v>
      </c>
      <c r="E130" s="21" t="s">
        <v>913</v>
      </c>
      <c r="F130" s="27"/>
      <c r="G130" s="27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22.5" customHeight="1">
      <c r="A131" s="23">
        <v>129.0</v>
      </c>
      <c r="B131" s="32">
        <v>67.0</v>
      </c>
      <c r="C131" s="21" t="s">
        <v>411</v>
      </c>
      <c r="D131" s="21" t="s">
        <v>1056</v>
      </c>
      <c r="E131" s="21" t="s">
        <v>914</v>
      </c>
      <c r="F131" s="27"/>
      <c r="G131" s="27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22.5" customHeight="1">
      <c r="A132" s="23">
        <v>130.0</v>
      </c>
      <c r="B132" s="32">
        <v>66.0</v>
      </c>
      <c r="C132" s="21" t="s">
        <v>967</v>
      </c>
      <c r="D132" s="21" t="s">
        <v>1057</v>
      </c>
      <c r="E132" s="21" t="s">
        <v>1058</v>
      </c>
      <c r="F132" s="27"/>
      <c r="G132" s="27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22.5" customHeight="1">
      <c r="A133" s="23">
        <v>131.0</v>
      </c>
      <c r="B133" s="32">
        <v>66.0</v>
      </c>
      <c r="C133" s="21" t="s">
        <v>970</v>
      </c>
      <c r="D133" s="21" t="s">
        <v>971</v>
      </c>
      <c r="E133" s="21" t="s">
        <v>972</v>
      </c>
      <c r="F133" s="27"/>
      <c r="G133" s="27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22.5" customHeight="1">
      <c r="A134" s="23">
        <v>132.0</v>
      </c>
      <c r="B134" s="32">
        <v>66.0</v>
      </c>
      <c r="C134" s="21" t="s">
        <v>586</v>
      </c>
      <c r="D134" s="21" t="s">
        <v>587</v>
      </c>
      <c r="E134" s="21" t="s">
        <v>898</v>
      </c>
      <c r="F134" s="27"/>
      <c r="G134" s="27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22.5" customHeight="1">
      <c r="A135" s="23">
        <v>133.0</v>
      </c>
      <c r="B135" s="32">
        <v>65.0</v>
      </c>
      <c r="C135" s="21" t="s">
        <v>901</v>
      </c>
      <c r="D135" s="21" t="s">
        <v>1059</v>
      </c>
      <c r="E135" s="21" t="s">
        <v>903</v>
      </c>
      <c r="F135" s="27"/>
      <c r="G135" s="27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22.5" customHeight="1">
      <c r="A136" s="23">
        <v>134.0</v>
      </c>
      <c r="B136" s="32">
        <v>65.0</v>
      </c>
      <c r="C136" s="21" t="s">
        <v>1016</v>
      </c>
      <c r="D136" s="21" t="s">
        <v>1017</v>
      </c>
      <c r="E136" s="21" t="s">
        <v>1018</v>
      </c>
      <c r="F136" s="27"/>
      <c r="G136" s="27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22.5" customHeight="1">
      <c r="A137" s="23">
        <v>135.0</v>
      </c>
      <c r="B137" s="32">
        <v>65.0</v>
      </c>
      <c r="C137" s="21" t="s">
        <v>861</v>
      </c>
      <c r="D137" s="21" t="s">
        <v>900</v>
      </c>
      <c r="E137" s="21" t="s">
        <v>862</v>
      </c>
      <c r="F137" s="27"/>
      <c r="G137" s="2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22.5" customHeight="1">
      <c r="A138" s="23">
        <v>136.0</v>
      </c>
      <c r="B138" s="32">
        <v>64.0</v>
      </c>
      <c r="C138" s="21" t="s">
        <v>1060</v>
      </c>
      <c r="D138" s="21" t="s">
        <v>1061</v>
      </c>
      <c r="E138" s="21" t="s">
        <v>1062</v>
      </c>
      <c r="F138" s="27"/>
      <c r="G138" s="27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22.5" customHeight="1">
      <c r="A139" s="23">
        <v>137.0</v>
      </c>
      <c r="B139" s="32">
        <v>64.0</v>
      </c>
      <c r="C139" s="21" t="s">
        <v>894</v>
      </c>
      <c r="D139" s="21" t="s">
        <v>895</v>
      </c>
      <c r="E139" s="21" t="s">
        <v>896</v>
      </c>
      <c r="F139" s="27"/>
      <c r="G139" s="27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22.5" customHeight="1">
      <c r="A140" s="23">
        <v>138.0</v>
      </c>
      <c r="B140" s="32">
        <v>64.0</v>
      </c>
      <c r="C140" s="21" t="s">
        <v>644</v>
      </c>
      <c r="D140" s="21" t="s">
        <v>645</v>
      </c>
      <c r="E140" s="21" t="s">
        <v>899</v>
      </c>
      <c r="F140" s="27"/>
      <c r="G140" s="27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22.5" customHeight="1">
      <c r="A141" s="23">
        <v>139.0</v>
      </c>
      <c r="B141" s="32">
        <v>63.0</v>
      </c>
      <c r="C141" s="21" t="s">
        <v>865</v>
      </c>
      <c r="D141" s="21" t="s">
        <v>907</v>
      </c>
      <c r="E141" s="21" t="s">
        <v>866</v>
      </c>
      <c r="F141" s="27"/>
      <c r="G141" s="27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22.5" customHeight="1">
      <c r="A142" s="23">
        <v>140.0</v>
      </c>
      <c r="B142" s="32">
        <v>63.0</v>
      </c>
      <c r="C142" s="21" t="s">
        <v>1063</v>
      </c>
      <c r="D142" s="21" t="s">
        <v>1064</v>
      </c>
      <c r="E142" s="21" t="s">
        <v>1065</v>
      </c>
      <c r="F142" s="27"/>
      <c r="G142" s="24" t="s">
        <v>18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22.5" customHeight="1">
      <c r="A143" s="23">
        <v>141.0</v>
      </c>
      <c r="B143" s="32">
        <v>63.0</v>
      </c>
      <c r="C143" s="21" t="s">
        <v>1066</v>
      </c>
      <c r="D143" s="21" t="s">
        <v>1067</v>
      </c>
      <c r="E143" s="21" t="s">
        <v>1066</v>
      </c>
      <c r="F143" s="27"/>
      <c r="G143" s="24" t="s">
        <v>18</v>
      </c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22.5" customHeight="1">
      <c r="A144" s="23">
        <v>142.0</v>
      </c>
      <c r="B144" s="32">
        <v>62.0</v>
      </c>
      <c r="C144" s="21" t="s">
        <v>941</v>
      </c>
      <c r="D144" s="21" t="s">
        <v>1068</v>
      </c>
      <c r="E144" s="21" t="s">
        <v>943</v>
      </c>
      <c r="F144" s="27"/>
      <c r="G144" s="27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22.5" customHeight="1">
      <c r="A145" s="23">
        <v>143.0</v>
      </c>
      <c r="B145" s="32">
        <v>62.0</v>
      </c>
      <c r="C145" s="21" t="s">
        <v>989</v>
      </c>
      <c r="D145" s="21" t="s">
        <v>1069</v>
      </c>
      <c r="E145" s="21" t="s">
        <v>991</v>
      </c>
      <c r="F145" s="27"/>
      <c r="G145" s="24" t="s">
        <v>18</v>
      </c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22.5" customHeight="1">
      <c r="A146" s="23">
        <v>144.0</v>
      </c>
      <c r="B146" s="32">
        <v>62.0</v>
      </c>
      <c r="C146" s="21" t="s">
        <v>944</v>
      </c>
      <c r="D146" s="21" t="s">
        <v>945</v>
      </c>
      <c r="E146" s="21" t="s">
        <v>946</v>
      </c>
      <c r="F146" s="27"/>
      <c r="G146" s="27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22.5" customHeight="1">
      <c r="A147" s="23">
        <v>145.0</v>
      </c>
      <c r="B147" s="32">
        <v>61.0</v>
      </c>
      <c r="C147" s="21" t="s">
        <v>870</v>
      </c>
      <c r="D147" s="21" t="s">
        <v>915</v>
      </c>
      <c r="E147" s="21" t="s">
        <v>871</v>
      </c>
      <c r="F147" s="27"/>
      <c r="G147" s="24" t="s">
        <v>18</v>
      </c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22.5" customHeight="1">
      <c r="A148" s="23">
        <v>146.0</v>
      </c>
      <c r="B148" s="32">
        <v>61.0</v>
      </c>
      <c r="C148" s="21" t="s">
        <v>876</v>
      </c>
      <c r="D148" s="21" t="s">
        <v>877</v>
      </c>
      <c r="E148" s="21" t="s">
        <v>878</v>
      </c>
      <c r="F148" s="27"/>
      <c r="G148" s="27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22.5" customHeight="1">
      <c r="A149" s="23">
        <v>147.0</v>
      </c>
      <c r="B149" s="32">
        <v>61.0</v>
      </c>
      <c r="C149" s="21" t="s">
        <v>861</v>
      </c>
      <c r="D149" s="21" t="s">
        <v>900</v>
      </c>
      <c r="E149" s="21" t="s">
        <v>862</v>
      </c>
      <c r="F149" s="27"/>
      <c r="G149" s="27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22.5" customHeight="1">
      <c r="A150" s="23">
        <v>148.0</v>
      </c>
      <c r="B150" s="32">
        <v>60.0</v>
      </c>
      <c r="C150" s="21" t="s">
        <v>1012</v>
      </c>
      <c r="D150" s="21" t="s">
        <v>1013</v>
      </c>
      <c r="E150" s="21" t="s">
        <v>1014</v>
      </c>
      <c r="F150" s="27"/>
      <c r="G150" s="24" t="s">
        <v>18</v>
      </c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22.5" customHeight="1">
      <c r="A151" s="23">
        <v>149.0</v>
      </c>
      <c r="B151" s="32">
        <v>60.0</v>
      </c>
      <c r="C151" s="21" t="s">
        <v>586</v>
      </c>
      <c r="D151" s="21" t="s">
        <v>587</v>
      </c>
      <c r="E151" s="21" t="s">
        <v>898</v>
      </c>
      <c r="F151" s="27"/>
      <c r="G151" s="27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22.5" customHeight="1">
      <c r="A152" s="23">
        <v>150.0</v>
      </c>
      <c r="B152" s="32">
        <v>60.0</v>
      </c>
      <c r="C152" s="21" t="s">
        <v>983</v>
      </c>
      <c r="D152" s="21" t="s">
        <v>984</v>
      </c>
      <c r="E152" s="21" t="s">
        <v>985</v>
      </c>
      <c r="F152" s="27"/>
      <c r="G152" s="27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22.5" customHeight="1">
      <c r="A153" s="23">
        <v>151.0</v>
      </c>
      <c r="B153" s="32">
        <v>59.0</v>
      </c>
      <c r="C153" s="21" t="s">
        <v>861</v>
      </c>
      <c r="D153" s="21" t="s">
        <v>900</v>
      </c>
      <c r="E153" s="21" t="s">
        <v>862</v>
      </c>
      <c r="F153" s="27"/>
      <c r="G153" s="27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22.5" customHeight="1">
      <c r="A154" s="23">
        <v>152.0</v>
      </c>
      <c r="B154" s="32">
        <v>59.0</v>
      </c>
      <c r="C154" s="21" t="s">
        <v>659</v>
      </c>
      <c r="D154" s="21" t="s">
        <v>660</v>
      </c>
      <c r="E154" s="21" t="s">
        <v>1015</v>
      </c>
      <c r="F154" s="27"/>
      <c r="G154" s="27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22.5" customHeight="1">
      <c r="A155" s="23">
        <v>153.0</v>
      </c>
      <c r="B155" s="32">
        <v>59.0</v>
      </c>
      <c r="C155" s="21" t="s">
        <v>1070</v>
      </c>
      <c r="D155" s="21" t="s">
        <v>1071</v>
      </c>
      <c r="E155" s="21" t="s">
        <v>1072</v>
      </c>
      <c r="F155" s="27"/>
      <c r="G155" s="24" t="s">
        <v>18</v>
      </c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22.5" customHeight="1">
      <c r="A156" s="23">
        <v>154.0</v>
      </c>
      <c r="B156" s="32">
        <v>58.0</v>
      </c>
      <c r="C156" s="21" t="s">
        <v>1073</v>
      </c>
      <c r="D156" s="21" t="s">
        <v>1074</v>
      </c>
      <c r="E156" s="21" t="s">
        <v>1075</v>
      </c>
      <c r="F156" s="27"/>
      <c r="G156" s="24" t="s">
        <v>18</v>
      </c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22.5" customHeight="1">
      <c r="A157" s="23">
        <v>155.0</v>
      </c>
      <c r="B157" s="32">
        <v>58.0</v>
      </c>
      <c r="C157" s="21" t="s">
        <v>873</v>
      </c>
      <c r="D157" s="21" t="s">
        <v>1076</v>
      </c>
      <c r="E157" s="21" t="s">
        <v>874</v>
      </c>
      <c r="F157" s="27"/>
      <c r="G157" s="27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22.5" customHeight="1">
      <c r="A158" s="23">
        <v>156.0</v>
      </c>
      <c r="B158" s="32">
        <v>58.0</v>
      </c>
      <c r="C158" s="21" t="s">
        <v>1077</v>
      </c>
      <c r="D158" s="21" t="s">
        <v>96</v>
      </c>
      <c r="E158" s="21" t="s">
        <v>95</v>
      </c>
      <c r="F158" s="27"/>
      <c r="G158" s="24" t="s">
        <v>18</v>
      </c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22.5" customHeight="1">
      <c r="A159" s="23">
        <v>157.0</v>
      </c>
      <c r="B159" s="32">
        <v>57.0</v>
      </c>
      <c r="C159" s="21" t="s">
        <v>911</v>
      </c>
      <c r="D159" s="21" t="s">
        <v>912</v>
      </c>
      <c r="E159" s="21" t="s">
        <v>913</v>
      </c>
      <c r="F159" s="27"/>
      <c r="G159" s="27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22.5" customHeight="1">
      <c r="A160" s="23">
        <v>158.0</v>
      </c>
      <c r="B160" s="32">
        <v>57.0</v>
      </c>
      <c r="C160" s="21" t="s">
        <v>586</v>
      </c>
      <c r="D160" s="21" t="s">
        <v>587</v>
      </c>
      <c r="E160" s="21" t="s">
        <v>898</v>
      </c>
      <c r="F160" s="27"/>
      <c r="G160" s="24" t="s">
        <v>18</v>
      </c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22.5" customHeight="1">
      <c r="A161" s="23">
        <v>159.0</v>
      </c>
      <c r="B161" s="32">
        <v>57.0</v>
      </c>
      <c r="C161" s="21" t="s">
        <v>873</v>
      </c>
      <c r="D161" s="21" t="s">
        <v>1076</v>
      </c>
      <c r="E161" s="21" t="s">
        <v>874</v>
      </c>
      <c r="F161" s="27"/>
      <c r="G161" s="27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22.5" customHeight="1">
      <c r="A162" s="23">
        <v>160.0</v>
      </c>
      <c r="B162" s="32">
        <v>56.0</v>
      </c>
      <c r="C162" s="21" t="s">
        <v>922</v>
      </c>
      <c r="D162" s="21" t="s">
        <v>923</v>
      </c>
      <c r="E162" s="21" t="s">
        <v>924</v>
      </c>
      <c r="F162" s="27"/>
      <c r="G162" s="27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22.5" customHeight="1">
      <c r="A163" s="23">
        <v>161.0</v>
      </c>
      <c r="B163" s="32">
        <v>56.0</v>
      </c>
      <c r="C163" s="21" t="s">
        <v>935</v>
      </c>
      <c r="D163" s="21" t="s">
        <v>936</v>
      </c>
      <c r="E163" s="21" t="s">
        <v>937</v>
      </c>
      <c r="F163" s="27"/>
      <c r="G163" s="27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22.5" customHeight="1">
      <c r="A164" s="23">
        <v>162.0</v>
      </c>
      <c r="B164" s="32">
        <v>56.0</v>
      </c>
      <c r="C164" s="21" t="s">
        <v>1078</v>
      </c>
      <c r="D164" s="21" t="s">
        <v>1079</v>
      </c>
      <c r="E164" s="21" t="s">
        <v>1080</v>
      </c>
      <c r="F164" s="27"/>
      <c r="G164" s="24" t="s">
        <v>18</v>
      </c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22.5" customHeight="1">
      <c r="A165" s="23">
        <v>163.0</v>
      </c>
      <c r="B165" s="32">
        <v>55.0</v>
      </c>
      <c r="C165" s="21" t="s">
        <v>1081</v>
      </c>
      <c r="D165" s="21" t="s">
        <v>1082</v>
      </c>
      <c r="E165" s="21" t="s">
        <v>1083</v>
      </c>
      <c r="F165" s="27"/>
      <c r="G165" s="24" t="s">
        <v>18</v>
      </c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22.5" customHeight="1">
      <c r="A166" s="23">
        <v>164.0</v>
      </c>
      <c r="B166" s="32">
        <v>55.0</v>
      </c>
      <c r="C166" s="21" t="s">
        <v>644</v>
      </c>
      <c r="D166" s="21" t="s">
        <v>645</v>
      </c>
      <c r="E166" s="21" t="s">
        <v>899</v>
      </c>
      <c r="F166" s="27"/>
      <c r="G166" s="27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22.5" customHeight="1">
      <c r="A167" s="23">
        <v>165.0</v>
      </c>
      <c r="B167" s="32">
        <v>55.0</v>
      </c>
      <c r="C167" s="21" t="s">
        <v>1084</v>
      </c>
      <c r="D167" s="21" t="s">
        <v>1085</v>
      </c>
      <c r="E167" s="21" t="s">
        <v>1086</v>
      </c>
      <c r="F167" s="27"/>
      <c r="G167" s="24" t="s">
        <v>18</v>
      </c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22.5" customHeight="1">
      <c r="A168" s="23">
        <v>166.0</v>
      </c>
      <c r="B168" s="32">
        <v>54.0</v>
      </c>
      <c r="C168" s="21" t="s">
        <v>950</v>
      </c>
      <c r="D168" s="21" t="s">
        <v>951</v>
      </c>
      <c r="E168" s="21" t="s">
        <v>952</v>
      </c>
      <c r="F168" s="27"/>
      <c r="G168" s="27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22.5" customHeight="1">
      <c r="A169" s="23">
        <v>167.0</v>
      </c>
      <c r="B169" s="32">
        <v>54.0</v>
      </c>
      <c r="C169" s="21" t="s">
        <v>659</v>
      </c>
      <c r="D169" s="21" t="s">
        <v>660</v>
      </c>
      <c r="E169" s="21" t="s">
        <v>1015</v>
      </c>
      <c r="F169" s="27"/>
      <c r="G169" s="27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22.5" customHeight="1">
      <c r="A170" s="23">
        <v>168.0</v>
      </c>
      <c r="B170" s="32">
        <v>54.0</v>
      </c>
      <c r="C170" s="21" t="s">
        <v>901</v>
      </c>
      <c r="D170" s="21" t="s">
        <v>1059</v>
      </c>
      <c r="E170" s="21" t="s">
        <v>903</v>
      </c>
      <c r="F170" s="27"/>
      <c r="G170" s="27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22.5" customHeight="1">
      <c r="A171" s="23">
        <v>169.0</v>
      </c>
      <c r="B171" s="32">
        <v>53.0</v>
      </c>
      <c r="C171" s="21" t="s">
        <v>865</v>
      </c>
      <c r="D171" s="21" t="s">
        <v>907</v>
      </c>
      <c r="E171" s="21" t="s">
        <v>866</v>
      </c>
      <c r="F171" s="27"/>
      <c r="G171" s="27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22.5" customHeight="1">
      <c r="A172" s="23">
        <v>170.0</v>
      </c>
      <c r="B172" s="32">
        <v>53.0</v>
      </c>
      <c r="C172" s="21" t="s">
        <v>983</v>
      </c>
      <c r="D172" s="21" t="s">
        <v>984</v>
      </c>
      <c r="E172" s="21" t="s">
        <v>985</v>
      </c>
      <c r="F172" s="27"/>
      <c r="G172" s="27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22.5" customHeight="1">
      <c r="A173" s="23">
        <v>171.0</v>
      </c>
      <c r="B173" s="32">
        <v>53.0</v>
      </c>
      <c r="C173" s="21" t="s">
        <v>894</v>
      </c>
      <c r="D173" s="21" t="s">
        <v>895</v>
      </c>
      <c r="E173" s="21" t="s">
        <v>896</v>
      </c>
      <c r="F173" s="27"/>
      <c r="G173" s="27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22.5" customHeight="1">
      <c r="A174" s="23">
        <v>172.0</v>
      </c>
      <c r="B174" s="32">
        <v>52.0</v>
      </c>
      <c r="C174" s="21" t="s">
        <v>1087</v>
      </c>
      <c r="D174" s="21" t="s">
        <v>1088</v>
      </c>
      <c r="E174" s="21" t="s">
        <v>1089</v>
      </c>
      <c r="F174" s="27"/>
      <c r="G174" s="24" t="s">
        <v>18</v>
      </c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22.5" customHeight="1">
      <c r="A175" s="23">
        <v>173.0</v>
      </c>
      <c r="B175" s="32">
        <v>52.0</v>
      </c>
      <c r="C175" s="21" t="s">
        <v>1060</v>
      </c>
      <c r="D175" s="21" t="s">
        <v>1061</v>
      </c>
      <c r="E175" s="21" t="s">
        <v>1062</v>
      </c>
      <c r="F175" s="27"/>
      <c r="G175" s="24" t="s">
        <v>18</v>
      </c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22.5" customHeight="1">
      <c r="A176" s="23">
        <v>174.0</v>
      </c>
      <c r="B176" s="32">
        <v>52.0</v>
      </c>
      <c r="C176" s="21" t="s">
        <v>1090</v>
      </c>
      <c r="D176" s="21" t="s">
        <v>1091</v>
      </c>
      <c r="E176" s="21" t="s">
        <v>1092</v>
      </c>
      <c r="F176" s="27"/>
      <c r="G176" s="24" t="s">
        <v>18</v>
      </c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22.5" customHeight="1">
      <c r="A177" s="23">
        <v>175.0</v>
      </c>
      <c r="B177" s="32">
        <v>51.0</v>
      </c>
      <c r="C177" s="21" t="s">
        <v>957</v>
      </c>
      <c r="D177" s="21" t="s">
        <v>958</v>
      </c>
      <c r="E177" s="21" t="s">
        <v>959</v>
      </c>
      <c r="F177" s="27"/>
      <c r="G177" s="27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22.5" customHeight="1">
      <c r="A178" s="23">
        <v>176.0</v>
      </c>
      <c r="B178" s="32">
        <v>51.0</v>
      </c>
      <c r="C178" s="21" t="s">
        <v>1093</v>
      </c>
      <c r="D178" s="21" t="s">
        <v>1094</v>
      </c>
      <c r="E178" s="21" t="s">
        <v>1095</v>
      </c>
      <c r="F178" s="27"/>
      <c r="G178" s="24" t="s">
        <v>18</v>
      </c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22.5" customHeight="1">
      <c r="A179" s="23">
        <v>177.0</v>
      </c>
      <c r="B179" s="32">
        <v>51.0</v>
      </c>
      <c r="C179" s="21" t="s">
        <v>1096</v>
      </c>
      <c r="D179" s="21" t="s">
        <v>1097</v>
      </c>
      <c r="E179" s="21" t="s">
        <v>1098</v>
      </c>
      <c r="F179" s="27"/>
      <c r="G179" s="24" t="s">
        <v>18</v>
      </c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22.5" customHeight="1">
      <c r="A180" s="23">
        <v>178.0</v>
      </c>
      <c r="B180" s="32">
        <v>50.0</v>
      </c>
      <c r="C180" s="21" t="s">
        <v>935</v>
      </c>
      <c r="D180" s="21" t="s">
        <v>936</v>
      </c>
      <c r="E180" s="21" t="s">
        <v>937</v>
      </c>
      <c r="F180" s="27"/>
      <c r="G180" s="27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22.5" customHeight="1">
      <c r="A181" s="23">
        <v>179.0</v>
      </c>
      <c r="B181" s="32">
        <v>50.0</v>
      </c>
      <c r="C181" s="21" t="s">
        <v>659</v>
      </c>
      <c r="D181" s="21" t="s">
        <v>660</v>
      </c>
      <c r="E181" s="21" t="s">
        <v>1015</v>
      </c>
      <c r="F181" s="27"/>
      <c r="G181" s="27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22.5" customHeight="1">
      <c r="A182" s="23">
        <v>180.0</v>
      </c>
      <c r="B182" s="32">
        <v>50.0</v>
      </c>
      <c r="C182" s="21" t="s">
        <v>922</v>
      </c>
      <c r="D182" s="21" t="s">
        <v>923</v>
      </c>
      <c r="E182" s="21" t="s">
        <v>924</v>
      </c>
      <c r="F182" s="27"/>
      <c r="G182" s="27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22.5" customHeight="1">
      <c r="A183" s="23">
        <v>181.0</v>
      </c>
      <c r="B183" s="32">
        <v>49.0</v>
      </c>
      <c r="C183" s="21" t="s">
        <v>644</v>
      </c>
      <c r="D183" s="21" t="s">
        <v>645</v>
      </c>
      <c r="E183" s="21" t="s">
        <v>899</v>
      </c>
      <c r="F183" s="27"/>
      <c r="G183" s="27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22.5" customHeight="1">
      <c r="A184" s="23">
        <v>182.0</v>
      </c>
      <c r="B184" s="32">
        <v>49.0</v>
      </c>
      <c r="C184" s="21" t="s">
        <v>922</v>
      </c>
      <c r="D184" s="21" t="s">
        <v>923</v>
      </c>
      <c r="E184" s="21" t="s">
        <v>924</v>
      </c>
      <c r="F184" s="27"/>
      <c r="G184" s="27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22.5" customHeight="1">
      <c r="A185" s="23">
        <v>183.0</v>
      </c>
      <c r="B185" s="32">
        <v>49.0</v>
      </c>
      <c r="C185" s="21" t="s">
        <v>586</v>
      </c>
      <c r="D185" s="21" t="s">
        <v>587</v>
      </c>
      <c r="E185" s="21" t="s">
        <v>898</v>
      </c>
      <c r="F185" s="27"/>
      <c r="G185" s="27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22.5" customHeight="1">
      <c r="A186" s="23">
        <v>184.0</v>
      </c>
      <c r="B186" s="32">
        <v>48.0</v>
      </c>
      <c r="C186" s="21" t="s">
        <v>888</v>
      </c>
      <c r="D186" s="21" t="s">
        <v>889</v>
      </c>
      <c r="E186" s="21" t="s">
        <v>890</v>
      </c>
      <c r="F186" s="27"/>
      <c r="G186" s="24" t="s">
        <v>18</v>
      </c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22.5" customHeight="1">
      <c r="A187" s="23">
        <v>185.0</v>
      </c>
      <c r="B187" s="32">
        <v>48.0</v>
      </c>
      <c r="C187" s="21" t="s">
        <v>983</v>
      </c>
      <c r="D187" s="21" t="s">
        <v>984</v>
      </c>
      <c r="E187" s="21" t="s">
        <v>985</v>
      </c>
      <c r="F187" s="27"/>
      <c r="G187" s="27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22.5" customHeight="1">
      <c r="A188" s="23">
        <v>186.0</v>
      </c>
      <c r="B188" s="32">
        <v>48.0</v>
      </c>
      <c r="C188" s="21" t="s">
        <v>834</v>
      </c>
      <c r="D188" s="21" t="s">
        <v>835</v>
      </c>
      <c r="E188" s="21" t="s">
        <v>982</v>
      </c>
      <c r="F188" s="27"/>
      <c r="G188" s="27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22.5" customHeight="1">
      <c r="A189" s="23">
        <v>187.0</v>
      </c>
      <c r="B189" s="32">
        <v>47.0</v>
      </c>
      <c r="C189" s="21" t="s">
        <v>916</v>
      </c>
      <c r="D189" s="21" t="s">
        <v>917</v>
      </c>
      <c r="E189" s="21" t="s">
        <v>918</v>
      </c>
      <c r="F189" s="27"/>
      <c r="G189" s="27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22.5" customHeight="1">
      <c r="A190" s="23">
        <v>188.0</v>
      </c>
      <c r="B190" s="32">
        <v>47.0</v>
      </c>
      <c r="C190" s="21" t="s">
        <v>644</v>
      </c>
      <c r="D190" s="21" t="s">
        <v>645</v>
      </c>
      <c r="E190" s="21" t="s">
        <v>899</v>
      </c>
      <c r="F190" s="27"/>
      <c r="G190" s="24" t="s">
        <v>18</v>
      </c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22.5" customHeight="1">
      <c r="A191" s="23">
        <v>189.0</v>
      </c>
      <c r="B191" s="32">
        <v>47.0</v>
      </c>
      <c r="C191" s="21" t="s">
        <v>861</v>
      </c>
      <c r="D191" s="21" t="s">
        <v>900</v>
      </c>
      <c r="E191" s="21" t="s">
        <v>862</v>
      </c>
      <c r="F191" s="27"/>
      <c r="G191" s="27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22.5" customHeight="1">
      <c r="A192" s="23">
        <v>190.0</v>
      </c>
      <c r="B192" s="32">
        <v>47.0</v>
      </c>
      <c r="C192" s="21" t="s">
        <v>1099</v>
      </c>
      <c r="D192" s="21" t="s">
        <v>1100</v>
      </c>
      <c r="E192" s="21" t="s">
        <v>1101</v>
      </c>
      <c r="F192" s="27"/>
      <c r="G192" s="24" t="s">
        <v>18</v>
      </c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22.5" customHeight="1">
      <c r="A193" s="23">
        <v>191.0</v>
      </c>
      <c r="B193" s="32">
        <v>47.0</v>
      </c>
      <c r="C193" s="21" t="s">
        <v>882</v>
      </c>
      <c r="D193" s="21" t="s">
        <v>883</v>
      </c>
      <c r="E193" s="21" t="s">
        <v>882</v>
      </c>
      <c r="F193" s="27"/>
      <c r="G193" s="27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22.5" customHeight="1">
      <c r="A194" s="23">
        <v>192.0</v>
      </c>
      <c r="B194" s="32">
        <v>46.0</v>
      </c>
      <c r="C194" s="21" t="s">
        <v>642</v>
      </c>
      <c r="D194" s="21" t="s">
        <v>643</v>
      </c>
      <c r="E194" s="21" t="s">
        <v>960</v>
      </c>
      <c r="F194" s="27"/>
      <c r="G194" s="27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22.5" customHeight="1">
      <c r="A195" s="23">
        <v>193.0</v>
      </c>
      <c r="B195" s="32">
        <v>46.0</v>
      </c>
      <c r="C195" s="21" t="s">
        <v>928</v>
      </c>
      <c r="D195" s="21" t="s">
        <v>929</v>
      </c>
      <c r="E195" s="21" t="s">
        <v>930</v>
      </c>
      <c r="F195" s="27"/>
      <c r="G195" s="27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22.5" customHeight="1">
      <c r="A196" s="23">
        <v>194.0</v>
      </c>
      <c r="B196" s="32">
        <v>46.0</v>
      </c>
      <c r="C196" s="21" t="s">
        <v>1102</v>
      </c>
      <c r="D196" s="21" t="s">
        <v>1103</v>
      </c>
      <c r="E196" s="21" t="s">
        <v>1102</v>
      </c>
      <c r="F196" s="27"/>
      <c r="G196" s="24" t="s">
        <v>18</v>
      </c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22.5" customHeight="1">
      <c r="A197" s="23">
        <v>195.0</v>
      </c>
      <c r="B197" s="32">
        <v>46.0</v>
      </c>
      <c r="C197" s="21" t="s">
        <v>973</v>
      </c>
      <c r="D197" s="21" t="s">
        <v>974</v>
      </c>
      <c r="E197" s="21" t="s">
        <v>975</v>
      </c>
      <c r="F197" s="27"/>
      <c r="G197" s="27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22.5" customHeight="1">
      <c r="A198" s="23">
        <v>196.0</v>
      </c>
      <c r="B198" s="32">
        <v>46.0</v>
      </c>
      <c r="C198" s="21" t="s">
        <v>1003</v>
      </c>
      <c r="D198" s="21" t="s">
        <v>1104</v>
      </c>
      <c r="E198" s="21" t="s">
        <v>1005</v>
      </c>
      <c r="F198" s="27"/>
      <c r="G198" s="27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22.5" customHeight="1">
      <c r="A199" s="23">
        <v>197.0</v>
      </c>
      <c r="B199" s="32">
        <v>45.0</v>
      </c>
      <c r="C199" s="21" t="s">
        <v>1105</v>
      </c>
      <c r="D199" s="21" t="s">
        <v>1106</v>
      </c>
      <c r="E199" s="21" t="s">
        <v>1107</v>
      </c>
      <c r="F199" s="27"/>
      <c r="G199" s="24" t="s">
        <v>18</v>
      </c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22.5" customHeight="1">
      <c r="A200" s="23">
        <v>198.0</v>
      </c>
      <c r="B200" s="32">
        <v>45.0</v>
      </c>
      <c r="C200" s="21" t="s">
        <v>904</v>
      </c>
      <c r="D200" s="21" t="s">
        <v>905</v>
      </c>
      <c r="E200" s="21" t="s">
        <v>906</v>
      </c>
      <c r="F200" s="27"/>
      <c r="G200" s="27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22.5" customHeight="1">
      <c r="A201" s="23">
        <v>199.0</v>
      </c>
      <c r="B201" s="32">
        <v>45.0</v>
      </c>
      <c r="C201" s="21" t="s">
        <v>1063</v>
      </c>
      <c r="D201" s="21" t="s">
        <v>1064</v>
      </c>
      <c r="E201" s="21" t="s">
        <v>1108</v>
      </c>
      <c r="F201" s="27"/>
      <c r="G201" s="27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22.5" customHeight="1">
      <c r="A202" s="23">
        <v>200.0</v>
      </c>
      <c r="B202" s="32">
        <v>44.0</v>
      </c>
      <c r="C202" s="21" t="s">
        <v>1042</v>
      </c>
      <c r="D202" s="21" t="s">
        <v>1109</v>
      </c>
      <c r="E202" s="21" t="s">
        <v>1044</v>
      </c>
      <c r="F202" s="27"/>
      <c r="G202" s="27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22.5" customHeight="1">
      <c r="A203" s="23">
        <v>201.0</v>
      </c>
      <c r="B203" s="32">
        <v>44.0</v>
      </c>
      <c r="C203" s="21" t="s">
        <v>1025</v>
      </c>
      <c r="D203" s="21" t="s">
        <v>1026</v>
      </c>
      <c r="E203" s="21" t="s">
        <v>1027</v>
      </c>
      <c r="F203" s="27"/>
      <c r="G203" s="27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22.5" customHeight="1">
      <c r="A204" s="23">
        <v>202.0</v>
      </c>
      <c r="B204" s="32">
        <v>44.0</v>
      </c>
      <c r="C204" s="21" t="s">
        <v>1110</v>
      </c>
      <c r="D204" s="21" t="s">
        <v>1111</v>
      </c>
      <c r="E204" s="21" t="s">
        <v>1112</v>
      </c>
      <c r="F204" s="27"/>
      <c r="G204" s="24" t="s">
        <v>18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22.5" customHeight="1">
      <c r="A205" s="23">
        <v>203.0</v>
      </c>
      <c r="B205" s="32">
        <v>44.0</v>
      </c>
      <c r="C205" s="21" t="s">
        <v>1113</v>
      </c>
      <c r="D205" s="21" t="s">
        <v>1114</v>
      </c>
      <c r="E205" s="21" t="s">
        <v>1115</v>
      </c>
      <c r="F205" s="27"/>
      <c r="G205" s="24" t="s">
        <v>18</v>
      </c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22.5" customHeight="1">
      <c r="A206" s="23">
        <v>204.0</v>
      </c>
      <c r="B206" s="32">
        <v>44.0</v>
      </c>
      <c r="C206" s="21" t="s">
        <v>1116</v>
      </c>
      <c r="D206" s="21" t="s">
        <v>1117</v>
      </c>
      <c r="E206" s="21" t="s">
        <v>1118</v>
      </c>
      <c r="F206" s="27"/>
      <c r="G206" s="24" t="s">
        <v>18</v>
      </c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22.5" customHeight="1">
      <c r="A207" s="23">
        <v>205.0</v>
      </c>
      <c r="B207" s="32">
        <v>43.0</v>
      </c>
      <c r="C207" s="21" t="s">
        <v>43</v>
      </c>
      <c r="D207" s="21" t="s">
        <v>44</v>
      </c>
      <c r="E207" s="21" t="s">
        <v>1119</v>
      </c>
      <c r="F207" s="27"/>
      <c r="G207" s="24" t="s">
        <v>18</v>
      </c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22.5" customHeight="1">
      <c r="A208" s="23">
        <v>206.0</v>
      </c>
      <c r="B208" s="32">
        <v>43.0</v>
      </c>
      <c r="C208" s="21" t="s">
        <v>944</v>
      </c>
      <c r="D208" s="21" t="s">
        <v>945</v>
      </c>
      <c r="E208" s="21" t="s">
        <v>946</v>
      </c>
      <c r="F208" s="27"/>
      <c r="G208" s="27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22.5" customHeight="1">
      <c r="A209" s="23">
        <v>207.0</v>
      </c>
      <c r="B209" s="32">
        <v>43.0</v>
      </c>
      <c r="C209" s="21" t="s">
        <v>1120</v>
      </c>
      <c r="D209" s="21" t="s">
        <v>1121</v>
      </c>
      <c r="E209" s="21" t="s">
        <v>1122</v>
      </c>
      <c r="F209" s="27"/>
      <c r="G209" s="24" t="s">
        <v>18</v>
      </c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22.5" customHeight="1">
      <c r="A210" s="23">
        <v>208.0</v>
      </c>
      <c r="B210" s="32">
        <v>42.0</v>
      </c>
      <c r="C210" s="21" t="s">
        <v>1123</v>
      </c>
      <c r="D210" s="21" t="s">
        <v>1124</v>
      </c>
      <c r="E210" s="21" t="s">
        <v>1125</v>
      </c>
      <c r="F210" s="27"/>
      <c r="G210" s="24" t="s">
        <v>18</v>
      </c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22.5" customHeight="1">
      <c r="A211" s="23">
        <v>209.0</v>
      </c>
      <c r="B211" s="32">
        <v>42.0</v>
      </c>
      <c r="C211" s="21" t="s">
        <v>1113</v>
      </c>
      <c r="D211" s="21" t="s">
        <v>1114</v>
      </c>
      <c r="E211" s="21" t="s">
        <v>1115</v>
      </c>
      <c r="F211" s="27"/>
      <c r="G211" s="27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22.5" customHeight="1">
      <c r="A212" s="23">
        <v>210.0</v>
      </c>
      <c r="B212" s="32">
        <v>42.0</v>
      </c>
      <c r="C212" s="21" t="s">
        <v>983</v>
      </c>
      <c r="D212" s="21" t="s">
        <v>984</v>
      </c>
      <c r="E212" s="21" t="s">
        <v>985</v>
      </c>
      <c r="F212" s="27"/>
      <c r="G212" s="27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22.5" customHeight="1">
      <c r="A213" s="23">
        <v>211.0</v>
      </c>
      <c r="B213" s="32">
        <v>42.0</v>
      </c>
      <c r="C213" s="21" t="s">
        <v>904</v>
      </c>
      <c r="D213" s="21" t="s">
        <v>905</v>
      </c>
      <c r="E213" s="21" t="s">
        <v>906</v>
      </c>
      <c r="F213" s="27"/>
      <c r="G213" s="27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22.5" customHeight="1">
      <c r="A214" s="23">
        <v>212.0</v>
      </c>
      <c r="B214" s="32">
        <v>42.0</v>
      </c>
      <c r="C214" s="21" t="s">
        <v>43</v>
      </c>
      <c r="D214" s="21" t="s">
        <v>44</v>
      </c>
      <c r="E214" s="21" t="s">
        <v>1119</v>
      </c>
      <c r="F214" s="27"/>
      <c r="G214" s="27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22.5" customHeight="1">
      <c r="A215" s="23">
        <v>213.0</v>
      </c>
      <c r="B215" s="32">
        <v>41.0</v>
      </c>
      <c r="C215" s="21" t="s">
        <v>1126</v>
      </c>
      <c r="D215" s="21" t="s">
        <v>1127</v>
      </c>
      <c r="E215" s="21" t="s">
        <v>1128</v>
      </c>
      <c r="F215" s="27"/>
      <c r="G215" s="24" t="s">
        <v>18</v>
      </c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22.5" customHeight="1">
      <c r="A216" s="23">
        <v>214.0</v>
      </c>
      <c r="B216" s="32">
        <v>41.0</v>
      </c>
      <c r="C216" s="21" t="s">
        <v>1129</v>
      </c>
      <c r="D216" s="21" t="s">
        <v>1130</v>
      </c>
      <c r="E216" s="21" t="s">
        <v>1131</v>
      </c>
      <c r="F216" s="27"/>
      <c r="G216" s="24" t="s">
        <v>18</v>
      </c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22.5" customHeight="1">
      <c r="A217" s="23">
        <v>215.0</v>
      </c>
      <c r="B217" s="32">
        <v>41.0</v>
      </c>
      <c r="C217" s="21" t="s">
        <v>1078</v>
      </c>
      <c r="D217" s="21" t="s">
        <v>1079</v>
      </c>
      <c r="E217" s="21" t="s">
        <v>1080</v>
      </c>
      <c r="F217" s="27"/>
      <c r="G217" s="27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22.5" customHeight="1">
      <c r="A218" s="23">
        <v>216.0</v>
      </c>
      <c r="B218" s="32">
        <v>41.0</v>
      </c>
      <c r="C218" s="21" t="s">
        <v>1132</v>
      </c>
      <c r="D218" s="21" t="s">
        <v>1133</v>
      </c>
      <c r="E218" s="21" t="s">
        <v>1134</v>
      </c>
      <c r="F218" s="27"/>
      <c r="G218" s="24" t="s">
        <v>18</v>
      </c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22.5" customHeight="1">
      <c r="A219" s="23">
        <v>217.0</v>
      </c>
      <c r="B219" s="32">
        <v>41.0</v>
      </c>
      <c r="C219" s="21" t="s">
        <v>867</v>
      </c>
      <c r="D219" s="21" t="s">
        <v>1135</v>
      </c>
      <c r="E219" s="21" t="s">
        <v>868</v>
      </c>
      <c r="F219" s="27"/>
      <c r="G219" s="27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22.5" customHeight="1">
      <c r="A220" s="23">
        <v>218.0</v>
      </c>
      <c r="B220" s="32">
        <v>40.0</v>
      </c>
      <c r="C220" s="21" t="s">
        <v>1016</v>
      </c>
      <c r="D220" s="21" t="s">
        <v>1017</v>
      </c>
      <c r="E220" s="21" t="s">
        <v>1018</v>
      </c>
      <c r="F220" s="27"/>
      <c r="G220" s="27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22.5" customHeight="1">
      <c r="A221" s="23">
        <v>219.0</v>
      </c>
      <c r="B221" s="32">
        <v>40.0</v>
      </c>
      <c r="C221" s="21" t="s">
        <v>1123</v>
      </c>
      <c r="D221" s="21" t="s">
        <v>1124</v>
      </c>
      <c r="E221" s="21" t="s">
        <v>1125</v>
      </c>
      <c r="F221" s="27"/>
      <c r="G221" s="27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22.5" customHeight="1">
      <c r="A222" s="23">
        <v>220.0</v>
      </c>
      <c r="B222" s="32">
        <v>40.0</v>
      </c>
      <c r="C222" s="21" t="s">
        <v>879</v>
      </c>
      <c r="D222" s="21" t="s">
        <v>880</v>
      </c>
      <c r="E222" s="21" t="s">
        <v>881</v>
      </c>
      <c r="F222" s="27"/>
      <c r="G222" s="27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22.5" customHeight="1">
      <c r="A223" s="23">
        <v>221.0</v>
      </c>
      <c r="B223" s="32">
        <v>40.0</v>
      </c>
      <c r="C223" s="21" t="s">
        <v>904</v>
      </c>
      <c r="D223" s="21" t="s">
        <v>905</v>
      </c>
      <c r="E223" s="21" t="s">
        <v>906</v>
      </c>
      <c r="F223" s="27"/>
      <c r="G223" s="27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22.5" customHeight="1">
      <c r="A224" s="23">
        <v>222.0</v>
      </c>
      <c r="B224" s="32">
        <v>40.0</v>
      </c>
      <c r="C224" s="21" t="s">
        <v>644</v>
      </c>
      <c r="D224" s="21" t="s">
        <v>645</v>
      </c>
      <c r="E224" s="21" t="s">
        <v>899</v>
      </c>
      <c r="F224" s="27"/>
      <c r="G224" s="27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22.5" customHeight="1">
      <c r="A225" s="23">
        <v>223.0</v>
      </c>
      <c r="B225" s="32">
        <v>39.0</v>
      </c>
      <c r="C225" s="21" t="s">
        <v>586</v>
      </c>
      <c r="D225" s="21" t="s">
        <v>587</v>
      </c>
      <c r="E225" s="21" t="s">
        <v>898</v>
      </c>
      <c r="F225" s="27"/>
      <c r="G225" s="27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22.5" customHeight="1">
      <c r="A226" s="23">
        <v>224.0</v>
      </c>
      <c r="B226" s="32">
        <v>39.0</v>
      </c>
      <c r="C226" s="21" t="s">
        <v>944</v>
      </c>
      <c r="D226" s="21" t="s">
        <v>945</v>
      </c>
      <c r="E226" s="21" t="s">
        <v>946</v>
      </c>
      <c r="F226" s="27"/>
      <c r="G226" s="27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22.5" customHeight="1">
      <c r="A227" s="23">
        <v>225.0</v>
      </c>
      <c r="B227" s="32">
        <v>39.0</v>
      </c>
      <c r="C227" s="21" t="s">
        <v>911</v>
      </c>
      <c r="D227" s="21" t="s">
        <v>1136</v>
      </c>
      <c r="E227" s="21" t="s">
        <v>913</v>
      </c>
      <c r="F227" s="27"/>
      <c r="G227" s="27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22.5" customHeight="1">
      <c r="A228" s="23">
        <v>226.0</v>
      </c>
      <c r="B228" s="32">
        <v>38.0</v>
      </c>
      <c r="C228" s="21" t="s">
        <v>822</v>
      </c>
      <c r="D228" s="21" t="s">
        <v>823</v>
      </c>
      <c r="E228" s="21" t="s">
        <v>1035</v>
      </c>
      <c r="F228" s="27"/>
      <c r="G228" s="27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22.5" customHeight="1">
      <c r="A229" s="23">
        <v>227.0</v>
      </c>
      <c r="B229" s="32">
        <v>38.0</v>
      </c>
      <c r="C229" s="21" t="s">
        <v>1137</v>
      </c>
      <c r="D229" s="21" t="s">
        <v>1138</v>
      </c>
      <c r="E229" s="21" t="s">
        <v>1139</v>
      </c>
      <c r="F229" s="27"/>
      <c r="G229" s="24" t="s">
        <v>18</v>
      </c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22.5" customHeight="1">
      <c r="A230" s="23">
        <v>228.0</v>
      </c>
      <c r="B230" s="32">
        <v>38.0</v>
      </c>
      <c r="C230" s="21" t="s">
        <v>1140</v>
      </c>
      <c r="D230" s="21" t="s">
        <v>1141</v>
      </c>
      <c r="E230" s="21" t="s">
        <v>1142</v>
      </c>
      <c r="F230" s="27"/>
      <c r="G230" s="24" t="s">
        <v>18</v>
      </c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22.5" customHeight="1">
      <c r="A231" s="23">
        <v>229.0</v>
      </c>
      <c r="B231" s="32">
        <v>38.0</v>
      </c>
      <c r="C231" s="21" t="s">
        <v>935</v>
      </c>
      <c r="D231" s="21" t="s">
        <v>936</v>
      </c>
      <c r="E231" s="21" t="s">
        <v>937</v>
      </c>
      <c r="F231" s="27"/>
      <c r="G231" s="27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22.5" customHeight="1">
      <c r="A232" s="23">
        <v>230.0</v>
      </c>
      <c r="B232" s="32">
        <v>38.0</v>
      </c>
      <c r="C232" s="21" t="s">
        <v>1143</v>
      </c>
      <c r="D232" s="21" t="s">
        <v>1144</v>
      </c>
      <c r="E232" s="21" t="s">
        <v>1145</v>
      </c>
      <c r="F232" s="27"/>
      <c r="G232" s="24" t="s">
        <v>18</v>
      </c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22.5" customHeight="1">
      <c r="A233" s="23">
        <v>231.0</v>
      </c>
      <c r="B233" s="32">
        <v>37.0</v>
      </c>
      <c r="C233" s="21" t="s">
        <v>888</v>
      </c>
      <c r="D233" s="21" t="s">
        <v>1009</v>
      </c>
      <c r="E233" s="21" t="s">
        <v>890</v>
      </c>
      <c r="F233" s="27"/>
      <c r="G233" s="27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22.5" customHeight="1">
      <c r="A234" s="23">
        <v>232.0</v>
      </c>
      <c r="B234" s="32">
        <v>37.0</v>
      </c>
      <c r="C234" s="21" t="s">
        <v>950</v>
      </c>
      <c r="D234" s="21" t="s">
        <v>951</v>
      </c>
      <c r="E234" s="21" t="s">
        <v>952</v>
      </c>
      <c r="F234" s="27"/>
      <c r="G234" s="27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22.5" customHeight="1">
      <c r="A235" s="23">
        <v>233.0</v>
      </c>
      <c r="B235" s="32">
        <v>37.0</v>
      </c>
      <c r="C235" s="21" t="s">
        <v>1003</v>
      </c>
      <c r="D235" s="21" t="s">
        <v>1146</v>
      </c>
      <c r="E235" s="21" t="s">
        <v>1005</v>
      </c>
      <c r="F235" s="27"/>
      <c r="G235" s="27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22.5" customHeight="1">
      <c r="A236" s="23">
        <v>234.0</v>
      </c>
      <c r="B236" s="32">
        <v>36.0</v>
      </c>
      <c r="C236" s="21" t="s">
        <v>1147</v>
      </c>
      <c r="D236" s="21" t="s">
        <v>1148</v>
      </c>
      <c r="E236" s="21" t="s">
        <v>1147</v>
      </c>
      <c r="F236" s="27"/>
      <c r="G236" s="24" t="s">
        <v>18</v>
      </c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22.5" customHeight="1">
      <c r="A237" s="23">
        <v>235.0</v>
      </c>
      <c r="B237" s="32">
        <v>36.0</v>
      </c>
      <c r="C237" s="21" t="s">
        <v>644</v>
      </c>
      <c r="D237" s="21" t="s">
        <v>645</v>
      </c>
      <c r="E237" s="21" t="s">
        <v>899</v>
      </c>
      <c r="F237" s="27"/>
      <c r="G237" s="27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22.5" customHeight="1">
      <c r="A238" s="23">
        <v>236.0</v>
      </c>
      <c r="B238" s="32">
        <v>36.0</v>
      </c>
      <c r="C238" s="21" t="s">
        <v>516</v>
      </c>
      <c r="D238" s="21" t="s">
        <v>517</v>
      </c>
      <c r="E238" s="21" t="s">
        <v>1149</v>
      </c>
      <c r="F238" s="27"/>
      <c r="G238" s="24" t="s">
        <v>18</v>
      </c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22.5" customHeight="1">
      <c r="A239" s="23">
        <v>237.0</v>
      </c>
      <c r="B239" s="32">
        <v>36.0</v>
      </c>
      <c r="C239" s="21" t="s">
        <v>870</v>
      </c>
      <c r="D239" s="21" t="s">
        <v>915</v>
      </c>
      <c r="E239" s="21" t="s">
        <v>871</v>
      </c>
      <c r="F239" s="27"/>
      <c r="G239" s="27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22.5" customHeight="1">
      <c r="A240" s="23">
        <v>238.0</v>
      </c>
      <c r="B240" s="32">
        <v>36.0</v>
      </c>
      <c r="C240" s="21" t="s">
        <v>904</v>
      </c>
      <c r="D240" s="21" t="s">
        <v>905</v>
      </c>
      <c r="E240" s="21" t="s">
        <v>906</v>
      </c>
      <c r="F240" s="27"/>
      <c r="G240" s="27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22.5" customHeight="1">
      <c r="A241" s="23">
        <v>239.0</v>
      </c>
      <c r="B241" s="32">
        <v>35.0</v>
      </c>
      <c r="C241" s="21" t="s">
        <v>1150</v>
      </c>
      <c r="D241" s="21" t="s">
        <v>1151</v>
      </c>
      <c r="E241" s="21" t="s">
        <v>1152</v>
      </c>
      <c r="F241" s="27"/>
      <c r="G241" s="24" t="s">
        <v>18</v>
      </c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22.5" customHeight="1">
      <c r="A242" s="23">
        <v>240.0</v>
      </c>
      <c r="B242" s="32">
        <v>35.0</v>
      </c>
      <c r="C242" s="21" t="s">
        <v>822</v>
      </c>
      <c r="D242" s="21" t="s">
        <v>823</v>
      </c>
      <c r="E242" s="21" t="s">
        <v>1035</v>
      </c>
      <c r="F242" s="27"/>
      <c r="G242" s="27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22.5" customHeight="1">
      <c r="A243" s="23">
        <v>241.0</v>
      </c>
      <c r="B243" s="32">
        <v>35.0</v>
      </c>
      <c r="C243" s="21" t="s">
        <v>1099</v>
      </c>
      <c r="D243" s="21" t="s">
        <v>1153</v>
      </c>
      <c r="E243" s="21" t="s">
        <v>1101</v>
      </c>
      <c r="F243" s="27"/>
      <c r="G243" s="27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22.5" customHeight="1">
      <c r="A244" s="23">
        <v>242.0</v>
      </c>
      <c r="B244" s="32">
        <v>112.0</v>
      </c>
      <c r="C244" s="21" t="s">
        <v>885</v>
      </c>
      <c r="D244" s="21" t="s">
        <v>886</v>
      </c>
      <c r="E244" s="21" t="s">
        <v>887</v>
      </c>
      <c r="F244" s="27"/>
      <c r="G244" s="27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22.5" customHeight="1">
      <c r="A245" s="23">
        <v>243.0</v>
      </c>
      <c r="B245" s="32">
        <v>112.0</v>
      </c>
      <c r="C245" s="21" t="s">
        <v>1154</v>
      </c>
      <c r="D245" s="21" t="s">
        <v>1155</v>
      </c>
      <c r="E245" s="21" t="s">
        <v>1156</v>
      </c>
      <c r="F245" s="27"/>
      <c r="G245" s="27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22.5" customHeight="1">
      <c r="A246" s="23">
        <v>244.0</v>
      </c>
      <c r="B246" s="32">
        <v>112.0</v>
      </c>
      <c r="C246" s="21" t="s">
        <v>979</v>
      </c>
      <c r="D246" s="21" t="s">
        <v>980</v>
      </c>
      <c r="E246" s="21" t="s">
        <v>981</v>
      </c>
      <c r="F246" s="27"/>
      <c r="G246" s="27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</sheetData>
  <dataValidations>
    <dataValidation type="custom" allowBlank="1" showDropDown="1" sqref="B3:B246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3.0"/>
    <col customWidth="1" min="3" max="3" width="21.25"/>
    <col customWidth="1" min="4" max="5" width="28.88"/>
    <col customWidth="1" min="6" max="6" width="15.88"/>
    <col customWidth="1" min="7" max="7" width="25.25"/>
    <col customWidth="1" min="8" max="8" width="26.63"/>
  </cols>
  <sheetData>
    <row r="1">
      <c r="A1" s="6"/>
      <c r="B1" s="6"/>
      <c r="C1" s="6"/>
      <c r="D1" s="7"/>
      <c r="E1" s="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22.5" customHeight="1">
      <c r="A2" s="33" t="s">
        <v>1157</v>
      </c>
      <c r="B2" s="9" t="s">
        <v>7</v>
      </c>
      <c r="C2" s="9" t="s">
        <v>1158</v>
      </c>
      <c r="D2" s="9" t="s">
        <v>8</v>
      </c>
      <c r="E2" s="34" t="s">
        <v>1159</v>
      </c>
      <c r="F2" s="9" t="s">
        <v>1160</v>
      </c>
      <c r="G2" s="9" t="s">
        <v>1161</v>
      </c>
      <c r="H2" s="9" t="s">
        <v>1162</v>
      </c>
      <c r="I2" s="11" t="s">
        <v>12</v>
      </c>
      <c r="J2" s="11" t="s">
        <v>13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2.5" hidden="1" customHeight="1">
      <c r="A3" s="35">
        <v>1.0</v>
      </c>
      <c r="B3" s="12">
        <v>111.0</v>
      </c>
      <c r="C3" s="36" t="s">
        <v>1163</v>
      </c>
      <c r="D3" s="13" t="s">
        <v>1164</v>
      </c>
      <c r="E3" s="13"/>
      <c r="F3" s="13" t="s">
        <v>1165</v>
      </c>
      <c r="G3" s="13" t="s">
        <v>1166</v>
      </c>
      <c r="H3" s="13" t="s">
        <v>1167</v>
      </c>
      <c r="I3" s="14" t="s">
        <v>18</v>
      </c>
      <c r="J3" s="1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22.5" customHeight="1">
      <c r="A4" s="35">
        <v>2.0</v>
      </c>
      <c r="B4" s="12">
        <v>111.0</v>
      </c>
      <c r="C4" s="36" t="s">
        <v>1168</v>
      </c>
      <c r="D4" s="13" t="s">
        <v>1169</v>
      </c>
      <c r="E4" s="13" t="s">
        <v>1170</v>
      </c>
      <c r="F4" s="13" t="s">
        <v>1171</v>
      </c>
      <c r="G4" s="13" t="s">
        <v>1172</v>
      </c>
      <c r="H4" s="13" t="s">
        <v>1173</v>
      </c>
      <c r="I4" s="15"/>
      <c r="J4" s="1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22.5" customHeight="1">
      <c r="A5" s="35">
        <v>3.0</v>
      </c>
      <c r="B5" s="12">
        <v>111.0</v>
      </c>
      <c r="C5" s="36" t="s">
        <v>1168</v>
      </c>
      <c r="D5" s="13" t="s">
        <v>1174</v>
      </c>
      <c r="E5" s="37"/>
      <c r="F5" s="13" t="s">
        <v>1175</v>
      </c>
      <c r="G5" s="13" t="s">
        <v>1176</v>
      </c>
      <c r="H5" s="14" t="s">
        <v>1177</v>
      </c>
      <c r="I5" s="14" t="s">
        <v>18</v>
      </c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22.5" customHeight="1">
      <c r="A6" s="35">
        <v>4.0</v>
      </c>
      <c r="B6" s="12">
        <v>111.0</v>
      </c>
      <c r="C6" s="36" t="s">
        <v>1168</v>
      </c>
      <c r="D6" s="13" t="s">
        <v>1178</v>
      </c>
      <c r="E6" s="37"/>
      <c r="F6" s="13" t="s">
        <v>1179</v>
      </c>
      <c r="G6" s="13" t="s">
        <v>1180</v>
      </c>
      <c r="H6" s="14" t="s">
        <v>1181</v>
      </c>
      <c r="I6" s="15"/>
      <c r="J6" s="1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22.5" hidden="1" customHeight="1">
      <c r="A7" s="35">
        <v>5.0</v>
      </c>
      <c r="B7" s="12">
        <v>111.0</v>
      </c>
      <c r="C7" s="36" t="s">
        <v>1163</v>
      </c>
      <c r="D7" s="13" t="s">
        <v>1182</v>
      </c>
      <c r="E7" s="37"/>
      <c r="F7" s="13" t="s">
        <v>1183</v>
      </c>
      <c r="G7" s="13" t="s">
        <v>1184</v>
      </c>
      <c r="H7" s="13" t="s">
        <v>1185</v>
      </c>
      <c r="I7" s="15"/>
      <c r="J7" s="1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2.5" customHeight="1">
      <c r="A8" s="35">
        <v>6.0</v>
      </c>
      <c r="B8" s="12">
        <v>111.0</v>
      </c>
      <c r="C8" s="36" t="s">
        <v>1168</v>
      </c>
      <c r="D8" s="13" t="s">
        <v>1186</v>
      </c>
      <c r="E8" s="37"/>
      <c r="F8" s="13" t="s">
        <v>1187</v>
      </c>
      <c r="G8" s="13" t="s">
        <v>1188</v>
      </c>
      <c r="H8" s="14" t="s">
        <v>1189</v>
      </c>
      <c r="I8" s="15"/>
      <c r="J8" s="1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22.5" customHeight="1">
      <c r="A9" s="35">
        <v>7.0</v>
      </c>
      <c r="B9" s="12">
        <v>111.0</v>
      </c>
      <c r="C9" s="36" t="s">
        <v>1168</v>
      </c>
      <c r="D9" s="13" t="s">
        <v>1190</v>
      </c>
      <c r="E9" s="37"/>
      <c r="F9" s="13" t="s">
        <v>1191</v>
      </c>
      <c r="G9" s="13" t="s">
        <v>1192</v>
      </c>
      <c r="H9" s="14" t="s">
        <v>1193</v>
      </c>
      <c r="I9" s="15"/>
      <c r="J9" s="1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22.5" customHeight="1">
      <c r="A10" s="35">
        <v>8.0</v>
      </c>
      <c r="B10" s="12">
        <v>111.0</v>
      </c>
      <c r="C10" s="36" t="s">
        <v>1168</v>
      </c>
      <c r="D10" s="13" t="s">
        <v>1194</v>
      </c>
      <c r="E10" s="37"/>
      <c r="F10" s="13" t="s">
        <v>1195</v>
      </c>
      <c r="G10" s="13" t="s">
        <v>1196</v>
      </c>
      <c r="H10" s="13" t="s">
        <v>1197</v>
      </c>
      <c r="I10" s="14" t="s">
        <v>18</v>
      </c>
      <c r="J10" s="1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22.5" customHeight="1">
      <c r="A11" s="35">
        <v>9.0</v>
      </c>
      <c r="B11" s="12">
        <v>111.0</v>
      </c>
      <c r="C11" s="36" t="s">
        <v>1168</v>
      </c>
      <c r="D11" s="13" t="s">
        <v>1198</v>
      </c>
      <c r="E11" s="37"/>
      <c r="F11" s="13" t="s">
        <v>1199</v>
      </c>
      <c r="G11" s="13" t="s">
        <v>1200</v>
      </c>
      <c r="H11" s="13" t="s">
        <v>1201</v>
      </c>
      <c r="I11" s="15"/>
      <c r="J11" s="1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22.5" hidden="1" customHeight="1">
      <c r="A12" s="35">
        <v>10.0</v>
      </c>
      <c r="B12" s="12">
        <v>111.0</v>
      </c>
      <c r="C12" s="36" t="s">
        <v>1163</v>
      </c>
      <c r="D12" s="13" t="s">
        <v>1202</v>
      </c>
      <c r="E12" s="37"/>
      <c r="F12" s="13" t="s">
        <v>1203</v>
      </c>
      <c r="G12" s="13" t="s">
        <v>1204</v>
      </c>
      <c r="H12" s="13" t="s">
        <v>1205</v>
      </c>
      <c r="I12" s="15"/>
      <c r="J12" s="1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22.5" hidden="1" customHeight="1">
      <c r="A13" s="35">
        <v>11.0</v>
      </c>
      <c r="B13" s="12">
        <v>111.0</v>
      </c>
      <c r="C13" s="36" t="s">
        <v>1163</v>
      </c>
      <c r="D13" s="13" t="s">
        <v>1206</v>
      </c>
      <c r="E13" s="37"/>
      <c r="F13" s="13" t="s">
        <v>1207</v>
      </c>
      <c r="G13" s="13" t="s">
        <v>1208</v>
      </c>
      <c r="H13" s="13" t="s">
        <v>1209</v>
      </c>
      <c r="I13" s="14" t="s">
        <v>18</v>
      </c>
      <c r="J13" s="1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22.5" customHeight="1">
      <c r="A14" s="35">
        <v>12.0</v>
      </c>
      <c r="B14" s="12">
        <v>111.0</v>
      </c>
      <c r="C14" s="36" t="s">
        <v>1168</v>
      </c>
      <c r="D14" s="13" t="s">
        <v>1210</v>
      </c>
      <c r="E14" s="13" t="s">
        <v>1211</v>
      </c>
      <c r="F14" s="13" t="s">
        <v>89</v>
      </c>
      <c r="G14" s="13" t="s">
        <v>1212</v>
      </c>
      <c r="H14" s="13" t="s">
        <v>1213</v>
      </c>
      <c r="I14" s="14" t="s">
        <v>18</v>
      </c>
      <c r="J14" s="1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22.5" customHeight="1">
      <c r="A15" s="35">
        <v>13.0</v>
      </c>
      <c r="B15" s="12">
        <v>111.0</v>
      </c>
      <c r="C15" s="36" t="s">
        <v>1168</v>
      </c>
      <c r="D15" s="13" t="s">
        <v>1214</v>
      </c>
      <c r="E15" s="37"/>
      <c r="F15" s="13" t="s">
        <v>1215</v>
      </c>
      <c r="G15" s="13" t="s">
        <v>1216</v>
      </c>
      <c r="H15" s="14" t="s">
        <v>1217</v>
      </c>
      <c r="I15" s="14" t="s">
        <v>18</v>
      </c>
      <c r="J15" s="1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22.5" customHeight="1">
      <c r="A16" s="35">
        <v>14.0</v>
      </c>
      <c r="B16" s="12">
        <v>111.0</v>
      </c>
      <c r="C16" s="36" t="s">
        <v>1218</v>
      </c>
      <c r="D16" s="13" t="s">
        <v>1219</v>
      </c>
      <c r="E16" s="37"/>
      <c r="F16" s="13" t="s">
        <v>1220</v>
      </c>
      <c r="G16" s="13" t="s">
        <v>1221</v>
      </c>
      <c r="H16" s="13" t="s">
        <v>1222</v>
      </c>
      <c r="I16" s="14" t="s">
        <v>18</v>
      </c>
      <c r="J16" s="1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22.5" hidden="1" customHeight="1">
      <c r="A17" s="35">
        <v>15.0</v>
      </c>
      <c r="B17" s="12">
        <v>111.0</v>
      </c>
      <c r="C17" s="36" t="s">
        <v>1163</v>
      </c>
      <c r="D17" s="13" t="s">
        <v>1223</v>
      </c>
      <c r="E17" s="37"/>
      <c r="F17" s="13" t="s">
        <v>1224</v>
      </c>
      <c r="G17" s="13" t="s">
        <v>1225</v>
      </c>
      <c r="H17" s="13" t="s">
        <v>1226</v>
      </c>
      <c r="I17" s="14" t="s">
        <v>18</v>
      </c>
      <c r="J17" s="1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22.5" customHeight="1">
      <c r="A18" s="35">
        <v>16.0</v>
      </c>
      <c r="B18" s="16">
        <v>110.0</v>
      </c>
      <c r="C18" s="36" t="s">
        <v>1218</v>
      </c>
      <c r="D18" s="13" t="s">
        <v>1227</v>
      </c>
      <c r="E18" s="13" t="s">
        <v>1228</v>
      </c>
      <c r="F18" s="13" t="s">
        <v>1229</v>
      </c>
      <c r="G18" s="13" t="s">
        <v>1230</v>
      </c>
      <c r="H18" s="13" t="s">
        <v>1231</v>
      </c>
      <c r="I18" s="14" t="s">
        <v>18</v>
      </c>
      <c r="J18" s="1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22.5" customHeight="1">
      <c r="A19" s="35">
        <v>17.0</v>
      </c>
      <c r="B19" s="16">
        <v>110.0</v>
      </c>
      <c r="C19" s="36" t="s">
        <v>1168</v>
      </c>
      <c r="D19" s="13" t="s">
        <v>1232</v>
      </c>
      <c r="E19" s="13" t="s">
        <v>1233</v>
      </c>
      <c r="F19" s="13" t="s">
        <v>1234</v>
      </c>
      <c r="G19" s="13" t="s">
        <v>1235</v>
      </c>
      <c r="H19" s="13" t="s">
        <v>1236</v>
      </c>
      <c r="I19" s="14" t="s">
        <v>18</v>
      </c>
      <c r="J19" s="1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22.5" customHeight="1">
      <c r="A20" s="35">
        <v>18.0</v>
      </c>
      <c r="B20" s="16">
        <v>110.0</v>
      </c>
      <c r="C20" s="36" t="s">
        <v>1168</v>
      </c>
      <c r="D20" s="13" t="s">
        <v>1237</v>
      </c>
      <c r="E20" s="13" t="s">
        <v>1238</v>
      </c>
      <c r="F20" s="13" t="s">
        <v>1239</v>
      </c>
      <c r="G20" s="13" t="s">
        <v>1240</v>
      </c>
      <c r="H20" s="13" t="s">
        <v>1241</v>
      </c>
      <c r="I20" s="14" t="s">
        <v>18</v>
      </c>
      <c r="J20" s="1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22.5" customHeight="1">
      <c r="A21" s="35">
        <v>19.0</v>
      </c>
      <c r="B21" s="16">
        <v>110.0</v>
      </c>
      <c r="C21" s="36" t="s">
        <v>1168</v>
      </c>
      <c r="D21" s="13" t="s">
        <v>1242</v>
      </c>
      <c r="E21" s="13" t="s">
        <v>1243</v>
      </c>
      <c r="F21" s="13" t="s">
        <v>1244</v>
      </c>
      <c r="G21" s="13" t="s">
        <v>1245</v>
      </c>
      <c r="H21" s="13" t="s">
        <v>1246</v>
      </c>
      <c r="I21" s="15"/>
      <c r="J21" s="1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22.5" hidden="1" customHeight="1">
      <c r="A22" s="35">
        <v>20.0</v>
      </c>
      <c r="B22" s="16">
        <v>110.0</v>
      </c>
      <c r="C22" s="36" t="s">
        <v>1163</v>
      </c>
      <c r="D22" s="13" t="s">
        <v>1247</v>
      </c>
      <c r="E22" s="13" t="s">
        <v>1248</v>
      </c>
      <c r="F22" s="13" t="s">
        <v>1249</v>
      </c>
      <c r="G22" s="13" t="s">
        <v>1250</v>
      </c>
      <c r="H22" s="13" t="s">
        <v>1251</v>
      </c>
      <c r="I22" s="14" t="s">
        <v>18</v>
      </c>
      <c r="J22" s="1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22.5" customHeight="1">
      <c r="A23" s="35">
        <v>21.0</v>
      </c>
      <c r="B23" s="16">
        <v>110.0</v>
      </c>
      <c r="C23" s="36" t="s">
        <v>1168</v>
      </c>
      <c r="D23" s="13" t="s">
        <v>1252</v>
      </c>
      <c r="E23" s="13" t="s">
        <v>1253</v>
      </c>
      <c r="F23" s="13" t="s">
        <v>1254</v>
      </c>
      <c r="G23" s="13" t="s">
        <v>1255</v>
      </c>
      <c r="H23" s="13" t="s">
        <v>1256</v>
      </c>
      <c r="I23" s="14" t="s">
        <v>18</v>
      </c>
      <c r="J23" s="1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22.5" hidden="1" customHeight="1">
      <c r="A24" s="35">
        <v>22.0</v>
      </c>
      <c r="B24" s="16">
        <v>110.0</v>
      </c>
      <c r="C24" s="36" t="s">
        <v>1163</v>
      </c>
      <c r="D24" s="13" t="s">
        <v>1257</v>
      </c>
      <c r="E24" s="13" t="s">
        <v>1258</v>
      </c>
      <c r="F24" s="13" t="s">
        <v>1140</v>
      </c>
      <c r="G24" s="13" t="s">
        <v>1141</v>
      </c>
      <c r="H24" s="13" t="s">
        <v>1259</v>
      </c>
      <c r="I24" s="14" t="s">
        <v>18</v>
      </c>
      <c r="J24" s="1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22.5" hidden="1" customHeight="1">
      <c r="A25" s="35">
        <v>23.0</v>
      </c>
      <c r="B25" s="16">
        <v>110.0</v>
      </c>
      <c r="C25" s="36" t="s">
        <v>1163</v>
      </c>
      <c r="D25" s="13" t="s">
        <v>1260</v>
      </c>
      <c r="E25" s="13" t="s">
        <v>1261</v>
      </c>
      <c r="F25" s="13" t="s">
        <v>1262</v>
      </c>
      <c r="G25" s="13" t="s">
        <v>1263</v>
      </c>
      <c r="H25" s="13" t="s">
        <v>1264</v>
      </c>
      <c r="I25" s="15"/>
      <c r="J25" s="1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22.5" customHeight="1">
      <c r="A26" s="35">
        <v>24.0</v>
      </c>
      <c r="B26" s="16">
        <v>110.0</v>
      </c>
      <c r="C26" s="36" t="s">
        <v>1168</v>
      </c>
      <c r="D26" s="13" t="s">
        <v>1265</v>
      </c>
      <c r="E26" s="13" t="s">
        <v>1266</v>
      </c>
      <c r="F26" s="13" t="s">
        <v>1267</v>
      </c>
      <c r="G26" s="13" t="s">
        <v>1268</v>
      </c>
      <c r="H26" s="13" t="s">
        <v>1269</v>
      </c>
      <c r="I26" s="14" t="s">
        <v>18</v>
      </c>
      <c r="J26" s="1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22.5" customHeight="1">
      <c r="A27" s="35">
        <v>25.0</v>
      </c>
      <c r="B27" s="16">
        <v>110.0</v>
      </c>
      <c r="C27" s="36" t="s">
        <v>1218</v>
      </c>
      <c r="D27" s="13" t="s">
        <v>1270</v>
      </c>
      <c r="E27" s="13" t="s">
        <v>1271</v>
      </c>
      <c r="F27" s="13" t="s">
        <v>1272</v>
      </c>
      <c r="G27" s="13" t="s">
        <v>1273</v>
      </c>
      <c r="H27" s="13" t="s">
        <v>1274</v>
      </c>
      <c r="I27" s="14" t="s">
        <v>18</v>
      </c>
      <c r="J27" s="1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22.5" hidden="1" customHeight="1">
      <c r="A28" s="35">
        <v>26.0</v>
      </c>
      <c r="B28" s="16">
        <v>110.0</v>
      </c>
      <c r="C28" s="36" t="s">
        <v>1163</v>
      </c>
      <c r="D28" s="13" t="s">
        <v>1275</v>
      </c>
      <c r="E28" s="37"/>
      <c r="F28" s="13" t="s">
        <v>1276</v>
      </c>
      <c r="G28" s="13" t="s">
        <v>1277</v>
      </c>
      <c r="H28" s="13" t="s">
        <v>1278</v>
      </c>
      <c r="I28" s="15"/>
      <c r="J28" s="1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22.5" customHeight="1">
      <c r="A29" s="35">
        <v>27.0</v>
      </c>
      <c r="B29" s="16">
        <v>110.0</v>
      </c>
      <c r="C29" s="36" t="s">
        <v>1168</v>
      </c>
      <c r="D29" s="13" t="s">
        <v>1279</v>
      </c>
      <c r="E29" s="13" t="s">
        <v>1280</v>
      </c>
      <c r="F29" s="13" t="s">
        <v>1281</v>
      </c>
      <c r="G29" s="13" t="s">
        <v>1282</v>
      </c>
      <c r="H29" s="13" t="s">
        <v>1283</v>
      </c>
      <c r="I29" s="15"/>
      <c r="J29" s="1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22.5" customHeight="1">
      <c r="A30" s="35">
        <v>28.0</v>
      </c>
      <c r="B30" s="16">
        <v>110.0</v>
      </c>
      <c r="C30" s="36" t="s">
        <v>1218</v>
      </c>
      <c r="D30" s="13" t="s">
        <v>1284</v>
      </c>
      <c r="E30" s="13" t="s">
        <v>1285</v>
      </c>
      <c r="F30" s="13" t="s">
        <v>1286</v>
      </c>
      <c r="G30" s="13" t="s">
        <v>1287</v>
      </c>
      <c r="H30" s="13" t="s">
        <v>1288</v>
      </c>
      <c r="I30" s="14" t="s">
        <v>18</v>
      </c>
      <c r="J30" s="1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22.5" customHeight="1">
      <c r="A31" s="35">
        <v>29.0</v>
      </c>
      <c r="B31" s="16">
        <v>110.0</v>
      </c>
      <c r="C31" s="36" t="s">
        <v>1218</v>
      </c>
      <c r="D31" s="13" t="s">
        <v>1289</v>
      </c>
      <c r="E31" s="13" t="s">
        <v>1290</v>
      </c>
      <c r="F31" s="13" t="s">
        <v>1291</v>
      </c>
      <c r="G31" s="13" t="s">
        <v>1292</v>
      </c>
      <c r="H31" s="13" t="s">
        <v>1293</v>
      </c>
      <c r="I31" s="14" t="s">
        <v>18</v>
      </c>
      <c r="J31" s="1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22.5" hidden="1" customHeight="1">
      <c r="A32" s="35">
        <v>30.0</v>
      </c>
      <c r="B32" s="16">
        <v>110.0</v>
      </c>
      <c r="C32" s="36" t="s">
        <v>1163</v>
      </c>
      <c r="D32" s="13" t="s">
        <v>1294</v>
      </c>
      <c r="E32" s="37"/>
      <c r="F32" s="13" t="s">
        <v>1295</v>
      </c>
      <c r="G32" s="13" t="s">
        <v>1296</v>
      </c>
      <c r="H32" s="13" t="s">
        <v>1297</v>
      </c>
      <c r="I32" s="15"/>
      <c r="J32" s="1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22.5" customHeight="1">
      <c r="A33" s="35">
        <v>31.0</v>
      </c>
      <c r="B33" s="16">
        <v>109.0</v>
      </c>
      <c r="C33" s="35" t="s">
        <v>1168</v>
      </c>
      <c r="D33" s="13" t="s">
        <v>1298</v>
      </c>
      <c r="E33" s="13" t="s">
        <v>1299</v>
      </c>
      <c r="F33" s="9" t="s">
        <v>1300</v>
      </c>
      <c r="G33" s="9" t="s">
        <v>1301</v>
      </c>
      <c r="H33" s="9" t="s">
        <v>1302</v>
      </c>
      <c r="I33" s="11" t="s">
        <v>18</v>
      </c>
      <c r="J33" s="38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22.5" customHeight="1">
      <c r="A34" s="35">
        <v>32.0</v>
      </c>
      <c r="B34" s="16">
        <v>109.0</v>
      </c>
      <c r="C34" s="35" t="s">
        <v>1218</v>
      </c>
      <c r="D34" s="13" t="s">
        <v>1303</v>
      </c>
      <c r="E34" s="13" t="s">
        <v>1304</v>
      </c>
      <c r="F34" s="9" t="s">
        <v>1305</v>
      </c>
      <c r="G34" s="9" t="s">
        <v>1306</v>
      </c>
      <c r="H34" s="13" t="s">
        <v>1307</v>
      </c>
      <c r="I34" s="11" t="s">
        <v>18</v>
      </c>
      <c r="J34" s="38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22.5" customHeight="1">
      <c r="A35" s="35">
        <v>33.0</v>
      </c>
      <c r="B35" s="16">
        <v>109.0</v>
      </c>
      <c r="C35" s="35" t="s">
        <v>1168</v>
      </c>
      <c r="D35" s="13" t="s">
        <v>1308</v>
      </c>
      <c r="E35" s="37"/>
      <c r="F35" s="9" t="s">
        <v>1309</v>
      </c>
      <c r="G35" s="9" t="s">
        <v>1310</v>
      </c>
      <c r="H35" s="9" t="s">
        <v>1311</v>
      </c>
      <c r="I35" s="11" t="s">
        <v>18</v>
      </c>
      <c r="J35" s="38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22.5" customHeight="1">
      <c r="A36" s="35">
        <v>34.0</v>
      </c>
      <c r="B36" s="16">
        <v>109.0</v>
      </c>
      <c r="C36" s="35" t="s">
        <v>1168</v>
      </c>
      <c r="D36" s="13" t="s">
        <v>1312</v>
      </c>
      <c r="E36" s="13" t="s">
        <v>1313</v>
      </c>
      <c r="F36" s="9" t="s">
        <v>1314</v>
      </c>
      <c r="G36" s="9" t="s">
        <v>794</v>
      </c>
      <c r="H36" s="9" t="s">
        <v>1315</v>
      </c>
      <c r="I36" s="11" t="s">
        <v>18</v>
      </c>
      <c r="J36" s="38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22.5" customHeight="1">
      <c r="A37" s="35">
        <v>35.0</v>
      </c>
      <c r="B37" s="16">
        <v>109.0</v>
      </c>
      <c r="C37" s="35" t="s">
        <v>1218</v>
      </c>
      <c r="D37" s="13" t="s">
        <v>1316</v>
      </c>
      <c r="E37" s="13" t="s">
        <v>1317</v>
      </c>
      <c r="F37" s="9" t="s">
        <v>1318</v>
      </c>
      <c r="G37" s="9" t="s">
        <v>1319</v>
      </c>
      <c r="H37" s="9" t="s">
        <v>1320</v>
      </c>
      <c r="I37" s="11" t="s">
        <v>18</v>
      </c>
      <c r="J37" s="38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22.5" hidden="1" customHeight="1">
      <c r="A38" s="35">
        <v>36.0</v>
      </c>
      <c r="B38" s="16">
        <v>109.0</v>
      </c>
      <c r="C38" s="35" t="s">
        <v>1163</v>
      </c>
      <c r="D38" s="13" t="s">
        <v>1321</v>
      </c>
      <c r="E38" s="13" t="s">
        <v>1322</v>
      </c>
      <c r="F38" s="9" t="s">
        <v>1323</v>
      </c>
      <c r="G38" s="9" t="s">
        <v>1324</v>
      </c>
      <c r="H38" s="9" t="s">
        <v>1325</v>
      </c>
      <c r="I38" s="11" t="s">
        <v>18</v>
      </c>
      <c r="J38" s="3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22.5" hidden="1" customHeight="1">
      <c r="A39" s="35">
        <v>37.0</v>
      </c>
      <c r="B39" s="16">
        <v>109.0</v>
      </c>
      <c r="C39" s="35" t="s">
        <v>1163</v>
      </c>
      <c r="D39" s="13" t="s">
        <v>1326</v>
      </c>
      <c r="E39" s="13" t="s">
        <v>1327</v>
      </c>
      <c r="F39" s="9" t="s">
        <v>1328</v>
      </c>
      <c r="G39" s="9" t="s">
        <v>1329</v>
      </c>
      <c r="H39" s="9" t="s">
        <v>1330</v>
      </c>
      <c r="I39" s="11" t="s">
        <v>18</v>
      </c>
      <c r="J39" s="14" t="s">
        <v>18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22.5" customHeight="1">
      <c r="A40" s="35">
        <v>38.0</v>
      </c>
      <c r="B40" s="16">
        <v>109.0</v>
      </c>
      <c r="C40" s="35" t="s">
        <v>1168</v>
      </c>
      <c r="D40" s="13" t="s">
        <v>1331</v>
      </c>
      <c r="E40" s="13" t="s">
        <v>1332</v>
      </c>
      <c r="F40" s="9" t="s">
        <v>1333</v>
      </c>
      <c r="G40" s="9" t="s">
        <v>1334</v>
      </c>
      <c r="H40" s="13" t="s">
        <v>1335</v>
      </c>
      <c r="I40" s="11" t="s">
        <v>18</v>
      </c>
      <c r="J40" s="38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22.5" customHeight="1">
      <c r="A41" s="35">
        <v>39.0</v>
      </c>
      <c r="B41" s="16">
        <v>109.0</v>
      </c>
      <c r="C41" s="35" t="s">
        <v>1168</v>
      </c>
      <c r="D41" s="13" t="s">
        <v>1336</v>
      </c>
      <c r="E41" s="13" t="s">
        <v>1337</v>
      </c>
      <c r="F41" s="9" t="s">
        <v>1338</v>
      </c>
      <c r="G41" s="9" t="s">
        <v>1339</v>
      </c>
      <c r="H41" s="13" t="s">
        <v>1340</v>
      </c>
      <c r="I41" s="11" t="s">
        <v>18</v>
      </c>
      <c r="J41" s="38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22.5" customHeight="1">
      <c r="A42" s="35">
        <v>40.0</v>
      </c>
      <c r="B42" s="16">
        <v>109.0</v>
      </c>
      <c r="C42" s="35" t="s">
        <v>1218</v>
      </c>
      <c r="D42" s="13" t="s">
        <v>1341</v>
      </c>
      <c r="E42" s="13" t="s">
        <v>1342</v>
      </c>
      <c r="F42" s="9" t="s">
        <v>1343</v>
      </c>
      <c r="G42" s="9" t="s">
        <v>1344</v>
      </c>
      <c r="H42" s="9" t="s">
        <v>1345</v>
      </c>
      <c r="I42" s="38"/>
      <c r="J42" s="38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22.5" customHeight="1">
      <c r="A43" s="35">
        <v>41.0</v>
      </c>
      <c r="B43" s="16">
        <v>109.0</v>
      </c>
      <c r="C43" s="35" t="s">
        <v>1168</v>
      </c>
      <c r="D43" s="13" t="s">
        <v>1346</v>
      </c>
      <c r="E43" s="13" t="s">
        <v>1347</v>
      </c>
      <c r="F43" s="9" t="s">
        <v>1348</v>
      </c>
      <c r="G43" s="9" t="s">
        <v>1349</v>
      </c>
      <c r="H43" s="9" t="s">
        <v>1350</v>
      </c>
      <c r="I43" s="11" t="s">
        <v>18</v>
      </c>
      <c r="J43" s="38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22.5" customHeight="1">
      <c r="A44" s="35">
        <v>42.0</v>
      </c>
      <c r="B44" s="16">
        <v>109.0</v>
      </c>
      <c r="C44" s="35" t="s">
        <v>1168</v>
      </c>
      <c r="D44" s="13" t="s">
        <v>1351</v>
      </c>
      <c r="E44" s="37"/>
      <c r="F44" s="9" t="s">
        <v>1120</v>
      </c>
      <c r="G44" s="9" t="s">
        <v>1121</v>
      </c>
      <c r="H44" s="9" t="s">
        <v>1352</v>
      </c>
      <c r="I44" s="11" t="s">
        <v>18</v>
      </c>
      <c r="J44" s="38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22.5" hidden="1" customHeight="1">
      <c r="A45" s="35">
        <v>43.0</v>
      </c>
      <c r="B45" s="16">
        <v>109.0</v>
      </c>
      <c r="C45" s="35" t="s">
        <v>1163</v>
      </c>
      <c r="D45" s="13" t="s">
        <v>1353</v>
      </c>
      <c r="E45" s="13" t="s">
        <v>1354</v>
      </c>
      <c r="F45" s="9" t="s">
        <v>1355</v>
      </c>
      <c r="G45" s="9" t="s">
        <v>1356</v>
      </c>
      <c r="H45" s="9" t="s">
        <v>1357</v>
      </c>
      <c r="I45" s="11" t="s">
        <v>18</v>
      </c>
      <c r="J45" s="38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22.5" hidden="1" customHeight="1">
      <c r="A46" s="35">
        <v>44.0</v>
      </c>
      <c r="B46" s="16">
        <v>109.0</v>
      </c>
      <c r="C46" s="35" t="s">
        <v>1163</v>
      </c>
      <c r="D46" s="13" t="s">
        <v>1358</v>
      </c>
      <c r="E46" s="13" t="s">
        <v>1359</v>
      </c>
      <c r="F46" s="9" t="s">
        <v>1360</v>
      </c>
      <c r="G46" s="9" t="s">
        <v>1361</v>
      </c>
      <c r="H46" s="9" t="s">
        <v>1362</v>
      </c>
      <c r="I46" s="11" t="s">
        <v>18</v>
      </c>
      <c r="J46" s="38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22.5" hidden="1" customHeight="1">
      <c r="A47" s="35">
        <v>45.0</v>
      </c>
      <c r="B47" s="16">
        <v>109.0</v>
      </c>
      <c r="C47" s="35" t="s">
        <v>1163</v>
      </c>
      <c r="D47" s="13" t="s">
        <v>1363</v>
      </c>
      <c r="E47" s="13" t="s">
        <v>1364</v>
      </c>
      <c r="F47" s="9" t="s">
        <v>1365</v>
      </c>
      <c r="G47" s="9" t="s">
        <v>1366</v>
      </c>
      <c r="H47" s="9" t="s">
        <v>1367</v>
      </c>
      <c r="I47" s="38"/>
      <c r="J47" s="38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22.5" customHeight="1">
      <c r="A48" s="35">
        <v>46.0</v>
      </c>
      <c r="B48" s="12">
        <v>108.0</v>
      </c>
      <c r="C48" s="36" t="s">
        <v>1168</v>
      </c>
      <c r="D48" s="13" t="s">
        <v>1368</v>
      </c>
      <c r="E48" s="13" t="s">
        <v>1369</v>
      </c>
      <c r="F48" s="13" t="s">
        <v>1370</v>
      </c>
      <c r="G48" s="13" t="s">
        <v>1371</v>
      </c>
      <c r="H48" s="13" t="s">
        <v>1372</v>
      </c>
      <c r="I48" s="15"/>
      <c r="J48" s="1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22.5" customHeight="1">
      <c r="A49" s="35">
        <v>47.0</v>
      </c>
      <c r="B49" s="20">
        <v>108.0</v>
      </c>
      <c r="C49" s="36" t="s">
        <v>1218</v>
      </c>
      <c r="D49" s="13" t="s">
        <v>1373</v>
      </c>
      <c r="E49" s="13" t="s">
        <v>1374</v>
      </c>
      <c r="F49" s="13" t="s">
        <v>1375</v>
      </c>
      <c r="G49" s="13" t="s">
        <v>1376</v>
      </c>
      <c r="H49" s="9" t="s">
        <v>1377</v>
      </c>
      <c r="I49" s="11" t="s">
        <v>18</v>
      </c>
      <c r="J49" s="3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22.5" hidden="1" customHeight="1">
      <c r="A50" s="35">
        <v>48.0</v>
      </c>
      <c r="B50" s="12">
        <v>108.0</v>
      </c>
      <c r="C50" s="36" t="s">
        <v>1163</v>
      </c>
      <c r="D50" s="13" t="s">
        <v>1321</v>
      </c>
      <c r="E50" s="13" t="s">
        <v>1378</v>
      </c>
      <c r="F50" s="13" t="s">
        <v>1323</v>
      </c>
      <c r="G50" s="13" t="s">
        <v>1324</v>
      </c>
      <c r="H50" s="13" t="s">
        <v>1325</v>
      </c>
      <c r="I50" s="15"/>
      <c r="J50" s="1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22.5" customHeight="1">
      <c r="A51" s="35">
        <v>49.0</v>
      </c>
      <c r="B51" s="12">
        <v>108.0</v>
      </c>
      <c r="C51" s="36" t="s">
        <v>1168</v>
      </c>
      <c r="D51" s="13" t="s">
        <v>1379</v>
      </c>
      <c r="E51" s="13" t="s">
        <v>1380</v>
      </c>
      <c r="F51" s="13" t="s">
        <v>1381</v>
      </c>
      <c r="G51" s="13" t="s">
        <v>1382</v>
      </c>
      <c r="H51" s="13" t="s">
        <v>1383</v>
      </c>
      <c r="I51" s="14" t="s">
        <v>18</v>
      </c>
      <c r="J51" s="1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22.5" customHeight="1">
      <c r="A52" s="35">
        <v>50.0</v>
      </c>
      <c r="B52" s="12">
        <v>108.0</v>
      </c>
      <c r="C52" s="36" t="s">
        <v>1168</v>
      </c>
      <c r="D52" s="13" t="s">
        <v>1384</v>
      </c>
      <c r="E52" s="13" t="s">
        <v>1385</v>
      </c>
      <c r="F52" s="13" t="s">
        <v>1386</v>
      </c>
      <c r="G52" s="13" t="s">
        <v>1387</v>
      </c>
      <c r="H52" s="13" t="s">
        <v>1388</v>
      </c>
      <c r="I52" s="14" t="s">
        <v>18</v>
      </c>
      <c r="J52" s="1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22.5" customHeight="1">
      <c r="A53" s="35">
        <v>51.0</v>
      </c>
      <c r="B53" s="20">
        <v>108.0</v>
      </c>
      <c r="C53" s="36" t="s">
        <v>1218</v>
      </c>
      <c r="D53" s="13" t="s">
        <v>1389</v>
      </c>
      <c r="E53" s="13" t="s">
        <v>1390</v>
      </c>
      <c r="F53" s="13" t="s">
        <v>1391</v>
      </c>
      <c r="G53" s="13" t="s">
        <v>1392</v>
      </c>
      <c r="H53" s="11" t="s">
        <v>1393</v>
      </c>
      <c r="I53" s="11" t="s">
        <v>18</v>
      </c>
      <c r="J53" s="3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22.5" hidden="1" customHeight="1">
      <c r="A54" s="35">
        <v>52.0</v>
      </c>
      <c r="B54" s="12">
        <v>108.0</v>
      </c>
      <c r="C54" s="36" t="s">
        <v>1163</v>
      </c>
      <c r="D54" s="13" t="s">
        <v>1394</v>
      </c>
      <c r="E54" s="13" t="s">
        <v>1395</v>
      </c>
      <c r="F54" s="13" t="s">
        <v>1396</v>
      </c>
      <c r="G54" s="13" t="s">
        <v>1397</v>
      </c>
      <c r="H54" s="21" t="s">
        <v>1398</v>
      </c>
      <c r="I54" s="15"/>
      <c r="J54" s="1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22.5" customHeight="1">
      <c r="A55" s="35">
        <v>53.0</v>
      </c>
      <c r="B55" s="12">
        <v>108.0</v>
      </c>
      <c r="C55" s="36" t="s">
        <v>1168</v>
      </c>
      <c r="D55" s="13" t="s">
        <v>1399</v>
      </c>
      <c r="E55" s="13" t="s">
        <v>1400</v>
      </c>
      <c r="F55" s="13" t="s">
        <v>1401</v>
      </c>
      <c r="G55" s="13" t="s">
        <v>1402</v>
      </c>
      <c r="H55" s="13" t="s">
        <v>1403</v>
      </c>
      <c r="I55" s="14" t="s">
        <v>18</v>
      </c>
      <c r="J55" s="1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22.5" hidden="1" customHeight="1">
      <c r="A56" s="35">
        <v>54.0</v>
      </c>
      <c r="B56" s="12">
        <v>108.0</v>
      </c>
      <c r="C56" s="36" t="s">
        <v>1163</v>
      </c>
      <c r="D56" s="13" t="s">
        <v>1404</v>
      </c>
      <c r="E56" s="13" t="s">
        <v>1405</v>
      </c>
      <c r="F56" s="13" t="s">
        <v>1333</v>
      </c>
      <c r="G56" s="13" t="s">
        <v>1334</v>
      </c>
      <c r="H56" s="13" t="s">
        <v>1406</v>
      </c>
      <c r="I56" s="15"/>
      <c r="J56" s="1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22.5" customHeight="1">
      <c r="A57" s="35">
        <v>55.0</v>
      </c>
      <c r="B57" s="20">
        <v>108.0</v>
      </c>
      <c r="C57" s="36" t="s">
        <v>1168</v>
      </c>
      <c r="D57" s="13" t="s">
        <v>1407</v>
      </c>
      <c r="E57" s="13" t="s">
        <v>1408</v>
      </c>
      <c r="F57" s="13" t="s">
        <v>1409</v>
      </c>
      <c r="G57" s="13" t="s">
        <v>1410</v>
      </c>
      <c r="H57" s="11" t="s">
        <v>1411</v>
      </c>
      <c r="I57" s="11" t="s">
        <v>18</v>
      </c>
      <c r="J57" s="3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22.5" hidden="1" customHeight="1">
      <c r="A58" s="35">
        <v>56.0</v>
      </c>
      <c r="B58" s="12">
        <v>108.0</v>
      </c>
      <c r="C58" s="36" t="s">
        <v>1163</v>
      </c>
      <c r="D58" s="13" t="s">
        <v>1412</v>
      </c>
      <c r="E58" s="13" t="s">
        <v>1413</v>
      </c>
      <c r="F58" s="13" t="s">
        <v>1414</v>
      </c>
      <c r="G58" s="13" t="s">
        <v>1415</v>
      </c>
      <c r="H58" s="13" t="s">
        <v>1416</v>
      </c>
      <c r="I58" s="15"/>
      <c r="J58" s="1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22.5" customHeight="1">
      <c r="A59" s="35">
        <v>57.0</v>
      </c>
      <c r="B59" s="20">
        <v>108.0</v>
      </c>
      <c r="C59" s="36" t="s">
        <v>1218</v>
      </c>
      <c r="D59" s="13" t="s">
        <v>1270</v>
      </c>
      <c r="E59" s="13" t="s">
        <v>1417</v>
      </c>
      <c r="F59" s="13" t="s">
        <v>1272</v>
      </c>
      <c r="G59" s="13" t="s">
        <v>1418</v>
      </c>
      <c r="H59" s="11" t="s">
        <v>1274</v>
      </c>
      <c r="I59" s="39"/>
      <c r="J59" s="3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22.5" hidden="1" customHeight="1">
      <c r="A60" s="35">
        <v>58.0</v>
      </c>
      <c r="B60" s="12">
        <v>108.0</v>
      </c>
      <c r="C60" s="36" t="s">
        <v>1163</v>
      </c>
      <c r="D60" s="13" t="s">
        <v>1275</v>
      </c>
      <c r="E60" s="13" t="s">
        <v>1419</v>
      </c>
      <c r="F60" s="13" t="s">
        <v>1093</v>
      </c>
      <c r="G60" s="13" t="s">
        <v>1094</v>
      </c>
      <c r="H60" s="13" t="s">
        <v>1420</v>
      </c>
      <c r="I60" s="14" t="s">
        <v>18</v>
      </c>
      <c r="J60" s="1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22.5" customHeight="1">
      <c r="A61" s="35">
        <v>59.0</v>
      </c>
      <c r="B61" s="12">
        <v>108.0</v>
      </c>
      <c r="C61" s="36" t="s">
        <v>1168</v>
      </c>
      <c r="D61" s="13" t="s">
        <v>1421</v>
      </c>
      <c r="E61" s="13" t="s">
        <v>1422</v>
      </c>
      <c r="F61" s="13" t="s">
        <v>1423</v>
      </c>
      <c r="G61" s="13" t="s">
        <v>1424</v>
      </c>
      <c r="H61" s="13" t="s">
        <v>1425</v>
      </c>
      <c r="I61" s="14" t="s">
        <v>18</v>
      </c>
      <c r="J61" s="1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22.5" customHeight="1">
      <c r="A62" s="35">
        <v>60.0</v>
      </c>
      <c r="B62" s="20">
        <v>108.0</v>
      </c>
      <c r="C62" s="36" t="s">
        <v>1168</v>
      </c>
      <c r="D62" s="13" t="s">
        <v>1227</v>
      </c>
      <c r="E62" s="13" t="s">
        <v>1426</v>
      </c>
      <c r="F62" s="13" t="s">
        <v>1229</v>
      </c>
      <c r="G62" s="13" t="s">
        <v>1427</v>
      </c>
      <c r="H62" s="11" t="s">
        <v>1428</v>
      </c>
      <c r="I62" s="11" t="s">
        <v>18</v>
      </c>
      <c r="J62" s="3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22.5" hidden="1" customHeight="1">
      <c r="A63" s="35">
        <v>61.0</v>
      </c>
      <c r="B63" s="20">
        <v>107.0</v>
      </c>
      <c r="C63" s="36" t="s">
        <v>1163</v>
      </c>
      <c r="D63" s="13" t="s">
        <v>1429</v>
      </c>
      <c r="E63" s="13" t="s">
        <v>1430</v>
      </c>
      <c r="F63" s="13" t="s">
        <v>1431</v>
      </c>
      <c r="G63" s="13" t="s">
        <v>1432</v>
      </c>
      <c r="H63" s="13" t="s">
        <v>1433</v>
      </c>
      <c r="I63" s="14" t="s">
        <v>18</v>
      </c>
      <c r="J63" s="1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22.5" hidden="1" customHeight="1">
      <c r="A64" s="35">
        <v>62.0</v>
      </c>
      <c r="B64" s="20">
        <v>107.0</v>
      </c>
      <c r="C64" s="36" t="s">
        <v>1163</v>
      </c>
      <c r="D64" s="13" t="s">
        <v>1434</v>
      </c>
      <c r="E64" s="13" t="s">
        <v>1435</v>
      </c>
      <c r="F64" s="13" t="s">
        <v>1436</v>
      </c>
      <c r="G64" s="13" t="s">
        <v>1437</v>
      </c>
      <c r="H64" s="13" t="s">
        <v>1438</v>
      </c>
      <c r="I64" s="14" t="s">
        <v>18</v>
      </c>
      <c r="J64" s="1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22.5" customHeight="1">
      <c r="A65" s="35">
        <v>63.0</v>
      </c>
      <c r="B65" s="20">
        <v>107.0</v>
      </c>
      <c r="C65" s="36" t="s">
        <v>1168</v>
      </c>
      <c r="D65" s="13" t="s">
        <v>1439</v>
      </c>
      <c r="E65" s="13" t="s">
        <v>1440</v>
      </c>
      <c r="F65" s="13" t="s">
        <v>1441</v>
      </c>
      <c r="G65" s="13" t="s">
        <v>1442</v>
      </c>
      <c r="H65" s="13" t="s">
        <v>1443</v>
      </c>
      <c r="I65" s="14" t="s">
        <v>18</v>
      </c>
      <c r="J65" s="1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22.5" customHeight="1">
      <c r="A66" s="35">
        <v>64.0</v>
      </c>
      <c r="B66" s="20">
        <v>107.0</v>
      </c>
      <c r="C66" s="36" t="s">
        <v>1168</v>
      </c>
      <c r="D66" s="13" t="s">
        <v>1444</v>
      </c>
      <c r="E66" s="13" t="s">
        <v>1445</v>
      </c>
      <c r="F66" s="13" t="s">
        <v>1446</v>
      </c>
      <c r="G66" s="13" t="s">
        <v>1447</v>
      </c>
      <c r="H66" s="13" t="s">
        <v>1448</v>
      </c>
      <c r="I66" s="14" t="s">
        <v>18</v>
      </c>
      <c r="J66" s="1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22.5" customHeight="1">
      <c r="A67" s="35">
        <v>65.0</v>
      </c>
      <c r="B67" s="20">
        <v>107.0</v>
      </c>
      <c r="C67" s="36" t="s">
        <v>1168</v>
      </c>
      <c r="D67" s="13" t="s">
        <v>1449</v>
      </c>
      <c r="E67" s="13" t="s">
        <v>1450</v>
      </c>
      <c r="F67" s="13" t="s">
        <v>1451</v>
      </c>
      <c r="G67" s="13" t="s">
        <v>1452</v>
      </c>
      <c r="H67" s="13" t="s">
        <v>1453</v>
      </c>
      <c r="I67" s="14" t="s">
        <v>18</v>
      </c>
      <c r="J67" s="1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22.5" hidden="1" customHeight="1">
      <c r="A68" s="35">
        <v>66.0</v>
      </c>
      <c r="B68" s="20">
        <v>107.0</v>
      </c>
      <c r="C68" s="36" t="s">
        <v>1163</v>
      </c>
      <c r="D68" s="13" t="s">
        <v>1454</v>
      </c>
      <c r="E68" s="13" t="s">
        <v>1455</v>
      </c>
      <c r="F68" s="13" t="s">
        <v>1456</v>
      </c>
      <c r="G68" s="13" t="s">
        <v>1457</v>
      </c>
      <c r="H68" s="13" t="s">
        <v>1458</v>
      </c>
      <c r="I68" s="14" t="s">
        <v>18</v>
      </c>
      <c r="J68" s="14" t="s">
        <v>18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22.5" customHeight="1">
      <c r="A69" s="35">
        <v>67.0</v>
      </c>
      <c r="B69" s="20">
        <v>107.0</v>
      </c>
      <c r="C69" s="36" t="s">
        <v>1168</v>
      </c>
      <c r="D69" s="13" t="s">
        <v>1459</v>
      </c>
      <c r="E69" s="13" t="s">
        <v>1460</v>
      </c>
      <c r="F69" s="13" t="s">
        <v>1461</v>
      </c>
      <c r="G69" s="13" t="s">
        <v>1462</v>
      </c>
      <c r="H69" s="13" t="s">
        <v>1463</v>
      </c>
      <c r="I69" s="14" t="s">
        <v>18</v>
      </c>
      <c r="J69" s="1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22.5" customHeight="1">
      <c r="A70" s="35">
        <v>68.0</v>
      </c>
      <c r="B70" s="20">
        <v>107.0</v>
      </c>
      <c r="C70" s="36" t="s">
        <v>1168</v>
      </c>
      <c r="D70" s="13" t="s">
        <v>1464</v>
      </c>
      <c r="E70" s="13" t="s">
        <v>1465</v>
      </c>
      <c r="F70" s="13" t="s">
        <v>1036</v>
      </c>
      <c r="G70" s="13" t="s">
        <v>1466</v>
      </c>
      <c r="H70" s="13" t="s">
        <v>1467</v>
      </c>
      <c r="I70" s="14" t="s">
        <v>18</v>
      </c>
      <c r="J70" s="1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22.5" hidden="1" customHeight="1">
      <c r="A71" s="35">
        <v>69.0</v>
      </c>
      <c r="B71" s="20">
        <v>107.0</v>
      </c>
      <c r="C71" s="36" t="s">
        <v>1163</v>
      </c>
      <c r="D71" s="13" t="s">
        <v>1468</v>
      </c>
      <c r="E71" s="13" t="s">
        <v>1469</v>
      </c>
      <c r="F71" s="13" t="s">
        <v>995</v>
      </c>
      <c r="G71" s="13" t="s">
        <v>996</v>
      </c>
      <c r="H71" s="13" t="s">
        <v>1470</v>
      </c>
      <c r="I71" s="14" t="s">
        <v>18</v>
      </c>
      <c r="J71" s="1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22.5" customHeight="1">
      <c r="A72" s="35">
        <v>70.0</v>
      </c>
      <c r="B72" s="20">
        <v>107.0</v>
      </c>
      <c r="C72" s="36" t="s">
        <v>1168</v>
      </c>
      <c r="D72" s="13" t="s">
        <v>1471</v>
      </c>
      <c r="E72" s="13" t="s">
        <v>1472</v>
      </c>
      <c r="F72" s="13" t="s">
        <v>1473</v>
      </c>
      <c r="G72" s="13" t="s">
        <v>1474</v>
      </c>
      <c r="H72" s="13" t="s">
        <v>1475</v>
      </c>
      <c r="I72" s="14" t="s">
        <v>18</v>
      </c>
      <c r="J72" s="1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22.5" customHeight="1">
      <c r="A73" s="35">
        <v>71.0</v>
      </c>
      <c r="B73" s="20">
        <v>107.0</v>
      </c>
      <c r="C73" s="36" t="s">
        <v>1168</v>
      </c>
      <c r="D73" s="13" t="s">
        <v>1476</v>
      </c>
      <c r="E73" s="13" t="s">
        <v>1280</v>
      </c>
      <c r="F73" s="13" t="s">
        <v>435</v>
      </c>
      <c r="G73" s="13" t="s">
        <v>436</v>
      </c>
      <c r="H73" s="13" t="s">
        <v>1283</v>
      </c>
      <c r="I73" s="15"/>
      <c r="J73" s="1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22.5" customHeight="1">
      <c r="A74" s="35">
        <v>72.0</v>
      </c>
      <c r="B74" s="20">
        <v>107.0</v>
      </c>
      <c r="C74" s="36" t="s">
        <v>1218</v>
      </c>
      <c r="D74" s="13" t="s">
        <v>1421</v>
      </c>
      <c r="E74" s="13" t="s">
        <v>1477</v>
      </c>
      <c r="F74" s="13" t="s">
        <v>1478</v>
      </c>
      <c r="G74" s="13" t="s">
        <v>1479</v>
      </c>
      <c r="H74" s="13" t="s">
        <v>1480</v>
      </c>
      <c r="I74" s="14" t="s">
        <v>18</v>
      </c>
      <c r="J74" s="1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22.5" hidden="1" customHeight="1">
      <c r="A75" s="35">
        <v>73.0</v>
      </c>
      <c r="B75" s="20">
        <v>107.0</v>
      </c>
      <c r="C75" s="36" t="s">
        <v>1163</v>
      </c>
      <c r="D75" s="13" t="s">
        <v>1481</v>
      </c>
      <c r="E75" s="13" t="s">
        <v>1482</v>
      </c>
      <c r="F75" s="13" t="s">
        <v>1276</v>
      </c>
      <c r="G75" s="13" t="s">
        <v>1277</v>
      </c>
      <c r="H75" s="13" t="s">
        <v>1483</v>
      </c>
      <c r="I75" s="14"/>
      <c r="J75" s="1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22.5" customHeight="1">
      <c r="A76" s="35">
        <v>74.0</v>
      </c>
      <c r="B76" s="20">
        <v>107.0</v>
      </c>
      <c r="C76" s="36" t="s">
        <v>1218</v>
      </c>
      <c r="D76" s="13" t="s">
        <v>1484</v>
      </c>
      <c r="E76" s="13" t="s">
        <v>1485</v>
      </c>
      <c r="F76" s="13" t="s">
        <v>1486</v>
      </c>
      <c r="G76" s="13" t="s">
        <v>1487</v>
      </c>
      <c r="H76" s="13" t="s">
        <v>1488</v>
      </c>
      <c r="I76" s="14" t="s">
        <v>18</v>
      </c>
      <c r="J76" s="1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22.5" customHeight="1">
      <c r="A77" s="35">
        <v>75.0</v>
      </c>
      <c r="B77" s="20">
        <v>107.0</v>
      </c>
      <c r="C77" s="36" t="s">
        <v>1218</v>
      </c>
      <c r="D77" s="13" t="s">
        <v>1489</v>
      </c>
      <c r="E77" s="13" t="s">
        <v>1490</v>
      </c>
      <c r="F77" s="13" t="s">
        <v>1491</v>
      </c>
      <c r="G77" s="13" t="s">
        <v>1492</v>
      </c>
      <c r="H77" s="13" t="s">
        <v>1493</v>
      </c>
      <c r="I77" s="14" t="s">
        <v>18</v>
      </c>
      <c r="J77" s="1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22.5" customHeight="1">
      <c r="A78" s="35">
        <v>76.0</v>
      </c>
      <c r="B78" s="20">
        <v>106.0</v>
      </c>
      <c r="C78" s="36" t="s">
        <v>1218</v>
      </c>
      <c r="D78" s="13" t="s">
        <v>1227</v>
      </c>
      <c r="E78" s="13" t="s">
        <v>1228</v>
      </c>
      <c r="F78" s="13" t="s">
        <v>1229</v>
      </c>
      <c r="G78" s="13" t="s">
        <v>1494</v>
      </c>
      <c r="H78" s="13" t="s">
        <v>1231</v>
      </c>
      <c r="I78" s="15"/>
      <c r="J78" s="1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22.5" customHeight="1">
      <c r="A79" s="35">
        <v>77.0</v>
      </c>
      <c r="B79" s="20">
        <v>106.0</v>
      </c>
      <c r="C79" s="36" t="s">
        <v>1168</v>
      </c>
      <c r="D79" s="13" t="s">
        <v>1495</v>
      </c>
      <c r="E79" s="13" t="s">
        <v>1496</v>
      </c>
      <c r="F79" s="13" t="s">
        <v>1497</v>
      </c>
      <c r="G79" s="13" t="s">
        <v>1498</v>
      </c>
      <c r="H79" s="13" t="s">
        <v>1499</v>
      </c>
      <c r="I79" s="14" t="s">
        <v>18</v>
      </c>
      <c r="J79" s="1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22.5" hidden="1" customHeight="1">
      <c r="A80" s="35">
        <v>78.0</v>
      </c>
      <c r="B80" s="20">
        <v>106.0</v>
      </c>
      <c r="C80" s="36" t="s">
        <v>1163</v>
      </c>
      <c r="D80" s="13" t="s">
        <v>1164</v>
      </c>
      <c r="E80" s="13" t="s">
        <v>1500</v>
      </c>
      <c r="F80" s="13" t="s">
        <v>1165</v>
      </c>
      <c r="G80" s="13" t="s">
        <v>1166</v>
      </c>
      <c r="H80" s="13" t="s">
        <v>1167</v>
      </c>
      <c r="I80" s="15"/>
      <c r="J80" s="1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22.5" hidden="1" customHeight="1">
      <c r="A81" s="35">
        <v>79.0</v>
      </c>
      <c r="B81" s="20">
        <v>106.0</v>
      </c>
      <c r="C81" s="36" t="s">
        <v>1163</v>
      </c>
      <c r="D81" s="13" t="s">
        <v>1501</v>
      </c>
      <c r="E81" s="13" t="s">
        <v>1502</v>
      </c>
      <c r="F81" s="13" t="s">
        <v>1000</v>
      </c>
      <c r="G81" s="13" t="s">
        <v>1001</v>
      </c>
      <c r="H81" s="13" t="s">
        <v>1503</v>
      </c>
      <c r="I81" s="14"/>
      <c r="J81" s="1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22.5" hidden="1" customHeight="1">
      <c r="A82" s="35">
        <v>80.0</v>
      </c>
      <c r="B82" s="20">
        <v>106.0</v>
      </c>
      <c r="C82" s="36" t="s">
        <v>1163</v>
      </c>
      <c r="D82" s="13" t="s">
        <v>1504</v>
      </c>
      <c r="E82" s="13" t="s">
        <v>1505</v>
      </c>
      <c r="F82" s="13" t="s">
        <v>1506</v>
      </c>
      <c r="G82" s="13" t="s">
        <v>1507</v>
      </c>
      <c r="H82" s="13" t="s">
        <v>1508</v>
      </c>
      <c r="I82" s="15"/>
      <c r="J82" s="1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22.5" customHeight="1">
      <c r="A83" s="35">
        <v>81.0</v>
      </c>
      <c r="B83" s="20">
        <v>106.0</v>
      </c>
      <c r="C83" s="36" t="s">
        <v>1168</v>
      </c>
      <c r="D83" s="13" t="s">
        <v>1509</v>
      </c>
      <c r="E83" s="13" t="s">
        <v>1510</v>
      </c>
      <c r="F83" s="13" t="s">
        <v>1511</v>
      </c>
      <c r="G83" s="13" t="s">
        <v>1512</v>
      </c>
      <c r="H83" s="13" t="s">
        <v>1513</v>
      </c>
      <c r="I83" s="15"/>
      <c r="J83" s="1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22.5" customHeight="1">
      <c r="A84" s="35">
        <v>82.0</v>
      </c>
      <c r="B84" s="20">
        <v>106.0</v>
      </c>
      <c r="C84" s="36" t="s">
        <v>1218</v>
      </c>
      <c r="D84" s="13" t="s">
        <v>1514</v>
      </c>
      <c r="E84" s="13" t="s">
        <v>1515</v>
      </c>
      <c r="F84" s="13" t="s">
        <v>1516</v>
      </c>
      <c r="G84" s="13" t="s">
        <v>1517</v>
      </c>
      <c r="H84" s="13" t="s">
        <v>1518</v>
      </c>
      <c r="I84" s="15"/>
      <c r="J84" s="1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22.5" customHeight="1">
      <c r="A85" s="35">
        <v>83.0</v>
      </c>
      <c r="B85" s="20">
        <v>106.0</v>
      </c>
      <c r="C85" s="36" t="s">
        <v>1168</v>
      </c>
      <c r="D85" s="13" t="s">
        <v>1519</v>
      </c>
      <c r="E85" s="13" t="s">
        <v>1520</v>
      </c>
      <c r="F85" s="13" t="s">
        <v>1521</v>
      </c>
      <c r="G85" s="13" t="s">
        <v>1522</v>
      </c>
      <c r="H85" s="13" t="s">
        <v>1523</v>
      </c>
      <c r="I85" s="15"/>
      <c r="J85" s="1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22.5" customHeight="1">
      <c r="A86" s="35">
        <v>84.0</v>
      </c>
      <c r="B86" s="20">
        <v>106.0</v>
      </c>
      <c r="C86" s="36" t="s">
        <v>1168</v>
      </c>
      <c r="D86" s="13" t="s">
        <v>1524</v>
      </c>
      <c r="E86" s="13" t="s">
        <v>1525</v>
      </c>
      <c r="F86" s="13" t="s">
        <v>1526</v>
      </c>
      <c r="G86" s="13" t="s">
        <v>1527</v>
      </c>
      <c r="H86" s="13" t="s">
        <v>1528</v>
      </c>
      <c r="I86" s="14" t="s">
        <v>18</v>
      </c>
      <c r="J86" s="1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22.5" hidden="1" customHeight="1">
      <c r="A87" s="35">
        <v>85.0</v>
      </c>
      <c r="B87" s="20">
        <v>106.0</v>
      </c>
      <c r="C87" s="36" t="s">
        <v>1163</v>
      </c>
      <c r="D87" s="13" t="s">
        <v>1404</v>
      </c>
      <c r="E87" s="13" t="s">
        <v>1529</v>
      </c>
      <c r="F87" s="13" t="s">
        <v>1333</v>
      </c>
      <c r="G87" s="13" t="s">
        <v>1334</v>
      </c>
      <c r="H87" s="13" t="s">
        <v>1406</v>
      </c>
      <c r="I87" s="15"/>
      <c r="J87" s="1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22.5" customHeight="1">
      <c r="A88" s="35">
        <v>86.0</v>
      </c>
      <c r="B88" s="20">
        <v>106.0</v>
      </c>
      <c r="C88" s="36" t="s">
        <v>1218</v>
      </c>
      <c r="D88" s="13" t="s">
        <v>1270</v>
      </c>
      <c r="E88" s="13" t="s">
        <v>1271</v>
      </c>
      <c r="F88" s="13" t="s">
        <v>1272</v>
      </c>
      <c r="G88" s="13" t="s">
        <v>1530</v>
      </c>
      <c r="H88" s="13" t="s">
        <v>1274</v>
      </c>
      <c r="I88" s="14" t="s">
        <v>18</v>
      </c>
      <c r="J88" s="14" t="s">
        <v>18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22.5" hidden="1" customHeight="1">
      <c r="A89" s="35">
        <v>87.0</v>
      </c>
      <c r="B89" s="20">
        <v>106.0</v>
      </c>
      <c r="C89" s="36" t="s">
        <v>1163</v>
      </c>
      <c r="D89" s="13" t="s">
        <v>1275</v>
      </c>
      <c r="E89" s="13" t="s">
        <v>1531</v>
      </c>
      <c r="F89" s="13" t="s">
        <v>1093</v>
      </c>
      <c r="G89" s="13" t="s">
        <v>1094</v>
      </c>
      <c r="H89" s="13" t="s">
        <v>1420</v>
      </c>
      <c r="I89" s="14" t="s">
        <v>18</v>
      </c>
      <c r="J89" s="1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22.5" customHeight="1">
      <c r="A90" s="35">
        <v>88.0</v>
      </c>
      <c r="B90" s="20">
        <v>106.0</v>
      </c>
      <c r="C90" s="36" t="s">
        <v>1168</v>
      </c>
      <c r="D90" s="13" t="s">
        <v>1279</v>
      </c>
      <c r="E90" s="13" t="s">
        <v>1280</v>
      </c>
      <c r="F90" s="13" t="s">
        <v>1281</v>
      </c>
      <c r="G90" s="13" t="s">
        <v>1282</v>
      </c>
      <c r="H90" s="13" t="s">
        <v>1283</v>
      </c>
      <c r="I90" s="15"/>
      <c r="J90" s="1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22.5" customHeight="1">
      <c r="A91" s="35">
        <v>89.0</v>
      </c>
      <c r="B91" s="20">
        <v>106.0</v>
      </c>
      <c r="C91" s="36" t="s">
        <v>1168</v>
      </c>
      <c r="D91" s="13" t="s">
        <v>1532</v>
      </c>
      <c r="E91" s="13" t="s">
        <v>1533</v>
      </c>
      <c r="F91" s="13" t="s">
        <v>1534</v>
      </c>
      <c r="G91" s="13" t="s">
        <v>1535</v>
      </c>
      <c r="H91" s="13" t="s">
        <v>1536</v>
      </c>
      <c r="I91" s="14" t="s">
        <v>18</v>
      </c>
      <c r="J91" s="1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22.5" customHeight="1">
      <c r="A92" s="35">
        <v>90.0</v>
      </c>
      <c r="B92" s="20">
        <v>106.0</v>
      </c>
      <c r="C92" s="36" t="s">
        <v>1218</v>
      </c>
      <c r="D92" s="13" t="s">
        <v>1537</v>
      </c>
      <c r="E92" s="13" t="s">
        <v>1538</v>
      </c>
      <c r="F92" s="13" t="s">
        <v>1539</v>
      </c>
      <c r="G92" s="13" t="s">
        <v>1540</v>
      </c>
      <c r="H92" s="13" t="s">
        <v>1541</v>
      </c>
      <c r="I92" s="15"/>
      <c r="J92" s="1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22.5" customHeight="1">
      <c r="A93" s="35">
        <v>91.0</v>
      </c>
      <c r="B93" s="20">
        <v>105.0</v>
      </c>
      <c r="C93" s="36" t="s">
        <v>1218</v>
      </c>
      <c r="D93" s="13" t="s">
        <v>1227</v>
      </c>
      <c r="E93" s="13" t="s">
        <v>1228</v>
      </c>
      <c r="F93" s="13" t="s">
        <v>1229</v>
      </c>
      <c r="G93" s="13" t="s">
        <v>1494</v>
      </c>
      <c r="H93" s="13" t="s">
        <v>1231</v>
      </c>
      <c r="I93" s="15"/>
      <c r="J93" s="1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22.5" customHeight="1">
      <c r="A94" s="35">
        <v>92.0</v>
      </c>
      <c r="B94" s="20">
        <v>105.0</v>
      </c>
      <c r="C94" s="36" t="s">
        <v>1218</v>
      </c>
      <c r="D94" s="13" t="s">
        <v>1542</v>
      </c>
      <c r="E94" s="13" t="s">
        <v>1543</v>
      </c>
      <c r="F94" s="13" t="s">
        <v>1544</v>
      </c>
      <c r="G94" s="13" t="s">
        <v>1545</v>
      </c>
      <c r="H94" s="13" t="s">
        <v>1546</v>
      </c>
      <c r="I94" s="14" t="s">
        <v>18</v>
      </c>
      <c r="J94" s="1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22.5" hidden="1" customHeight="1">
      <c r="A95" s="35">
        <v>93.0</v>
      </c>
      <c r="B95" s="20">
        <v>105.0</v>
      </c>
      <c r="C95" s="36" t="s">
        <v>1163</v>
      </c>
      <c r="D95" s="13" t="s">
        <v>1547</v>
      </c>
      <c r="E95" s="13" t="s">
        <v>1548</v>
      </c>
      <c r="F95" s="13" t="s">
        <v>1549</v>
      </c>
      <c r="G95" s="13" t="s">
        <v>1550</v>
      </c>
      <c r="H95" s="13" t="s">
        <v>1551</v>
      </c>
      <c r="I95" s="14" t="s">
        <v>18</v>
      </c>
      <c r="J95" s="14" t="s">
        <v>18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22.5" customHeight="1">
      <c r="A96" s="35">
        <v>94.0</v>
      </c>
      <c r="B96" s="20">
        <v>105.0</v>
      </c>
      <c r="C96" s="36" t="s">
        <v>1168</v>
      </c>
      <c r="D96" s="13" t="s">
        <v>1379</v>
      </c>
      <c r="E96" s="13" t="s">
        <v>1552</v>
      </c>
      <c r="F96" s="13" t="s">
        <v>1381</v>
      </c>
      <c r="G96" s="13" t="s">
        <v>1382</v>
      </c>
      <c r="H96" s="13" t="s">
        <v>1383</v>
      </c>
      <c r="I96" s="15"/>
      <c r="J96" s="1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22.5" customHeight="1">
      <c r="A97" s="35">
        <v>95.0</v>
      </c>
      <c r="B97" s="20">
        <v>105.0</v>
      </c>
      <c r="C97" s="36" t="s">
        <v>1168</v>
      </c>
      <c r="D97" s="13" t="s">
        <v>1190</v>
      </c>
      <c r="E97" s="13" t="s">
        <v>1553</v>
      </c>
      <c r="F97" s="13" t="s">
        <v>1191</v>
      </c>
      <c r="G97" s="13" t="s">
        <v>1554</v>
      </c>
      <c r="H97" s="14" t="s">
        <v>1193</v>
      </c>
      <c r="I97" s="15"/>
      <c r="J97" s="1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22.5" customHeight="1">
      <c r="A98" s="35">
        <v>96.0</v>
      </c>
      <c r="B98" s="20">
        <v>105.0</v>
      </c>
      <c r="C98" s="36" t="s">
        <v>1168</v>
      </c>
      <c r="D98" s="13" t="s">
        <v>1555</v>
      </c>
      <c r="E98" s="13" t="s">
        <v>1556</v>
      </c>
      <c r="F98" s="13" t="s">
        <v>1557</v>
      </c>
      <c r="G98" s="13" t="s">
        <v>462</v>
      </c>
      <c r="H98" s="13" t="s">
        <v>1558</v>
      </c>
      <c r="I98" s="14" t="s">
        <v>18</v>
      </c>
      <c r="J98" s="1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22.5" hidden="1" customHeight="1">
      <c r="A99" s="35">
        <v>97.0</v>
      </c>
      <c r="B99" s="20">
        <v>105.0</v>
      </c>
      <c r="C99" s="36" t="s">
        <v>1163</v>
      </c>
      <c r="D99" s="13" t="s">
        <v>1206</v>
      </c>
      <c r="E99" s="13" t="s">
        <v>1559</v>
      </c>
      <c r="F99" s="13" t="s">
        <v>1207</v>
      </c>
      <c r="G99" s="13" t="s">
        <v>1208</v>
      </c>
      <c r="H99" s="13" t="s">
        <v>1209</v>
      </c>
      <c r="I99" s="15"/>
      <c r="J99" s="1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22.5" hidden="1" customHeight="1">
      <c r="A100" s="35">
        <v>98.0</v>
      </c>
      <c r="B100" s="20">
        <v>105.0</v>
      </c>
      <c r="C100" s="36" t="s">
        <v>1163</v>
      </c>
      <c r="D100" s="13" t="s">
        <v>1560</v>
      </c>
      <c r="E100" s="13" t="s">
        <v>1561</v>
      </c>
      <c r="F100" s="13" t="s">
        <v>1562</v>
      </c>
      <c r="G100" s="13" t="s">
        <v>1563</v>
      </c>
      <c r="H100" s="13" t="s">
        <v>1564</v>
      </c>
      <c r="I100" s="15"/>
      <c r="J100" s="1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22.5" customHeight="1">
      <c r="A101" s="35">
        <v>99.0</v>
      </c>
      <c r="B101" s="20">
        <v>105.0</v>
      </c>
      <c r="C101" s="36" t="s">
        <v>1168</v>
      </c>
      <c r="D101" s="13" t="s">
        <v>1565</v>
      </c>
      <c r="E101" s="13" t="s">
        <v>1566</v>
      </c>
      <c r="F101" s="13" t="s">
        <v>1473</v>
      </c>
      <c r="G101" s="13" t="s">
        <v>1474</v>
      </c>
      <c r="H101" s="13" t="s">
        <v>1567</v>
      </c>
      <c r="I101" s="14" t="s">
        <v>18</v>
      </c>
      <c r="J101" s="1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22.5" customHeight="1">
      <c r="A102" s="35">
        <v>100.0</v>
      </c>
      <c r="B102" s="20">
        <v>105.0</v>
      </c>
      <c r="C102" s="36" t="s">
        <v>1168</v>
      </c>
      <c r="D102" s="13" t="s">
        <v>1568</v>
      </c>
      <c r="E102" s="13" t="s">
        <v>1569</v>
      </c>
      <c r="F102" s="13" t="s">
        <v>1570</v>
      </c>
      <c r="G102" s="13" t="s">
        <v>1571</v>
      </c>
      <c r="H102" s="13" t="s">
        <v>1222</v>
      </c>
      <c r="I102" s="14" t="s">
        <v>18</v>
      </c>
      <c r="J102" s="1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22.5" customHeight="1">
      <c r="A103" s="35">
        <v>101.0</v>
      </c>
      <c r="B103" s="20">
        <v>105.0</v>
      </c>
      <c r="C103" s="36" t="s">
        <v>1168</v>
      </c>
      <c r="D103" s="13" t="s">
        <v>1572</v>
      </c>
      <c r="E103" s="13" t="s">
        <v>1573</v>
      </c>
      <c r="F103" s="13" t="s">
        <v>1574</v>
      </c>
      <c r="G103" s="13" t="s">
        <v>1575</v>
      </c>
      <c r="H103" s="13" t="s">
        <v>1576</v>
      </c>
      <c r="I103" s="14" t="s">
        <v>18</v>
      </c>
      <c r="J103" s="1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22.5" hidden="1" customHeight="1">
      <c r="A104" s="35">
        <v>102.0</v>
      </c>
      <c r="B104" s="20">
        <v>105.0</v>
      </c>
      <c r="C104" s="36" t="s">
        <v>1163</v>
      </c>
      <c r="D104" s="13" t="s">
        <v>1577</v>
      </c>
      <c r="E104" s="13" t="s">
        <v>1578</v>
      </c>
      <c r="F104" s="13" t="s">
        <v>1579</v>
      </c>
      <c r="G104" s="13" t="s">
        <v>1580</v>
      </c>
      <c r="H104" s="13" t="s">
        <v>1581</v>
      </c>
      <c r="I104" s="15"/>
      <c r="J104" s="1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22.5" hidden="1" customHeight="1">
      <c r="A105" s="35">
        <v>103.0</v>
      </c>
      <c r="B105" s="20">
        <v>105.0</v>
      </c>
      <c r="C105" s="36" t="s">
        <v>1163</v>
      </c>
      <c r="D105" s="13" t="s">
        <v>1582</v>
      </c>
      <c r="E105" s="13" t="s">
        <v>1583</v>
      </c>
      <c r="F105" s="13" t="s">
        <v>1584</v>
      </c>
      <c r="G105" s="13" t="s">
        <v>1585</v>
      </c>
      <c r="H105" s="13" t="s">
        <v>1586</v>
      </c>
      <c r="I105" s="14" t="s">
        <v>18</v>
      </c>
      <c r="J105" s="14" t="s">
        <v>18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22.5" customHeight="1">
      <c r="A106" s="35">
        <v>104.0</v>
      </c>
      <c r="B106" s="20">
        <v>105.0</v>
      </c>
      <c r="C106" s="36" t="s">
        <v>1168</v>
      </c>
      <c r="D106" s="13" t="s">
        <v>1587</v>
      </c>
      <c r="E106" s="13" t="s">
        <v>1588</v>
      </c>
      <c r="F106" s="13" t="s">
        <v>1589</v>
      </c>
      <c r="G106" s="13" t="s">
        <v>1590</v>
      </c>
      <c r="H106" s="13" t="s">
        <v>1591</v>
      </c>
      <c r="I106" s="14" t="s">
        <v>18</v>
      </c>
      <c r="J106" s="1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22.5" customHeight="1">
      <c r="A107" s="35">
        <v>105.0</v>
      </c>
      <c r="B107" s="20">
        <v>105.0</v>
      </c>
      <c r="C107" s="36" t="s">
        <v>1168</v>
      </c>
      <c r="D107" s="13" t="s">
        <v>1421</v>
      </c>
      <c r="E107" s="13" t="s">
        <v>1422</v>
      </c>
      <c r="F107" s="13" t="s">
        <v>1423</v>
      </c>
      <c r="G107" s="13" t="s">
        <v>1424</v>
      </c>
      <c r="H107" s="13" t="s">
        <v>1425</v>
      </c>
      <c r="I107" s="15"/>
      <c r="J107" s="1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22.5" customHeight="1">
      <c r="A108" s="35">
        <v>106.0</v>
      </c>
      <c r="B108" s="20">
        <v>104.0</v>
      </c>
      <c r="C108" s="36" t="s">
        <v>1218</v>
      </c>
      <c r="D108" s="13" t="s">
        <v>1592</v>
      </c>
      <c r="E108" s="13" t="s">
        <v>1593</v>
      </c>
      <c r="F108" s="13" t="s">
        <v>1309</v>
      </c>
      <c r="G108" s="13" t="s">
        <v>1594</v>
      </c>
      <c r="H108" s="21" t="s">
        <v>1595</v>
      </c>
      <c r="I108" s="14" t="s">
        <v>18</v>
      </c>
      <c r="J108" s="1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22.5" customHeight="1">
      <c r="A109" s="35">
        <v>107.0</v>
      </c>
      <c r="B109" s="20">
        <v>104.0</v>
      </c>
      <c r="C109" s="36" t="s">
        <v>1168</v>
      </c>
      <c r="D109" s="13" t="s">
        <v>1596</v>
      </c>
      <c r="E109" s="13" t="s">
        <v>1597</v>
      </c>
      <c r="F109" s="13" t="s">
        <v>309</v>
      </c>
      <c r="G109" s="13" t="s">
        <v>310</v>
      </c>
      <c r="H109" s="13" t="s">
        <v>1598</v>
      </c>
      <c r="I109" s="14" t="s">
        <v>18</v>
      </c>
      <c r="J109" s="1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22.5" hidden="1" customHeight="1">
      <c r="A110" s="35">
        <v>108.0</v>
      </c>
      <c r="B110" s="20">
        <v>104.0</v>
      </c>
      <c r="C110" s="36" t="s">
        <v>1163</v>
      </c>
      <c r="D110" s="13" t="s">
        <v>1599</v>
      </c>
      <c r="E110" s="13" t="s">
        <v>1600</v>
      </c>
      <c r="F110" s="13" t="s">
        <v>1601</v>
      </c>
      <c r="G110" s="13" t="s">
        <v>1602</v>
      </c>
      <c r="H110" s="13" t="s">
        <v>1603</v>
      </c>
      <c r="I110" s="14" t="s">
        <v>18</v>
      </c>
      <c r="J110" s="1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22.5" customHeight="1">
      <c r="A111" s="35">
        <v>109.0</v>
      </c>
      <c r="B111" s="20">
        <v>104.0</v>
      </c>
      <c r="C111" s="36" t="s">
        <v>1168</v>
      </c>
      <c r="D111" s="13" t="s">
        <v>1604</v>
      </c>
      <c r="E111" s="13" t="s">
        <v>1605</v>
      </c>
      <c r="F111" s="13" t="s">
        <v>1606</v>
      </c>
      <c r="G111" s="13" t="s">
        <v>1607</v>
      </c>
      <c r="H111" s="13" t="s">
        <v>1608</v>
      </c>
      <c r="I111" s="14" t="s">
        <v>18</v>
      </c>
      <c r="J111" s="1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22.5" customHeight="1">
      <c r="A112" s="35">
        <v>110.0</v>
      </c>
      <c r="B112" s="20">
        <v>104.0</v>
      </c>
      <c r="C112" s="36" t="s">
        <v>1218</v>
      </c>
      <c r="D112" s="13" t="s">
        <v>1454</v>
      </c>
      <c r="E112" s="13" t="s">
        <v>1609</v>
      </c>
      <c r="F112" s="13" t="s">
        <v>1610</v>
      </c>
      <c r="G112" s="13" t="s">
        <v>1611</v>
      </c>
      <c r="H112" s="13" t="s">
        <v>1612</v>
      </c>
      <c r="I112" s="14" t="s">
        <v>18</v>
      </c>
      <c r="J112" s="1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22.5" hidden="1" customHeight="1">
      <c r="A113" s="35">
        <v>111.0</v>
      </c>
      <c r="B113" s="20">
        <v>104.0</v>
      </c>
      <c r="C113" s="36" t="s">
        <v>1163</v>
      </c>
      <c r="D113" s="13" t="s">
        <v>1321</v>
      </c>
      <c r="E113" s="13" t="s">
        <v>1613</v>
      </c>
      <c r="F113" s="13" t="s">
        <v>1323</v>
      </c>
      <c r="G113" s="13" t="s">
        <v>1324</v>
      </c>
      <c r="H113" s="13" t="s">
        <v>1325</v>
      </c>
      <c r="I113" s="15"/>
      <c r="J113" s="1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22.5" hidden="1" customHeight="1">
      <c r="A114" s="35">
        <v>112.0</v>
      </c>
      <c r="B114" s="20">
        <v>104.0</v>
      </c>
      <c r="C114" s="36" t="s">
        <v>1163</v>
      </c>
      <c r="D114" s="13" t="s">
        <v>1614</v>
      </c>
      <c r="E114" s="13" t="s">
        <v>1615</v>
      </c>
      <c r="F114" s="13" t="s">
        <v>47</v>
      </c>
      <c r="G114" s="13" t="s">
        <v>48</v>
      </c>
      <c r="H114" s="13" t="s">
        <v>1616</v>
      </c>
      <c r="I114" s="14" t="s">
        <v>18</v>
      </c>
      <c r="J114" s="1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22.5" customHeight="1">
      <c r="A115" s="35">
        <v>113.0</v>
      </c>
      <c r="B115" s="20">
        <v>104.0</v>
      </c>
      <c r="C115" s="36" t="s">
        <v>1168</v>
      </c>
      <c r="D115" s="13" t="s">
        <v>1617</v>
      </c>
      <c r="E115" s="13" t="s">
        <v>1618</v>
      </c>
      <c r="F115" s="13" t="s">
        <v>1619</v>
      </c>
      <c r="G115" s="13" t="s">
        <v>1620</v>
      </c>
      <c r="H115" s="13" t="s">
        <v>1621</v>
      </c>
      <c r="I115" s="14" t="s">
        <v>18</v>
      </c>
      <c r="J115" s="1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22.5" customHeight="1">
      <c r="A116" s="35">
        <v>114.0</v>
      </c>
      <c r="B116" s="20">
        <v>104.0</v>
      </c>
      <c r="C116" s="36" t="s">
        <v>1168</v>
      </c>
      <c r="D116" s="13" t="s">
        <v>1265</v>
      </c>
      <c r="E116" s="13" t="s">
        <v>1266</v>
      </c>
      <c r="F116" s="13" t="s">
        <v>1267</v>
      </c>
      <c r="G116" s="13" t="s">
        <v>1268</v>
      </c>
      <c r="H116" s="13" t="s">
        <v>1269</v>
      </c>
      <c r="I116" s="15"/>
      <c r="J116" s="1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22.5" customHeight="1">
      <c r="A117" s="35">
        <v>115.0</v>
      </c>
      <c r="B117" s="20">
        <v>104.0</v>
      </c>
      <c r="C117" s="36" t="s">
        <v>1168</v>
      </c>
      <c r="D117" s="13" t="s">
        <v>1622</v>
      </c>
      <c r="E117" s="13" t="s">
        <v>1623</v>
      </c>
      <c r="F117" s="13" t="s">
        <v>1574</v>
      </c>
      <c r="G117" s="13" t="s">
        <v>1575</v>
      </c>
      <c r="H117" s="13" t="s">
        <v>1576</v>
      </c>
      <c r="I117" s="15"/>
      <c r="J117" s="1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22.5" hidden="1" customHeight="1">
      <c r="A118" s="35">
        <v>116.0</v>
      </c>
      <c r="B118" s="20">
        <v>104.0</v>
      </c>
      <c r="C118" s="36" t="s">
        <v>1163</v>
      </c>
      <c r="D118" s="13" t="s">
        <v>1577</v>
      </c>
      <c r="E118" s="13" t="s">
        <v>1624</v>
      </c>
      <c r="F118" s="13" t="s">
        <v>1579</v>
      </c>
      <c r="G118" s="13" t="s">
        <v>1580</v>
      </c>
      <c r="H118" s="13" t="s">
        <v>1581</v>
      </c>
      <c r="I118" s="15"/>
      <c r="J118" s="1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22.5" customHeight="1">
      <c r="A119" s="35">
        <v>117.0</v>
      </c>
      <c r="B119" s="20">
        <v>104.0</v>
      </c>
      <c r="C119" s="36" t="s">
        <v>1168</v>
      </c>
      <c r="D119" s="13" t="s">
        <v>1279</v>
      </c>
      <c r="E119" s="13" t="s">
        <v>1280</v>
      </c>
      <c r="F119" s="13" t="s">
        <v>1281</v>
      </c>
      <c r="G119" s="13" t="s">
        <v>1282</v>
      </c>
      <c r="H119" s="13" t="s">
        <v>1283</v>
      </c>
      <c r="I119" s="15"/>
      <c r="J119" s="1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22.5" customHeight="1">
      <c r="A120" s="35">
        <v>118.0</v>
      </c>
      <c r="B120" s="20">
        <v>104.0</v>
      </c>
      <c r="C120" s="36" t="s">
        <v>1218</v>
      </c>
      <c r="D120" s="13" t="s">
        <v>1625</v>
      </c>
      <c r="E120" s="13" t="s">
        <v>1626</v>
      </c>
      <c r="F120" s="13" t="s">
        <v>1627</v>
      </c>
      <c r="G120" s="13" t="s">
        <v>1628</v>
      </c>
      <c r="H120" s="13" t="s">
        <v>1629</v>
      </c>
      <c r="I120" s="14" t="s">
        <v>18</v>
      </c>
      <c r="J120" s="1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22.5" hidden="1" customHeight="1">
      <c r="A121" s="35">
        <v>119.0</v>
      </c>
      <c r="B121" s="20">
        <v>104.0</v>
      </c>
      <c r="C121" s="36" t="s">
        <v>1163</v>
      </c>
      <c r="D121" s="13" t="s">
        <v>1630</v>
      </c>
      <c r="E121" s="13" t="s">
        <v>1631</v>
      </c>
      <c r="F121" s="13" t="s">
        <v>1632</v>
      </c>
      <c r="G121" s="13" t="s">
        <v>1633</v>
      </c>
      <c r="H121" s="13" t="s">
        <v>1634</v>
      </c>
      <c r="I121" s="15"/>
      <c r="J121" s="1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22.5" customHeight="1">
      <c r="A122" s="35">
        <v>120.0</v>
      </c>
      <c r="B122" s="20">
        <v>104.0</v>
      </c>
      <c r="C122" s="36" t="s">
        <v>1168</v>
      </c>
      <c r="D122" s="13" t="s">
        <v>1635</v>
      </c>
      <c r="E122" s="13" t="s">
        <v>1636</v>
      </c>
      <c r="F122" s="13" t="s">
        <v>1637</v>
      </c>
      <c r="G122" s="13" t="s">
        <v>1638</v>
      </c>
      <c r="H122" s="13" t="s">
        <v>1639</v>
      </c>
      <c r="I122" s="14" t="s">
        <v>18</v>
      </c>
      <c r="J122" s="1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22.5" hidden="1" customHeight="1">
      <c r="A123" s="35">
        <v>121.0</v>
      </c>
      <c r="B123" s="20">
        <v>103.0</v>
      </c>
      <c r="C123" s="36" t="s">
        <v>1163</v>
      </c>
      <c r="D123" s="13" t="s">
        <v>1164</v>
      </c>
      <c r="E123" s="13" t="s">
        <v>1640</v>
      </c>
      <c r="F123" s="13" t="s">
        <v>1165</v>
      </c>
      <c r="G123" s="13" t="s">
        <v>1166</v>
      </c>
      <c r="H123" s="13" t="s">
        <v>1167</v>
      </c>
      <c r="I123" s="15"/>
      <c r="J123" s="1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22.5" customHeight="1">
      <c r="A124" s="35">
        <v>122.0</v>
      </c>
      <c r="B124" s="20">
        <v>103.0</v>
      </c>
      <c r="C124" s="36" t="s">
        <v>1168</v>
      </c>
      <c r="D124" s="13" t="s">
        <v>1444</v>
      </c>
      <c r="E124" s="13" t="s">
        <v>1445</v>
      </c>
      <c r="F124" s="13" t="s">
        <v>1446</v>
      </c>
      <c r="G124" s="13" t="s">
        <v>1447</v>
      </c>
      <c r="H124" s="13" t="s">
        <v>1448</v>
      </c>
      <c r="I124" s="15"/>
      <c r="J124" s="1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22.5" customHeight="1">
      <c r="A125" s="35">
        <v>123.0</v>
      </c>
      <c r="B125" s="20">
        <v>103.0</v>
      </c>
      <c r="C125" s="36" t="s">
        <v>1218</v>
      </c>
      <c r="D125" s="13" t="s">
        <v>1641</v>
      </c>
      <c r="E125" s="13" t="s">
        <v>1642</v>
      </c>
      <c r="F125" s="13" t="s">
        <v>1643</v>
      </c>
      <c r="G125" s="13" t="s">
        <v>1644</v>
      </c>
      <c r="H125" s="13" t="s">
        <v>1645</v>
      </c>
      <c r="I125" s="14" t="s">
        <v>18</v>
      </c>
      <c r="J125" s="1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22.5" customHeight="1">
      <c r="A126" s="35">
        <v>124.0</v>
      </c>
      <c r="B126" s="20">
        <v>103.0</v>
      </c>
      <c r="C126" s="36" t="s">
        <v>1218</v>
      </c>
      <c r="D126" s="13" t="s">
        <v>1646</v>
      </c>
      <c r="E126" s="13" t="s">
        <v>1647</v>
      </c>
      <c r="F126" s="13" t="s">
        <v>1648</v>
      </c>
      <c r="G126" s="13" t="s">
        <v>1649</v>
      </c>
      <c r="H126" s="13" t="s">
        <v>1650</v>
      </c>
      <c r="I126" s="14" t="s">
        <v>18</v>
      </c>
      <c r="J126" s="1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22.5" customHeight="1">
      <c r="A127" s="35">
        <v>125.0</v>
      </c>
      <c r="B127" s="20">
        <v>103.0</v>
      </c>
      <c r="C127" s="36" t="s">
        <v>1218</v>
      </c>
      <c r="D127" s="13" t="s">
        <v>1651</v>
      </c>
      <c r="E127" s="13" t="s">
        <v>1652</v>
      </c>
      <c r="F127" s="13" t="s">
        <v>1653</v>
      </c>
      <c r="G127" s="13" t="s">
        <v>1654</v>
      </c>
      <c r="H127" s="13" t="s">
        <v>1655</v>
      </c>
      <c r="I127" s="14" t="s">
        <v>18</v>
      </c>
      <c r="J127" s="1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22.5" customHeight="1">
      <c r="A128" s="35">
        <v>126.0</v>
      </c>
      <c r="B128" s="20">
        <v>103.0</v>
      </c>
      <c r="C128" s="36" t="s">
        <v>1168</v>
      </c>
      <c r="D128" s="13" t="s">
        <v>1519</v>
      </c>
      <c r="E128" s="13" t="s">
        <v>1520</v>
      </c>
      <c r="F128" s="13" t="s">
        <v>1521</v>
      </c>
      <c r="G128" s="13" t="s">
        <v>1522</v>
      </c>
      <c r="H128" s="13" t="s">
        <v>1523</v>
      </c>
      <c r="I128" s="15"/>
      <c r="J128" s="1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22.5" hidden="1" customHeight="1">
      <c r="A129" s="35">
        <v>127.0</v>
      </c>
      <c r="B129" s="20">
        <v>103.0</v>
      </c>
      <c r="C129" s="36" t="s">
        <v>1163</v>
      </c>
      <c r="D129" s="13" t="s">
        <v>1656</v>
      </c>
      <c r="E129" s="13" t="s">
        <v>1657</v>
      </c>
      <c r="F129" s="13" t="s">
        <v>1658</v>
      </c>
      <c r="G129" s="13" t="s">
        <v>1659</v>
      </c>
      <c r="H129" s="13" t="s">
        <v>1660</v>
      </c>
      <c r="I129" s="14" t="s">
        <v>18</v>
      </c>
      <c r="J129" s="14" t="s">
        <v>18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22.5" hidden="1" customHeight="1">
      <c r="A130" s="35">
        <v>128.0</v>
      </c>
      <c r="B130" s="20">
        <v>103.0</v>
      </c>
      <c r="C130" s="36" t="s">
        <v>1163</v>
      </c>
      <c r="D130" s="13" t="s">
        <v>1661</v>
      </c>
      <c r="E130" s="13" t="s">
        <v>1662</v>
      </c>
      <c r="F130" s="13" t="s">
        <v>640</v>
      </c>
      <c r="G130" s="13" t="s">
        <v>641</v>
      </c>
      <c r="H130" s="13" t="s">
        <v>1663</v>
      </c>
      <c r="I130" s="15"/>
      <c r="J130" s="1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22.5" hidden="1" customHeight="1">
      <c r="A131" s="35">
        <v>129.0</v>
      </c>
      <c r="B131" s="20">
        <v>103.0</v>
      </c>
      <c r="C131" s="36" t="s">
        <v>1163</v>
      </c>
      <c r="D131" s="13" t="s">
        <v>1664</v>
      </c>
      <c r="E131" s="13" t="s">
        <v>1665</v>
      </c>
      <c r="F131" s="13" t="s">
        <v>1666</v>
      </c>
      <c r="G131" s="13" t="s">
        <v>1667</v>
      </c>
      <c r="H131" s="13" t="s">
        <v>1668</v>
      </c>
      <c r="I131" s="14"/>
      <c r="J131" s="1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22.5" customHeight="1">
      <c r="A132" s="35">
        <v>130.0</v>
      </c>
      <c r="B132" s="20">
        <v>103.0</v>
      </c>
      <c r="C132" s="36" t="s">
        <v>1168</v>
      </c>
      <c r="D132" s="13" t="s">
        <v>1669</v>
      </c>
      <c r="E132" s="13" t="s">
        <v>1670</v>
      </c>
      <c r="F132" s="13" t="s">
        <v>516</v>
      </c>
      <c r="G132" s="13" t="s">
        <v>1671</v>
      </c>
      <c r="H132" s="13" t="s">
        <v>1672</v>
      </c>
      <c r="I132" s="14" t="s">
        <v>18</v>
      </c>
      <c r="J132" s="1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22.5" customHeight="1">
      <c r="A133" s="35">
        <v>131.0</v>
      </c>
      <c r="B133" s="20">
        <v>103.0</v>
      </c>
      <c r="C133" s="36" t="s">
        <v>1218</v>
      </c>
      <c r="D133" s="13" t="s">
        <v>1673</v>
      </c>
      <c r="E133" s="13" t="s">
        <v>1674</v>
      </c>
      <c r="F133" s="13" t="s">
        <v>1675</v>
      </c>
      <c r="G133" s="13" t="s">
        <v>1676</v>
      </c>
      <c r="H133" s="13" t="s">
        <v>1677</v>
      </c>
      <c r="I133" s="14" t="s">
        <v>18</v>
      </c>
      <c r="J133" s="1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22.5" customHeight="1">
      <c r="A134" s="35">
        <v>132.0</v>
      </c>
      <c r="B134" s="20">
        <v>103.0</v>
      </c>
      <c r="C134" s="36" t="s">
        <v>1168</v>
      </c>
      <c r="D134" s="13" t="s">
        <v>1407</v>
      </c>
      <c r="E134" s="13" t="s">
        <v>1678</v>
      </c>
      <c r="F134" s="13" t="s">
        <v>1409</v>
      </c>
      <c r="G134" s="13" t="s">
        <v>1679</v>
      </c>
      <c r="H134" s="13" t="s">
        <v>1411</v>
      </c>
      <c r="I134" s="14" t="s">
        <v>18</v>
      </c>
      <c r="J134" s="1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22.5" hidden="1" customHeight="1">
      <c r="A135" s="35">
        <v>133.0</v>
      </c>
      <c r="B135" s="20">
        <v>103.0</v>
      </c>
      <c r="C135" s="36" t="s">
        <v>1163</v>
      </c>
      <c r="D135" s="13" t="s">
        <v>1680</v>
      </c>
      <c r="E135" s="13" t="s">
        <v>1681</v>
      </c>
      <c r="F135" s="13" t="s">
        <v>1682</v>
      </c>
      <c r="G135" s="13" t="s">
        <v>1683</v>
      </c>
      <c r="H135" s="13" t="s">
        <v>1684</v>
      </c>
      <c r="I135" s="15"/>
      <c r="J135" s="1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22.5" customHeight="1">
      <c r="A136" s="35">
        <v>134.0</v>
      </c>
      <c r="B136" s="20">
        <v>103.0</v>
      </c>
      <c r="C136" s="36" t="s">
        <v>1218</v>
      </c>
      <c r="D136" s="13" t="s">
        <v>1685</v>
      </c>
      <c r="E136" s="13" t="s">
        <v>1686</v>
      </c>
      <c r="F136" s="13" t="s">
        <v>1687</v>
      </c>
      <c r="G136" s="13" t="s">
        <v>1688</v>
      </c>
      <c r="H136" s="13" t="s">
        <v>1689</v>
      </c>
      <c r="I136" s="14" t="s">
        <v>18</v>
      </c>
      <c r="J136" s="1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22.5" customHeight="1">
      <c r="A137" s="35">
        <v>135.0</v>
      </c>
      <c r="B137" s="20">
        <v>103.0</v>
      </c>
      <c r="C137" s="36" t="s">
        <v>1218</v>
      </c>
      <c r="D137" s="13" t="s">
        <v>1537</v>
      </c>
      <c r="E137" s="13" t="s">
        <v>1538</v>
      </c>
      <c r="F137" s="13" t="s">
        <v>1539</v>
      </c>
      <c r="G137" s="13" t="s">
        <v>1540</v>
      </c>
      <c r="H137" s="13" t="s">
        <v>1541</v>
      </c>
      <c r="I137" s="15"/>
      <c r="J137" s="1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22.5" customHeight="1">
      <c r="A138" s="35">
        <v>136.0</v>
      </c>
      <c r="B138" s="20">
        <v>102.0</v>
      </c>
      <c r="C138" s="36" t="s">
        <v>1218</v>
      </c>
      <c r="D138" s="13" t="s">
        <v>1227</v>
      </c>
      <c r="E138" s="13" t="s">
        <v>1228</v>
      </c>
      <c r="F138" s="13" t="s">
        <v>1229</v>
      </c>
      <c r="G138" s="13" t="s">
        <v>1494</v>
      </c>
      <c r="H138" s="13" t="s">
        <v>1231</v>
      </c>
      <c r="I138" s="15"/>
      <c r="J138" s="1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22.5" hidden="1" customHeight="1">
      <c r="A139" s="35">
        <v>137.0</v>
      </c>
      <c r="B139" s="20">
        <v>102.0</v>
      </c>
      <c r="C139" s="36" t="s">
        <v>1163</v>
      </c>
      <c r="D139" s="13" t="s">
        <v>1434</v>
      </c>
      <c r="E139" s="13" t="s">
        <v>1435</v>
      </c>
      <c r="F139" s="13" t="s">
        <v>1690</v>
      </c>
      <c r="G139" s="13" t="s">
        <v>1691</v>
      </c>
      <c r="H139" s="13" t="s">
        <v>1692</v>
      </c>
      <c r="I139" s="14"/>
      <c r="J139" s="1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22.5" hidden="1" customHeight="1">
      <c r="A140" s="35">
        <v>138.0</v>
      </c>
      <c r="B140" s="20">
        <v>102.0</v>
      </c>
      <c r="C140" s="36" t="s">
        <v>1163</v>
      </c>
      <c r="D140" s="13" t="s">
        <v>1501</v>
      </c>
      <c r="E140" s="13" t="s">
        <v>1693</v>
      </c>
      <c r="F140" s="13" t="s">
        <v>1000</v>
      </c>
      <c r="G140" s="13" t="s">
        <v>1694</v>
      </c>
      <c r="H140" s="13" t="s">
        <v>1503</v>
      </c>
      <c r="I140" s="14" t="s">
        <v>18</v>
      </c>
      <c r="J140" s="14" t="s">
        <v>18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22.5" customHeight="1">
      <c r="A141" s="35">
        <v>139.0</v>
      </c>
      <c r="B141" s="20">
        <v>102.0</v>
      </c>
      <c r="C141" s="36" t="s">
        <v>1168</v>
      </c>
      <c r="D141" s="13" t="s">
        <v>1695</v>
      </c>
      <c r="E141" s="13" t="s">
        <v>1696</v>
      </c>
      <c r="F141" s="21" t="s">
        <v>1697</v>
      </c>
      <c r="G141" s="13" t="s">
        <v>1698</v>
      </c>
      <c r="H141" s="21" t="s">
        <v>1699</v>
      </c>
      <c r="I141" s="14" t="s">
        <v>18</v>
      </c>
      <c r="J141" s="1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22.5" customHeight="1">
      <c r="A142" s="35">
        <v>140.0</v>
      </c>
      <c r="B142" s="20">
        <v>102.0</v>
      </c>
      <c r="C142" s="36" t="s">
        <v>1168</v>
      </c>
      <c r="D142" s="13" t="s">
        <v>1509</v>
      </c>
      <c r="E142" s="13" t="s">
        <v>1510</v>
      </c>
      <c r="F142" s="13" t="s">
        <v>1511</v>
      </c>
      <c r="G142" s="13" t="s">
        <v>1512</v>
      </c>
      <c r="H142" s="13" t="s">
        <v>1513</v>
      </c>
      <c r="I142" s="15"/>
      <c r="J142" s="1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22.5" customHeight="1">
      <c r="A143" s="35">
        <v>141.0</v>
      </c>
      <c r="B143" s="20">
        <v>102.0</v>
      </c>
      <c r="C143" s="36" t="s">
        <v>1218</v>
      </c>
      <c r="D143" s="13" t="s">
        <v>1700</v>
      </c>
      <c r="E143" s="13" t="s">
        <v>1701</v>
      </c>
      <c r="F143" s="13" t="s">
        <v>1702</v>
      </c>
      <c r="G143" s="13" t="s">
        <v>1703</v>
      </c>
      <c r="H143" s="13" t="s">
        <v>1704</v>
      </c>
      <c r="I143" s="14" t="s">
        <v>18</v>
      </c>
      <c r="J143" s="1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22.5" customHeight="1">
      <c r="A144" s="35">
        <v>142.0</v>
      </c>
      <c r="B144" s="20">
        <v>102.0</v>
      </c>
      <c r="C144" s="36" t="s">
        <v>1168</v>
      </c>
      <c r="D144" s="13" t="s">
        <v>1519</v>
      </c>
      <c r="E144" s="13" t="s">
        <v>1520</v>
      </c>
      <c r="F144" s="13" t="s">
        <v>1521</v>
      </c>
      <c r="G144" s="13" t="s">
        <v>1522</v>
      </c>
      <c r="H144" s="13" t="s">
        <v>1523</v>
      </c>
      <c r="I144" s="15"/>
      <c r="J144" s="1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22.5" customHeight="1">
      <c r="A145" s="35">
        <v>143.0</v>
      </c>
      <c r="B145" s="20">
        <v>102.0</v>
      </c>
      <c r="C145" s="36" t="s">
        <v>1218</v>
      </c>
      <c r="D145" s="13" t="s">
        <v>1389</v>
      </c>
      <c r="E145" s="13" t="s">
        <v>1705</v>
      </c>
      <c r="F145" s="13" t="s">
        <v>1391</v>
      </c>
      <c r="G145" s="13" t="s">
        <v>1706</v>
      </c>
      <c r="H145" s="11" t="s">
        <v>1393</v>
      </c>
      <c r="I145" s="14" t="s">
        <v>18</v>
      </c>
      <c r="J145" s="1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22.5" customHeight="1">
      <c r="A146" s="35">
        <v>144.0</v>
      </c>
      <c r="B146" s="20">
        <v>102.0</v>
      </c>
      <c r="C146" s="36" t="s">
        <v>1168</v>
      </c>
      <c r="D146" s="13" t="s">
        <v>1555</v>
      </c>
      <c r="E146" s="13" t="s">
        <v>1556</v>
      </c>
      <c r="F146" s="13" t="s">
        <v>1557</v>
      </c>
      <c r="G146" s="13" t="s">
        <v>462</v>
      </c>
      <c r="H146" s="13" t="s">
        <v>1558</v>
      </c>
      <c r="I146" s="15"/>
      <c r="J146" s="1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22.5" customHeight="1">
      <c r="A147" s="35">
        <v>145.0</v>
      </c>
      <c r="B147" s="20">
        <v>102.0</v>
      </c>
      <c r="C147" s="36" t="s">
        <v>1168</v>
      </c>
      <c r="D147" s="13" t="s">
        <v>1210</v>
      </c>
      <c r="E147" s="13" t="s">
        <v>1211</v>
      </c>
      <c r="F147" s="13" t="s">
        <v>89</v>
      </c>
      <c r="G147" s="13" t="s">
        <v>90</v>
      </c>
      <c r="H147" s="13" t="s">
        <v>1213</v>
      </c>
      <c r="I147" s="14" t="s">
        <v>18</v>
      </c>
      <c r="J147" s="1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22.5" customHeight="1">
      <c r="A148" s="35">
        <v>146.0</v>
      </c>
      <c r="B148" s="20">
        <v>102.0</v>
      </c>
      <c r="C148" s="36" t="s">
        <v>1168</v>
      </c>
      <c r="D148" s="13" t="s">
        <v>1707</v>
      </c>
      <c r="E148" s="13" t="s">
        <v>1708</v>
      </c>
      <c r="F148" s="13" t="s">
        <v>1215</v>
      </c>
      <c r="G148" s="13" t="s">
        <v>1709</v>
      </c>
      <c r="H148" s="13" t="s">
        <v>1217</v>
      </c>
      <c r="I148" s="14" t="s">
        <v>18</v>
      </c>
      <c r="J148" s="1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22.5" hidden="1" customHeight="1">
      <c r="A149" s="35">
        <v>147.0</v>
      </c>
      <c r="B149" s="20">
        <v>102.0</v>
      </c>
      <c r="C149" s="36" t="s">
        <v>1163</v>
      </c>
      <c r="D149" s="13" t="s">
        <v>1404</v>
      </c>
      <c r="E149" s="13" t="s">
        <v>1405</v>
      </c>
      <c r="F149" s="13" t="s">
        <v>1333</v>
      </c>
      <c r="G149" s="13" t="s">
        <v>1334</v>
      </c>
      <c r="H149" s="13" t="s">
        <v>1406</v>
      </c>
      <c r="I149" s="14" t="s">
        <v>18</v>
      </c>
      <c r="J149" s="1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22.5" customHeight="1">
      <c r="A150" s="35">
        <v>148.0</v>
      </c>
      <c r="B150" s="20">
        <v>102.0</v>
      </c>
      <c r="C150" s="36" t="s">
        <v>1168</v>
      </c>
      <c r="D150" s="13" t="s">
        <v>1279</v>
      </c>
      <c r="E150" s="13" t="s">
        <v>1280</v>
      </c>
      <c r="F150" s="13" t="s">
        <v>1281</v>
      </c>
      <c r="G150" s="13" t="s">
        <v>1282</v>
      </c>
      <c r="H150" s="13" t="s">
        <v>1283</v>
      </c>
      <c r="I150" s="15"/>
      <c r="J150" s="1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22.5" hidden="1" customHeight="1">
      <c r="A151" s="35">
        <v>149.0</v>
      </c>
      <c r="B151" s="20">
        <v>102.0</v>
      </c>
      <c r="C151" s="36" t="s">
        <v>1163</v>
      </c>
      <c r="D151" s="13" t="s">
        <v>1710</v>
      </c>
      <c r="E151" s="13" t="s">
        <v>1711</v>
      </c>
      <c r="F151" s="13" t="s">
        <v>181</v>
      </c>
      <c r="G151" s="13" t="s">
        <v>182</v>
      </c>
      <c r="H151" s="13" t="s">
        <v>1712</v>
      </c>
      <c r="I151" s="15"/>
      <c r="J151" s="1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22.5" hidden="1" customHeight="1">
      <c r="A152" s="35">
        <v>150.0</v>
      </c>
      <c r="B152" s="20">
        <v>102.0</v>
      </c>
      <c r="C152" s="36" t="s">
        <v>1163</v>
      </c>
      <c r="D152" s="13" t="s">
        <v>1481</v>
      </c>
      <c r="E152" s="13" t="s">
        <v>1713</v>
      </c>
      <c r="F152" s="13" t="s">
        <v>1276</v>
      </c>
      <c r="G152" s="13" t="s">
        <v>1277</v>
      </c>
      <c r="H152" s="13" t="s">
        <v>1483</v>
      </c>
      <c r="I152" s="15"/>
      <c r="J152" s="1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22.5" customHeight="1">
      <c r="A153" s="35">
        <v>151.0</v>
      </c>
      <c r="B153" s="20">
        <v>101.0</v>
      </c>
      <c r="C153" s="36" t="s">
        <v>1218</v>
      </c>
      <c r="D153" s="13" t="s">
        <v>1227</v>
      </c>
      <c r="E153" s="13" t="s">
        <v>1228</v>
      </c>
      <c r="F153" s="13" t="s">
        <v>1229</v>
      </c>
      <c r="G153" s="13" t="s">
        <v>1494</v>
      </c>
      <c r="H153" s="13" t="s">
        <v>1231</v>
      </c>
      <c r="I153" s="15"/>
      <c r="J153" s="1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22.5" hidden="1" customHeight="1">
      <c r="A154" s="35">
        <v>152.0</v>
      </c>
      <c r="B154" s="20">
        <v>101.0</v>
      </c>
      <c r="C154" s="36" t="s">
        <v>1163</v>
      </c>
      <c r="D154" s="13" t="s">
        <v>1434</v>
      </c>
      <c r="E154" s="13" t="s">
        <v>1435</v>
      </c>
      <c r="F154" s="13" t="s">
        <v>1690</v>
      </c>
      <c r="G154" s="13" t="s">
        <v>1691</v>
      </c>
      <c r="H154" s="13" t="s">
        <v>1692</v>
      </c>
      <c r="I154" s="14" t="s">
        <v>18</v>
      </c>
      <c r="J154" s="1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22.5" customHeight="1">
      <c r="A155" s="35">
        <v>153.0</v>
      </c>
      <c r="B155" s="20">
        <v>101.0</v>
      </c>
      <c r="C155" s="36" t="s">
        <v>1218</v>
      </c>
      <c r="D155" s="13" t="s">
        <v>1714</v>
      </c>
      <c r="E155" s="13" t="s">
        <v>1715</v>
      </c>
      <c r="F155" s="13" t="s">
        <v>1716</v>
      </c>
      <c r="G155" s="13" t="s">
        <v>1717</v>
      </c>
      <c r="H155" s="13" t="s">
        <v>1718</v>
      </c>
      <c r="I155" s="15"/>
      <c r="J155" s="1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22.5" customHeight="1">
      <c r="A156" s="35">
        <v>154.0</v>
      </c>
      <c r="B156" s="20">
        <v>101.0</v>
      </c>
      <c r="C156" s="36" t="s">
        <v>1168</v>
      </c>
      <c r="D156" s="13" t="s">
        <v>1719</v>
      </c>
      <c r="E156" s="13" t="s">
        <v>1720</v>
      </c>
      <c r="F156" s="13" t="s">
        <v>1721</v>
      </c>
      <c r="G156" s="13" t="s">
        <v>1722</v>
      </c>
      <c r="H156" s="13" t="s">
        <v>1236</v>
      </c>
      <c r="I156" s="14" t="s">
        <v>18</v>
      </c>
      <c r="J156" s="1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22.5" hidden="1" customHeight="1">
      <c r="A157" s="35">
        <v>155.0</v>
      </c>
      <c r="B157" s="20">
        <v>101.0</v>
      </c>
      <c r="C157" s="36" t="s">
        <v>1163</v>
      </c>
      <c r="D157" s="13" t="s">
        <v>1321</v>
      </c>
      <c r="E157" s="13" t="s">
        <v>1723</v>
      </c>
      <c r="F157" s="13" t="s">
        <v>1323</v>
      </c>
      <c r="G157" s="13" t="s">
        <v>1324</v>
      </c>
      <c r="H157" s="13" t="s">
        <v>1325</v>
      </c>
      <c r="I157" s="15"/>
      <c r="J157" s="1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22.5" customHeight="1">
      <c r="A158" s="35">
        <v>156.0</v>
      </c>
      <c r="B158" s="20">
        <v>101.0</v>
      </c>
      <c r="C158" s="36" t="s">
        <v>1168</v>
      </c>
      <c r="D158" s="13" t="s">
        <v>1242</v>
      </c>
      <c r="E158" s="13" t="s">
        <v>1243</v>
      </c>
      <c r="F158" s="13" t="s">
        <v>1244</v>
      </c>
      <c r="G158" s="13" t="s">
        <v>1724</v>
      </c>
      <c r="H158" s="13" t="s">
        <v>1246</v>
      </c>
      <c r="I158" s="15"/>
      <c r="J158" s="1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22.5" customHeight="1">
      <c r="A159" s="35">
        <v>157.0</v>
      </c>
      <c r="B159" s="20">
        <v>101.0</v>
      </c>
      <c r="C159" s="36" t="s">
        <v>1168</v>
      </c>
      <c r="D159" s="13" t="s">
        <v>1725</v>
      </c>
      <c r="E159" s="13" t="s">
        <v>1552</v>
      </c>
      <c r="F159" s="13" t="s">
        <v>1726</v>
      </c>
      <c r="G159" s="13" t="s">
        <v>1727</v>
      </c>
      <c r="H159" s="13" t="s">
        <v>1383</v>
      </c>
      <c r="I159" s="15"/>
      <c r="J159" s="1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22.5" customHeight="1">
      <c r="A160" s="35">
        <v>158.0</v>
      </c>
      <c r="B160" s="20">
        <v>101.0</v>
      </c>
      <c r="C160" s="36" t="s">
        <v>1168</v>
      </c>
      <c r="D160" s="13" t="s">
        <v>1728</v>
      </c>
      <c r="E160" s="13" t="s">
        <v>1729</v>
      </c>
      <c r="F160" s="13" t="s">
        <v>1730</v>
      </c>
      <c r="G160" s="13" t="s">
        <v>1731</v>
      </c>
      <c r="H160" s="13" t="s">
        <v>1732</v>
      </c>
      <c r="I160" s="15"/>
      <c r="J160" s="1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22.5" customHeight="1">
      <c r="A161" s="35">
        <v>159.0</v>
      </c>
      <c r="B161" s="20">
        <v>101.0</v>
      </c>
      <c r="C161" s="36" t="s">
        <v>1168</v>
      </c>
      <c r="D161" s="13" t="s">
        <v>1555</v>
      </c>
      <c r="E161" s="13" t="s">
        <v>1556</v>
      </c>
      <c r="F161" s="13" t="s">
        <v>1557</v>
      </c>
      <c r="G161" s="13" t="s">
        <v>462</v>
      </c>
      <c r="H161" s="13" t="s">
        <v>1558</v>
      </c>
      <c r="I161" s="15"/>
      <c r="J161" s="1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22.5" customHeight="1">
      <c r="A162" s="35">
        <v>160.0</v>
      </c>
      <c r="B162" s="20">
        <v>101.0</v>
      </c>
      <c r="C162" s="36" t="s">
        <v>1168</v>
      </c>
      <c r="D162" s="13" t="s">
        <v>1733</v>
      </c>
      <c r="E162" s="13" t="s">
        <v>1734</v>
      </c>
      <c r="F162" s="13" t="s">
        <v>1735</v>
      </c>
      <c r="G162" s="13" t="s">
        <v>1736</v>
      </c>
      <c r="H162" s="13" t="s">
        <v>1737</v>
      </c>
      <c r="I162" s="15"/>
      <c r="J162" s="1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22.5" customHeight="1">
      <c r="A163" s="35">
        <v>161.0</v>
      </c>
      <c r="B163" s="20">
        <v>101.0</v>
      </c>
      <c r="C163" s="36" t="s">
        <v>1168</v>
      </c>
      <c r="D163" s="13" t="s">
        <v>1265</v>
      </c>
      <c r="E163" s="13" t="s">
        <v>1266</v>
      </c>
      <c r="F163" s="13" t="s">
        <v>1267</v>
      </c>
      <c r="G163" s="13" t="s">
        <v>1268</v>
      </c>
      <c r="H163" s="13" t="s">
        <v>1269</v>
      </c>
      <c r="I163" s="14" t="s">
        <v>18</v>
      </c>
      <c r="J163" s="1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22.5" hidden="1" customHeight="1">
      <c r="A164" s="35">
        <v>162.0</v>
      </c>
      <c r="B164" s="20">
        <v>101.0</v>
      </c>
      <c r="C164" s="36" t="s">
        <v>1163</v>
      </c>
      <c r="D164" s="13" t="s">
        <v>1738</v>
      </c>
      <c r="E164" s="13" t="s">
        <v>1739</v>
      </c>
      <c r="F164" s="13" t="s">
        <v>1740</v>
      </c>
      <c r="G164" s="13" t="s">
        <v>1741</v>
      </c>
      <c r="H164" s="13" t="s">
        <v>1742</v>
      </c>
      <c r="I164" s="15"/>
      <c r="J164" s="1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22.5" hidden="1" customHeight="1">
      <c r="A165" s="35">
        <v>163.0</v>
      </c>
      <c r="B165" s="20">
        <v>101.0</v>
      </c>
      <c r="C165" s="36" t="s">
        <v>1163</v>
      </c>
      <c r="D165" s="13" t="s">
        <v>1358</v>
      </c>
      <c r="E165" s="13" t="s">
        <v>1743</v>
      </c>
      <c r="F165" s="13" t="s">
        <v>1360</v>
      </c>
      <c r="G165" s="13" t="s">
        <v>1361</v>
      </c>
      <c r="H165" s="13" t="s">
        <v>1362</v>
      </c>
      <c r="I165" s="15"/>
      <c r="J165" s="1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22.5" customHeight="1">
      <c r="A166" s="35">
        <v>164.0</v>
      </c>
      <c r="B166" s="20">
        <v>101.0</v>
      </c>
      <c r="C166" s="36" t="s">
        <v>1168</v>
      </c>
      <c r="D166" s="13" t="s">
        <v>1744</v>
      </c>
      <c r="E166" s="13" t="s">
        <v>1422</v>
      </c>
      <c r="F166" s="13" t="s">
        <v>1745</v>
      </c>
      <c r="G166" s="13" t="s">
        <v>1746</v>
      </c>
      <c r="H166" s="13" t="s">
        <v>1425</v>
      </c>
      <c r="I166" s="15"/>
      <c r="J166" s="1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22.5" hidden="1" customHeight="1">
      <c r="A167" s="35">
        <v>165.0</v>
      </c>
      <c r="B167" s="20">
        <v>101.0</v>
      </c>
      <c r="C167" s="36" t="s">
        <v>1163</v>
      </c>
      <c r="D167" s="13" t="s">
        <v>1481</v>
      </c>
      <c r="E167" s="13" t="s">
        <v>1713</v>
      </c>
      <c r="F167" s="13" t="s">
        <v>1276</v>
      </c>
      <c r="G167" s="13" t="s">
        <v>1277</v>
      </c>
      <c r="H167" s="13" t="s">
        <v>1483</v>
      </c>
      <c r="I167" s="14" t="s">
        <v>18</v>
      </c>
      <c r="J167" s="1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22.5" customHeight="1">
      <c r="A168" s="35">
        <v>166.0</v>
      </c>
      <c r="B168" s="20">
        <v>100.0</v>
      </c>
      <c r="C168" s="36" t="s">
        <v>1218</v>
      </c>
      <c r="D168" s="13" t="s">
        <v>1747</v>
      </c>
      <c r="E168" s="13" t="s">
        <v>1748</v>
      </c>
      <c r="F168" s="13" t="s">
        <v>1749</v>
      </c>
      <c r="G168" s="13" t="s">
        <v>1750</v>
      </c>
      <c r="H168" s="13" t="s">
        <v>1751</v>
      </c>
      <c r="I168" s="14" t="s">
        <v>18</v>
      </c>
      <c r="J168" s="1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22.5" hidden="1" customHeight="1">
      <c r="A169" s="35">
        <v>167.0</v>
      </c>
      <c r="B169" s="20">
        <v>100.0</v>
      </c>
      <c r="C169" s="36" t="s">
        <v>1163</v>
      </c>
      <c r="D169" s="13" t="s">
        <v>1368</v>
      </c>
      <c r="E169" s="13" t="s">
        <v>1752</v>
      </c>
      <c r="F169" s="13" t="s">
        <v>1753</v>
      </c>
      <c r="G169" s="13" t="s">
        <v>1754</v>
      </c>
      <c r="H169" s="13" t="s">
        <v>1755</v>
      </c>
      <c r="I169" s="14" t="s">
        <v>18</v>
      </c>
      <c r="J169" s="1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22.5" customHeight="1">
      <c r="A170" s="35">
        <v>168.0</v>
      </c>
      <c r="B170" s="20">
        <v>100.0</v>
      </c>
      <c r="C170" s="36" t="s">
        <v>1218</v>
      </c>
      <c r="D170" s="13" t="s">
        <v>1756</v>
      </c>
      <c r="E170" s="13" t="s">
        <v>1757</v>
      </c>
      <c r="F170" s="13" t="s">
        <v>1758</v>
      </c>
      <c r="G170" s="13" t="s">
        <v>1759</v>
      </c>
      <c r="H170" s="13" t="s">
        <v>1760</v>
      </c>
      <c r="I170" s="14" t="s">
        <v>18</v>
      </c>
      <c r="J170" s="1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22.5" hidden="1" customHeight="1">
      <c r="A171" s="35">
        <v>169.0</v>
      </c>
      <c r="B171" s="20">
        <v>100.0</v>
      </c>
      <c r="C171" s="36" t="s">
        <v>1163</v>
      </c>
      <c r="D171" s="13" t="s">
        <v>1761</v>
      </c>
      <c r="E171" s="13" t="s">
        <v>1762</v>
      </c>
      <c r="F171" s="13" t="s">
        <v>1239</v>
      </c>
      <c r="G171" s="13" t="s">
        <v>1240</v>
      </c>
      <c r="H171" s="13" t="s">
        <v>1763</v>
      </c>
      <c r="I171" s="14" t="s">
        <v>18</v>
      </c>
      <c r="J171" s="1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22.5" customHeight="1">
      <c r="A172" s="35">
        <v>170.0</v>
      </c>
      <c r="B172" s="20">
        <v>100.0</v>
      </c>
      <c r="C172" s="36" t="s">
        <v>1168</v>
      </c>
      <c r="D172" s="13" t="s">
        <v>1764</v>
      </c>
      <c r="E172" s="13" t="s">
        <v>1765</v>
      </c>
      <c r="F172" s="13" t="s">
        <v>1766</v>
      </c>
      <c r="G172" s="13" t="s">
        <v>1767</v>
      </c>
      <c r="H172" s="13" t="s">
        <v>1768</v>
      </c>
      <c r="I172" s="14" t="s">
        <v>18</v>
      </c>
      <c r="J172" s="1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22.5" customHeight="1">
      <c r="A173" s="35">
        <v>171.0</v>
      </c>
      <c r="B173" s="20">
        <v>100.0</v>
      </c>
      <c r="C173" s="36" t="s">
        <v>1218</v>
      </c>
      <c r="D173" s="13" t="s">
        <v>1454</v>
      </c>
      <c r="E173" s="13" t="s">
        <v>1609</v>
      </c>
      <c r="F173" s="13" t="s">
        <v>1610</v>
      </c>
      <c r="G173" s="13" t="s">
        <v>1611</v>
      </c>
      <c r="H173" s="13" t="s">
        <v>1612</v>
      </c>
      <c r="I173" s="15"/>
      <c r="J173" s="1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22.5" customHeight="1">
      <c r="A174" s="35">
        <v>172.0</v>
      </c>
      <c r="B174" s="20">
        <v>100.0</v>
      </c>
      <c r="C174" s="36" t="s">
        <v>1218</v>
      </c>
      <c r="D174" s="13" t="s">
        <v>1769</v>
      </c>
      <c r="E174" s="13" t="s">
        <v>1770</v>
      </c>
      <c r="F174" s="13" t="s">
        <v>1702</v>
      </c>
      <c r="G174" s="13" t="s">
        <v>1771</v>
      </c>
      <c r="H174" s="13" t="s">
        <v>1704</v>
      </c>
      <c r="I174" s="15"/>
      <c r="J174" s="1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22.5" customHeight="1">
      <c r="A175" s="35">
        <v>173.0</v>
      </c>
      <c r="B175" s="20">
        <v>100.0</v>
      </c>
      <c r="C175" s="36" t="s">
        <v>1168</v>
      </c>
      <c r="D175" s="13" t="s">
        <v>1379</v>
      </c>
      <c r="E175" s="13" t="s">
        <v>1552</v>
      </c>
      <c r="F175" s="13" t="s">
        <v>1381</v>
      </c>
      <c r="G175" s="13" t="s">
        <v>1382</v>
      </c>
      <c r="H175" s="13" t="s">
        <v>1383</v>
      </c>
      <c r="I175" s="15"/>
      <c r="J175" s="1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22.5" customHeight="1">
      <c r="A176" s="35">
        <v>174.0</v>
      </c>
      <c r="B176" s="20">
        <v>100.0</v>
      </c>
      <c r="C176" s="36" t="s">
        <v>1168</v>
      </c>
      <c r="D176" s="13" t="s">
        <v>1772</v>
      </c>
      <c r="E176" s="13"/>
      <c r="F176" s="13" t="s">
        <v>1773</v>
      </c>
      <c r="G176" s="13" t="s">
        <v>1774</v>
      </c>
      <c r="H176" s="13" t="s">
        <v>1775</v>
      </c>
      <c r="I176" s="14" t="s">
        <v>18</v>
      </c>
      <c r="J176" s="1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22.5" customHeight="1">
      <c r="A177" s="35">
        <v>175.0</v>
      </c>
      <c r="B177" s="20">
        <v>100.0</v>
      </c>
      <c r="C177" s="36" t="s">
        <v>1168</v>
      </c>
      <c r="D177" s="13" t="s">
        <v>1776</v>
      </c>
      <c r="E177" s="13" t="s">
        <v>1777</v>
      </c>
      <c r="F177" s="13" t="s">
        <v>1778</v>
      </c>
      <c r="G177" s="13" t="s">
        <v>1779</v>
      </c>
      <c r="H177" s="13" t="s">
        <v>1780</v>
      </c>
      <c r="I177" s="15"/>
      <c r="J177" s="1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22.5" hidden="1" customHeight="1">
      <c r="A178" s="35">
        <v>176.0</v>
      </c>
      <c r="B178" s="20">
        <v>100.0</v>
      </c>
      <c r="C178" s="36" t="s">
        <v>1163</v>
      </c>
      <c r="D178" s="13" t="s">
        <v>1781</v>
      </c>
      <c r="E178" s="13" t="s">
        <v>1782</v>
      </c>
      <c r="F178" s="13" t="s">
        <v>922</v>
      </c>
      <c r="G178" s="13" t="s">
        <v>923</v>
      </c>
      <c r="H178" s="13" t="s">
        <v>1783</v>
      </c>
      <c r="I178" s="14" t="s">
        <v>18</v>
      </c>
      <c r="J178" s="1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22.5" hidden="1" customHeight="1">
      <c r="A179" s="35">
        <v>177.0</v>
      </c>
      <c r="B179" s="20">
        <v>100.0</v>
      </c>
      <c r="C179" s="36" t="s">
        <v>1163</v>
      </c>
      <c r="D179" s="13" t="s">
        <v>1680</v>
      </c>
      <c r="E179" s="13" t="s">
        <v>1681</v>
      </c>
      <c r="F179" s="13" t="s">
        <v>1682</v>
      </c>
      <c r="G179" s="13" t="s">
        <v>1683</v>
      </c>
      <c r="H179" s="13" t="s">
        <v>1684</v>
      </c>
      <c r="I179" s="15"/>
      <c r="J179" s="1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22.5" hidden="1" customHeight="1">
      <c r="A180" s="35">
        <v>178.0</v>
      </c>
      <c r="B180" s="20">
        <v>100.0</v>
      </c>
      <c r="C180" s="36" t="s">
        <v>1163</v>
      </c>
      <c r="D180" s="13" t="s">
        <v>1784</v>
      </c>
      <c r="E180" s="13" t="s">
        <v>1785</v>
      </c>
      <c r="F180" s="13" t="s">
        <v>1786</v>
      </c>
      <c r="G180" s="13" t="s">
        <v>1787</v>
      </c>
      <c r="H180" s="13" t="s">
        <v>1788</v>
      </c>
      <c r="I180" s="15"/>
      <c r="J180" s="1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22.5" customHeight="1">
      <c r="A181" s="35">
        <v>179.0</v>
      </c>
      <c r="B181" s="20">
        <v>100.0</v>
      </c>
      <c r="C181" s="36" t="s">
        <v>1168</v>
      </c>
      <c r="D181" s="13" t="s">
        <v>1476</v>
      </c>
      <c r="E181" s="13" t="s">
        <v>1280</v>
      </c>
      <c r="F181" s="13" t="s">
        <v>435</v>
      </c>
      <c r="G181" s="13" t="s">
        <v>436</v>
      </c>
      <c r="H181" s="13" t="s">
        <v>1283</v>
      </c>
      <c r="I181" s="15"/>
      <c r="J181" s="1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22.5" customHeight="1">
      <c r="A182" s="35">
        <v>180.0</v>
      </c>
      <c r="B182" s="20">
        <v>100.0</v>
      </c>
      <c r="C182" s="36" t="s">
        <v>1168</v>
      </c>
      <c r="D182" s="13" t="s">
        <v>1532</v>
      </c>
      <c r="E182" s="13" t="s">
        <v>1533</v>
      </c>
      <c r="F182" s="13" t="s">
        <v>1534</v>
      </c>
      <c r="G182" s="13" t="s">
        <v>1535</v>
      </c>
      <c r="H182" s="13" t="s">
        <v>1536</v>
      </c>
      <c r="I182" s="14" t="s">
        <v>18</v>
      </c>
      <c r="J182" s="1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22.5" hidden="1" customHeight="1">
      <c r="A183" s="35">
        <v>181.0</v>
      </c>
      <c r="B183" s="20">
        <v>99.0</v>
      </c>
      <c r="C183" s="36" t="s">
        <v>1163</v>
      </c>
      <c r="D183" s="13" t="s">
        <v>1164</v>
      </c>
      <c r="E183" s="13" t="s">
        <v>1500</v>
      </c>
      <c r="F183" s="13" t="s">
        <v>1165</v>
      </c>
      <c r="G183" s="13" t="s">
        <v>1166</v>
      </c>
      <c r="H183" s="13" t="s">
        <v>1167</v>
      </c>
      <c r="I183" s="15"/>
      <c r="J183" s="1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22.5" customHeight="1">
      <c r="A184" s="35">
        <v>182.0</v>
      </c>
      <c r="B184" s="20">
        <v>99.0</v>
      </c>
      <c r="C184" s="36" t="s">
        <v>1218</v>
      </c>
      <c r="D184" s="13" t="s">
        <v>1504</v>
      </c>
      <c r="E184" s="13" t="s">
        <v>1789</v>
      </c>
      <c r="F184" s="13" t="s">
        <v>1790</v>
      </c>
      <c r="G184" s="13" t="s">
        <v>1791</v>
      </c>
      <c r="H184" s="13" t="s">
        <v>1792</v>
      </c>
      <c r="I184" s="14" t="s">
        <v>18</v>
      </c>
      <c r="J184" s="1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22.5" customHeight="1">
      <c r="A185" s="35">
        <v>183.0</v>
      </c>
      <c r="B185" s="20">
        <v>99.0</v>
      </c>
      <c r="C185" s="36" t="s">
        <v>1168</v>
      </c>
      <c r="D185" s="13" t="s">
        <v>1793</v>
      </c>
      <c r="E185" s="13" t="s">
        <v>1794</v>
      </c>
      <c r="F185" s="13" t="s">
        <v>1795</v>
      </c>
      <c r="G185" s="13" t="s">
        <v>1796</v>
      </c>
      <c r="H185" s="13" t="s">
        <v>1797</v>
      </c>
      <c r="I185" s="14" t="s">
        <v>18</v>
      </c>
      <c r="J185" s="1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22.5" hidden="1" customHeight="1">
      <c r="A186" s="35">
        <v>184.0</v>
      </c>
      <c r="B186" s="20">
        <v>99.0</v>
      </c>
      <c r="C186" s="36" t="s">
        <v>1163</v>
      </c>
      <c r="D186" s="13" t="s">
        <v>1798</v>
      </c>
      <c r="E186" s="13" t="s">
        <v>1799</v>
      </c>
      <c r="F186" s="13" t="s">
        <v>1800</v>
      </c>
      <c r="G186" s="13" t="s">
        <v>1801</v>
      </c>
      <c r="H186" s="13" t="s">
        <v>1802</v>
      </c>
      <c r="I186" s="14" t="s">
        <v>18</v>
      </c>
      <c r="J186" s="1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22.5" customHeight="1">
      <c r="A187" s="35">
        <v>185.0</v>
      </c>
      <c r="B187" s="20">
        <v>99.0</v>
      </c>
      <c r="C187" s="36" t="s">
        <v>1168</v>
      </c>
      <c r="D187" s="13" t="s">
        <v>1803</v>
      </c>
      <c r="E187" s="13" t="s">
        <v>1804</v>
      </c>
      <c r="F187" s="13" t="s">
        <v>1805</v>
      </c>
      <c r="G187" s="13" t="s">
        <v>1806</v>
      </c>
      <c r="H187" s="13" t="s">
        <v>1807</v>
      </c>
      <c r="I187" s="14" t="s">
        <v>18</v>
      </c>
      <c r="J187" s="1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22.5" customHeight="1">
      <c r="A188" s="35">
        <v>186.0</v>
      </c>
      <c r="B188" s="20">
        <v>99.0</v>
      </c>
      <c r="C188" s="36" t="s">
        <v>1168</v>
      </c>
      <c r="D188" s="13" t="s">
        <v>1808</v>
      </c>
      <c r="E188" s="13" t="s">
        <v>1556</v>
      </c>
      <c r="F188" s="13" t="s">
        <v>1809</v>
      </c>
      <c r="G188" s="13" t="s">
        <v>1810</v>
      </c>
      <c r="H188" s="13" t="s">
        <v>1558</v>
      </c>
      <c r="I188" s="14" t="s">
        <v>18</v>
      </c>
      <c r="J188" s="1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22.5" customHeight="1">
      <c r="A189" s="35">
        <v>187.0</v>
      </c>
      <c r="B189" s="20">
        <v>99.0</v>
      </c>
      <c r="C189" s="36" t="s">
        <v>1168</v>
      </c>
      <c r="D189" s="13" t="s">
        <v>1669</v>
      </c>
      <c r="E189" s="13" t="s">
        <v>1670</v>
      </c>
      <c r="F189" s="13" t="s">
        <v>516</v>
      </c>
      <c r="G189" s="13" t="s">
        <v>1671</v>
      </c>
      <c r="H189" s="13" t="s">
        <v>1672</v>
      </c>
      <c r="I189" s="14" t="s">
        <v>18</v>
      </c>
      <c r="J189" s="1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22.5" customHeight="1">
      <c r="A190" s="35">
        <v>188.0</v>
      </c>
      <c r="B190" s="20">
        <v>99.0</v>
      </c>
      <c r="C190" s="36" t="s">
        <v>1168</v>
      </c>
      <c r="D190" s="13" t="s">
        <v>1811</v>
      </c>
      <c r="E190" s="13" t="s">
        <v>1812</v>
      </c>
      <c r="F190" s="13" t="s">
        <v>1813</v>
      </c>
      <c r="G190" s="13" t="s">
        <v>1814</v>
      </c>
      <c r="H190" s="13" t="s">
        <v>1815</v>
      </c>
      <c r="I190" s="14" t="s">
        <v>18</v>
      </c>
      <c r="J190" s="1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22.5" hidden="1" customHeight="1">
      <c r="A191" s="35">
        <v>189.0</v>
      </c>
      <c r="B191" s="20">
        <v>99.0</v>
      </c>
      <c r="C191" s="36" t="s">
        <v>1163</v>
      </c>
      <c r="D191" s="13" t="s">
        <v>1816</v>
      </c>
      <c r="E191" s="13" t="s">
        <v>1817</v>
      </c>
      <c r="F191" s="13" t="s">
        <v>1818</v>
      </c>
      <c r="G191" s="13" t="s">
        <v>1819</v>
      </c>
      <c r="H191" s="13" t="s">
        <v>1820</v>
      </c>
      <c r="I191" s="15"/>
      <c r="J191" s="1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22.5" hidden="1" customHeight="1">
      <c r="A192" s="35">
        <v>190.0</v>
      </c>
      <c r="B192" s="20">
        <v>99.0</v>
      </c>
      <c r="C192" s="36" t="s">
        <v>1163</v>
      </c>
      <c r="D192" s="13" t="s">
        <v>1821</v>
      </c>
      <c r="E192" s="13" t="s">
        <v>1822</v>
      </c>
      <c r="F192" s="13" t="s">
        <v>1823</v>
      </c>
      <c r="G192" s="13" t="s">
        <v>1824</v>
      </c>
      <c r="H192" s="13" t="s">
        <v>1825</v>
      </c>
      <c r="I192" s="14" t="s">
        <v>18</v>
      </c>
      <c r="J192" s="1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22.5" customHeight="1">
      <c r="A193" s="35">
        <v>191.0</v>
      </c>
      <c r="B193" s="20">
        <v>99.0</v>
      </c>
      <c r="C193" s="36" t="s">
        <v>1168</v>
      </c>
      <c r="D193" s="13" t="s">
        <v>1826</v>
      </c>
      <c r="E193" s="13" t="s">
        <v>1777</v>
      </c>
      <c r="F193" s="13" t="s">
        <v>1827</v>
      </c>
      <c r="G193" s="13" t="s">
        <v>1828</v>
      </c>
      <c r="H193" s="13" t="s">
        <v>1780</v>
      </c>
      <c r="I193" s="15"/>
      <c r="J193" s="1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22.5" customHeight="1">
      <c r="A194" s="35">
        <v>192.0</v>
      </c>
      <c r="B194" s="20">
        <v>99.0</v>
      </c>
      <c r="C194" s="36" t="s">
        <v>1168</v>
      </c>
      <c r="D194" s="13" t="s">
        <v>1829</v>
      </c>
      <c r="E194" s="13" t="s">
        <v>1830</v>
      </c>
      <c r="F194" s="13" t="s">
        <v>1831</v>
      </c>
      <c r="G194" s="13" t="s">
        <v>1832</v>
      </c>
      <c r="H194" s="13" t="s">
        <v>1833</v>
      </c>
      <c r="I194" s="14" t="s">
        <v>18</v>
      </c>
      <c r="J194" s="1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22.5" hidden="1" customHeight="1">
      <c r="A195" s="35">
        <v>193.0</v>
      </c>
      <c r="B195" s="20">
        <v>99.0</v>
      </c>
      <c r="C195" s="36" t="s">
        <v>1163</v>
      </c>
      <c r="D195" s="13" t="s">
        <v>1834</v>
      </c>
      <c r="E195" s="13" t="s">
        <v>1835</v>
      </c>
      <c r="F195" s="13" t="s">
        <v>1836</v>
      </c>
      <c r="G195" s="13" t="s">
        <v>1837</v>
      </c>
      <c r="H195" s="13" t="s">
        <v>1838</v>
      </c>
      <c r="I195" s="14" t="s">
        <v>18</v>
      </c>
      <c r="J195" s="1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22.5" customHeight="1">
      <c r="A196" s="35">
        <v>194.0</v>
      </c>
      <c r="B196" s="20">
        <v>99.0</v>
      </c>
      <c r="C196" s="36" t="s">
        <v>1168</v>
      </c>
      <c r="D196" s="13" t="s">
        <v>1744</v>
      </c>
      <c r="E196" s="13" t="s">
        <v>1422</v>
      </c>
      <c r="F196" s="13" t="s">
        <v>1745</v>
      </c>
      <c r="G196" s="13" t="s">
        <v>1746</v>
      </c>
      <c r="H196" s="13" t="s">
        <v>1425</v>
      </c>
      <c r="I196" s="15"/>
      <c r="J196" s="1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22.5" customHeight="1">
      <c r="A197" s="35">
        <v>195.0</v>
      </c>
      <c r="B197" s="20">
        <v>99.0</v>
      </c>
      <c r="C197" s="36" t="s">
        <v>1218</v>
      </c>
      <c r="D197" s="13" t="s">
        <v>1537</v>
      </c>
      <c r="E197" s="13" t="s">
        <v>1538</v>
      </c>
      <c r="F197" s="13" t="s">
        <v>1539</v>
      </c>
      <c r="G197" s="13" t="s">
        <v>1540</v>
      </c>
      <c r="H197" s="13" t="s">
        <v>1541</v>
      </c>
      <c r="I197" s="15"/>
      <c r="J197" s="1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22.5" customHeight="1">
      <c r="A198" s="35">
        <v>196.0</v>
      </c>
      <c r="B198" s="20">
        <v>98.0</v>
      </c>
      <c r="C198" s="36" t="s">
        <v>1168</v>
      </c>
      <c r="D198" s="13" t="s">
        <v>1839</v>
      </c>
      <c r="E198" s="13" t="s">
        <v>1445</v>
      </c>
      <c r="F198" s="13" t="s">
        <v>1840</v>
      </c>
      <c r="G198" s="13" t="s">
        <v>1841</v>
      </c>
      <c r="H198" s="13" t="s">
        <v>1448</v>
      </c>
      <c r="I198" s="15"/>
      <c r="J198" s="1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22.5" customHeight="1">
      <c r="A199" s="35">
        <v>197.0</v>
      </c>
      <c r="B199" s="20">
        <v>98.0</v>
      </c>
      <c r="C199" s="36" t="s">
        <v>1218</v>
      </c>
      <c r="D199" s="13" t="s">
        <v>1842</v>
      </c>
      <c r="E199" s="13" t="s">
        <v>1843</v>
      </c>
      <c r="F199" s="13" t="s">
        <v>1844</v>
      </c>
      <c r="G199" s="13" t="s">
        <v>1845</v>
      </c>
      <c r="H199" s="13" t="s">
        <v>1846</v>
      </c>
      <c r="I199" s="14" t="s">
        <v>18</v>
      </c>
      <c r="J199" s="1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22.5" customHeight="1">
      <c r="A200" s="35">
        <v>198.0</v>
      </c>
      <c r="B200" s="20">
        <v>98.0</v>
      </c>
      <c r="C200" s="36" t="s">
        <v>1218</v>
      </c>
      <c r="D200" s="13" t="s">
        <v>1847</v>
      </c>
      <c r="E200" s="13" t="s">
        <v>1848</v>
      </c>
      <c r="F200" s="13" t="s">
        <v>1849</v>
      </c>
      <c r="G200" s="13" t="s">
        <v>1850</v>
      </c>
      <c r="H200" s="13" t="s">
        <v>1851</v>
      </c>
      <c r="I200" s="14" t="s">
        <v>18</v>
      </c>
      <c r="J200" s="1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22.5" customHeight="1">
      <c r="A201" s="35">
        <v>199.0</v>
      </c>
      <c r="B201" s="20">
        <v>98.0</v>
      </c>
      <c r="C201" s="36" t="s">
        <v>1168</v>
      </c>
      <c r="D201" s="13" t="s">
        <v>1336</v>
      </c>
      <c r="E201" s="13" t="s">
        <v>1852</v>
      </c>
      <c r="F201" s="13" t="s">
        <v>1338</v>
      </c>
      <c r="G201" s="13" t="s">
        <v>1853</v>
      </c>
      <c r="H201" s="13" t="s">
        <v>1340</v>
      </c>
      <c r="I201" s="14" t="s">
        <v>18</v>
      </c>
      <c r="J201" s="1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22.5" customHeight="1">
      <c r="A202" s="35">
        <v>200.0</v>
      </c>
      <c r="B202" s="20">
        <v>98.0</v>
      </c>
      <c r="C202" s="36" t="s">
        <v>1168</v>
      </c>
      <c r="D202" s="13" t="s">
        <v>1854</v>
      </c>
      <c r="E202" s="13" t="s">
        <v>1855</v>
      </c>
      <c r="F202" s="13" t="s">
        <v>1856</v>
      </c>
      <c r="G202" s="13" t="s">
        <v>1857</v>
      </c>
      <c r="H202" s="13" t="s">
        <v>1858</v>
      </c>
      <c r="I202" s="15"/>
      <c r="J202" s="1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22.5" hidden="1" customHeight="1">
      <c r="A203" s="35">
        <v>201.0</v>
      </c>
      <c r="B203" s="20">
        <v>98.0</v>
      </c>
      <c r="C203" s="36" t="s">
        <v>1163</v>
      </c>
      <c r="D203" s="13" t="s">
        <v>1859</v>
      </c>
      <c r="E203" s="13" t="s">
        <v>1860</v>
      </c>
      <c r="F203" s="13" t="s">
        <v>435</v>
      </c>
      <c r="G203" s="13" t="s">
        <v>436</v>
      </c>
      <c r="H203" s="21" t="s">
        <v>1861</v>
      </c>
      <c r="I203" s="14" t="s">
        <v>18</v>
      </c>
      <c r="J203" s="1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22.5" customHeight="1">
      <c r="A204" s="35">
        <v>202.0</v>
      </c>
      <c r="B204" s="20">
        <v>98.0</v>
      </c>
      <c r="C204" s="36" t="s">
        <v>1218</v>
      </c>
      <c r="D204" s="13" t="s">
        <v>1862</v>
      </c>
      <c r="E204" s="13" t="s">
        <v>1863</v>
      </c>
      <c r="F204" s="13" t="s">
        <v>1864</v>
      </c>
      <c r="G204" s="13" t="s">
        <v>1865</v>
      </c>
      <c r="H204" s="13" t="s">
        <v>1866</v>
      </c>
      <c r="I204" s="14" t="s">
        <v>18</v>
      </c>
      <c r="J204" s="1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22.5" hidden="1" customHeight="1">
      <c r="A205" s="35">
        <v>203.0</v>
      </c>
      <c r="B205" s="20">
        <v>98.0</v>
      </c>
      <c r="C205" s="36" t="s">
        <v>1163</v>
      </c>
      <c r="D205" s="13" t="s">
        <v>1206</v>
      </c>
      <c r="E205" s="13" t="s">
        <v>1559</v>
      </c>
      <c r="F205" s="13" t="s">
        <v>1207</v>
      </c>
      <c r="G205" s="13" t="s">
        <v>1208</v>
      </c>
      <c r="H205" s="13" t="s">
        <v>1209</v>
      </c>
      <c r="I205" s="15"/>
      <c r="J205" s="1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22.5" customHeight="1">
      <c r="A206" s="35">
        <v>204.0</v>
      </c>
      <c r="B206" s="20">
        <v>98.0</v>
      </c>
      <c r="C206" s="36" t="s">
        <v>1168</v>
      </c>
      <c r="D206" s="13" t="s">
        <v>1867</v>
      </c>
      <c r="E206" s="13" t="s">
        <v>1868</v>
      </c>
      <c r="F206" s="13" t="s">
        <v>1869</v>
      </c>
      <c r="G206" s="13" t="s">
        <v>1870</v>
      </c>
      <c r="H206" s="13" t="s">
        <v>1871</v>
      </c>
      <c r="I206" s="15"/>
      <c r="J206" s="1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22.5" customHeight="1">
      <c r="A207" s="35">
        <v>205.0</v>
      </c>
      <c r="B207" s="20">
        <v>98.0</v>
      </c>
      <c r="C207" s="36" t="s">
        <v>1168</v>
      </c>
      <c r="D207" s="13" t="s">
        <v>1872</v>
      </c>
      <c r="E207" s="13" t="s">
        <v>1873</v>
      </c>
      <c r="F207" s="13" t="s">
        <v>1874</v>
      </c>
      <c r="G207" s="13" t="s">
        <v>1875</v>
      </c>
      <c r="H207" s="13" t="s">
        <v>1876</v>
      </c>
      <c r="I207" s="15"/>
      <c r="J207" s="1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22.5" hidden="1" customHeight="1">
      <c r="A208" s="35">
        <v>206.0</v>
      </c>
      <c r="B208" s="20">
        <v>98.0</v>
      </c>
      <c r="C208" s="36" t="s">
        <v>1163</v>
      </c>
      <c r="D208" s="13" t="s">
        <v>1877</v>
      </c>
      <c r="E208" s="13" t="s">
        <v>1878</v>
      </c>
      <c r="F208" s="13" t="s">
        <v>1879</v>
      </c>
      <c r="G208" s="13" t="s">
        <v>1880</v>
      </c>
      <c r="H208" s="13" t="s">
        <v>1881</v>
      </c>
      <c r="I208" s="15"/>
      <c r="J208" s="1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22.5" customHeight="1">
      <c r="A209" s="35">
        <v>207.0</v>
      </c>
      <c r="B209" s="20">
        <v>98.0</v>
      </c>
      <c r="C209" s="36" t="s">
        <v>1168</v>
      </c>
      <c r="D209" s="13" t="s">
        <v>1882</v>
      </c>
      <c r="E209" s="13" t="s">
        <v>1883</v>
      </c>
      <c r="F209" s="13" t="s">
        <v>1884</v>
      </c>
      <c r="G209" s="13" t="s">
        <v>1885</v>
      </c>
      <c r="H209" s="13" t="s">
        <v>1886</v>
      </c>
      <c r="I209" s="15"/>
      <c r="J209" s="1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22.5" hidden="1" customHeight="1">
      <c r="A210" s="35">
        <v>208.0</v>
      </c>
      <c r="B210" s="20">
        <v>98.0</v>
      </c>
      <c r="C210" s="36" t="s">
        <v>1163</v>
      </c>
      <c r="D210" s="13" t="s">
        <v>1887</v>
      </c>
      <c r="E210" s="13" t="s">
        <v>1888</v>
      </c>
      <c r="F210" s="13" t="s">
        <v>1790</v>
      </c>
      <c r="G210" s="13" t="s">
        <v>1791</v>
      </c>
      <c r="H210" s="13" t="s">
        <v>1889</v>
      </c>
      <c r="I210" s="14" t="s">
        <v>18</v>
      </c>
      <c r="J210" s="14" t="s">
        <v>18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22.5" customHeight="1">
      <c r="A211" s="35">
        <v>209.0</v>
      </c>
      <c r="B211" s="20">
        <v>98.0</v>
      </c>
      <c r="C211" s="36" t="s">
        <v>1218</v>
      </c>
      <c r="D211" s="13" t="s">
        <v>1890</v>
      </c>
      <c r="E211" s="13" t="s">
        <v>1477</v>
      </c>
      <c r="F211" s="13" t="s">
        <v>1745</v>
      </c>
      <c r="G211" s="13" t="s">
        <v>1746</v>
      </c>
      <c r="H211" s="13" t="s">
        <v>1480</v>
      </c>
      <c r="I211" s="14" t="s">
        <v>18</v>
      </c>
      <c r="J211" s="1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22.5" hidden="1" customHeight="1">
      <c r="A212" s="35">
        <v>210.0</v>
      </c>
      <c r="B212" s="20">
        <v>98.0</v>
      </c>
      <c r="C212" s="36" t="s">
        <v>1163</v>
      </c>
      <c r="D212" s="13" t="s">
        <v>1891</v>
      </c>
      <c r="E212" s="13" t="s">
        <v>1892</v>
      </c>
      <c r="F212" s="13" t="s">
        <v>516</v>
      </c>
      <c r="G212" s="13" t="s">
        <v>1671</v>
      </c>
      <c r="H212" s="13" t="s">
        <v>1893</v>
      </c>
      <c r="I212" s="14" t="s">
        <v>18</v>
      </c>
      <c r="J212" s="1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22.5" hidden="1" customHeight="1">
      <c r="A213" s="35">
        <v>211.0</v>
      </c>
      <c r="B213" s="20">
        <v>97.0</v>
      </c>
      <c r="C213" s="36" t="s">
        <v>1163</v>
      </c>
      <c r="D213" s="13" t="s">
        <v>1894</v>
      </c>
      <c r="E213" s="13" t="s">
        <v>1895</v>
      </c>
      <c r="F213" s="13" t="s">
        <v>1896</v>
      </c>
      <c r="G213" s="13" t="s">
        <v>1897</v>
      </c>
      <c r="H213" s="21" t="s">
        <v>1718</v>
      </c>
      <c r="I213" s="15"/>
      <c r="J213" s="1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22.5" hidden="1" customHeight="1">
      <c r="A214" s="35">
        <v>212.0</v>
      </c>
      <c r="B214" s="20">
        <v>97.0</v>
      </c>
      <c r="C214" s="36" t="s">
        <v>1163</v>
      </c>
      <c r="D214" s="13" t="s">
        <v>1898</v>
      </c>
      <c r="E214" s="13" t="s">
        <v>1899</v>
      </c>
      <c r="F214" s="13" t="s">
        <v>1900</v>
      </c>
      <c r="G214" s="13" t="s">
        <v>1901</v>
      </c>
      <c r="H214" s="13" t="s">
        <v>1902</v>
      </c>
      <c r="I214" s="14" t="s">
        <v>18</v>
      </c>
      <c r="J214" s="1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22.5" customHeight="1">
      <c r="A215" s="35">
        <v>213.0</v>
      </c>
      <c r="B215" s="20">
        <v>97.0</v>
      </c>
      <c r="C215" s="36" t="s">
        <v>1168</v>
      </c>
      <c r="D215" s="13" t="s">
        <v>1903</v>
      </c>
      <c r="E215" s="13" t="s">
        <v>1904</v>
      </c>
      <c r="F215" s="13" t="s">
        <v>1905</v>
      </c>
      <c r="G215" s="13" t="s">
        <v>1906</v>
      </c>
      <c r="H215" s="13" t="s">
        <v>1907</v>
      </c>
      <c r="I215" s="14" t="s">
        <v>18</v>
      </c>
      <c r="J215" s="1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22.5" hidden="1" customHeight="1">
      <c r="A216" s="35">
        <v>214.0</v>
      </c>
      <c r="B216" s="20">
        <v>97.0</v>
      </c>
      <c r="C216" s="36" t="s">
        <v>1163</v>
      </c>
      <c r="D216" s="13" t="s">
        <v>1908</v>
      </c>
      <c r="E216" s="13" t="s">
        <v>1909</v>
      </c>
      <c r="F216" s="13" t="s">
        <v>1910</v>
      </c>
      <c r="G216" s="13" t="s">
        <v>1911</v>
      </c>
      <c r="H216" s="13" t="s">
        <v>1912</v>
      </c>
      <c r="I216" s="14" t="s">
        <v>18</v>
      </c>
      <c r="J216" s="1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22.5" customHeight="1">
      <c r="A217" s="35">
        <v>215.0</v>
      </c>
      <c r="B217" s="20">
        <v>97.0</v>
      </c>
      <c r="C217" s="36" t="s">
        <v>1168</v>
      </c>
      <c r="D217" s="13" t="s">
        <v>1242</v>
      </c>
      <c r="E217" s="13" t="s">
        <v>1913</v>
      </c>
      <c r="F217" s="13" t="s">
        <v>1244</v>
      </c>
      <c r="G217" s="13" t="s">
        <v>1914</v>
      </c>
      <c r="H217" s="13" t="s">
        <v>1246</v>
      </c>
      <c r="I217" s="15"/>
      <c r="J217" s="1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22.5" hidden="1" customHeight="1">
      <c r="A218" s="35">
        <v>216.0</v>
      </c>
      <c r="B218" s="20">
        <v>97.0</v>
      </c>
      <c r="C218" s="36" t="s">
        <v>1163</v>
      </c>
      <c r="D218" s="13" t="s">
        <v>1915</v>
      </c>
      <c r="E218" s="13" t="s">
        <v>1916</v>
      </c>
      <c r="F218" s="13" t="s">
        <v>1917</v>
      </c>
      <c r="G218" s="13" t="s">
        <v>1918</v>
      </c>
      <c r="H218" s="13" t="s">
        <v>1919</v>
      </c>
      <c r="I218" s="14" t="s">
        <v>18</v>
      </c>
      <c r="J218" s="1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22.5" customHeight="1">
      <c r="A219" s="35">
        <v>217.0</v>
      </c>
      <c r="B219" s="20">
        <v>97.0</v>
      </c>
      <c r="C219" s="36" t="s">
        <v>1168</v>
      </c>
      <c r="D219" s="13" t="s">
        <v>1920</v>
      </c>
      <c r="E219" s="13" t="s">
        <v>1921</v>
      </c>
      <c r="F219" s="13" t="s">
        <v>1922</v>
      </c>
      <c r="G219" s="13" t="s">
        <v>1923</v>
      </c>
      <c r="H219" s="13" t="s">
        <v>1924</v>
      </c>
      <c r="I219" s="14" t="s">
        <v>18</v>
      </c>
      <c r="J219" s="1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22.5" customHeight="1">
      <c r="A220" s="35">
        <v>218.0</v>
      </c>
      <c r="B220" s="20">
        <v>97.0</v>
      </c>
      <c r="C220" s="36" t="s">
        <v>1168</v>
      </c>
      <c r="D220" s="13" t="s">
        <v>1925</v>
      </c>
      <c r="E220" s="13" t="s">
        <v>1926</v>
      </c>
      <c r="F220" s="13" t="s">
        <v>1927</v>
      </c>
      <c r="G220" s="13" t="s">
        <v>1928</v>
      </c>
      <c r="H220" s="13" t="s">
        <v>1335</v>
      </c>
      <c r="I220" s="15"/>
      <c r="J220" s="1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22.5" customHeight="1">
      <c r="A221" s="35">
        <v>219.0</v>
      </c>
      <c r="B221" s="20">
        <v>97.0</v>
      </c>
      <c r="C221" s="36" t="s">
        <v>1168</v>
      </c>
      <c r="D221" s="13" t="s">
        <v>1929</v>
      </c>
      <c r="E221" s="13" t="s">
        <v>1930</v>
      </c>
      <c r="F221" s="13" t="s">
        <v>1931</v>
      </c>
      <c r="G221" s="13" t="s">
        <v>1932</v>
      </c>
      <c r="H221" s="13" t="s">
        <v>1933</v>
      </c>
      <c r="I221" s="14" t="s">
        <v>18</v>
      </c>
      <c r="J221" s="1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22.5" customHeight="1">
      <c r="A222" s="35">
        <v>220.0</v>
      </c>
      <c r="B222" s="20">
        <v>97.0</v>
      </c>
      <c r="C222" s="36" t="s">
        <v>1168</v>
      </c>
      <c r="D222" s="13" t="s">
        <v>1519</v>
      </c>
      <c r="E222" s="13" t="s">
        <v>1520</v>
      </c>
      <c r="F222" s="13" t="s">
        <v>1521</v>
      </c>
      <c r="G222" s="13" t="s">
        <v>1522</v>
      </c>
      <c r="H222" s="13" t="s">
        <v>1523</v>
      </c>
      <c r="I222" s="15"/>
      <c r="J222" s="1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22.5" customHeight="1">
      <c r="A223" s="35">
        <v>221.0</v>
      </c>
      <c r="B223" s="20">
        <v>97.0</v>
      </c>
      <c r="C223" s="36" t="s">
        <v>1168</v>
      </c>
      <c r="D223" s="13" t="s">
        <v>1555</v>
      </c>
      <c r="E223" s="13" t="s">
        <v>1556</v>
      </c>
      <c r="F223" s="13" t="s">
        <v>1557</v>
      </c>
      <c r="G223" s="13" t="s">
        <v>462</v>
      </c>
      <c r="H223" s="13" t="s">
        <v>1558</v>
      </c>
      <c r="I223" s="15"/>
      <c r="J223" s="1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22.5" customHeight="1">
      <c r="A224" s="35">
        <v>222.0</v>
      </c>
      <c r="B224" s="20">
        <v>97.0</v>
      </c>
      <c r="C224" s="36" t="s">
        <v>1168</v>
      </c>
      <c r="D224" s="13" t="s">
        <v>1934</v>
      </c>
      <c r="E224" s="13" t="s">
        <v>1935</v>
      </c>
      <c r="F224" s="13" t="s">
        <v>1936</v>
      </c>
      <c r="G224" s="13" t="s">
        <v>1937</v>
      </c>
      <c r="H224" s="13" t="s">
        <v>1938</v>
      </c>
      <c r="I224" s="14" t="s">
        <v>18</v>
      </c>
      <c r="J224" s="1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22.5" customHeight="1">
      <c r="A225" s="35">
        <v>223.0</v>
      </c>
      <c r="B225" s="20">
        <v>97.0</v>
      </c>
      <c r="C225" s="36" t="s">
        <v>1168</v>
      </c>
      <c r="D225" s="13" t="s">
        <v>1194</v>
      </c>
      <c r="E225" s="13" t="s">
        <v>1939</v>
      </c>
      <c r="F225" s="13" t="s">
        <v>1195</v>
      </c>
      <c r="G225" s="13" t="s">
        <v>1196</v>
      </c>
      <c r="H225" s="13" t="s">
        <v>1197</v>
      </c>
      <c r="I225" s="15"/>
      <c r="J225" s="1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22.5" customHeight="1">
      <c r="A226" s="35">
        <v>224.0</v>
      </c>
      <c r="B226" s="20">
        <v>97.0</v>
      </c>
      <c r="C226" s="36" t="s">
        <v>1218</v>
      </c>
      <c r="D226" s="13" t="s">
        <v>1625</v>
      </c>
      <c r="E226" s="13" t="s">
        <v>1940</v>
      </c>
      <c r="F226" s="13" t="s">
        <v>1627</v>
      </c>
      <c r="G226" s="13" t="s">
        <v>1941</v>
      </c>
      <c r="H226" s="13" t="s">
        <v>1629</v>
      </c>
      <c r="I226" s="15"/>
      <c r="J226" s="1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22.5" hidden="1" customHeight="1">
      <c r="A227" s="35">
        <v>225.0</v>
      </c>
      <c r="B227" s="20">
        <v>97.0</v>
      </c>
      <c r="C227" s="36" t="s">
        <v>1163</v>
      </c>
      <c r="D227" s="13" t="s">
        <v>1942</v>
      </c>
      <c r="E227" s="13" t="s">
        <v>1943</v>
      </c>
      <c r="F227" s="13" t="s">
        <v>510</v>
      </c>
      <c r="G227" s="13" t="s">
        <v>511</v>
      </c>
      <c r="H227" s="13" t="s">
        <v>1944</v>
      </c>
      <c r="I227" s="14" t="s">
        <v>18</v>
      </c>
      <c r="J227" s="1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22.5" customHeight="1">
      <c r="A228" s="35">
        <v>226.0</v>
      </c>
      <c r="B228" s="20">
        <v>96.0</v>
      </c>
      <c r="C228" s="36" t="s">
        <v>1218</v>
      </c>
      <c r="D228" s="13" t="s">
        <v>1714</v>
      </c>
      <c r="E228" s="13" t="s">
        <v>1945</v>
      </c>
      <c r="F228" s="13" t="s">
        <v>1716</v>
      </c>
      <c r="G228" s="13" t="s">
        <v>1946</v>
      </c>
      <c r="H228" s="13" t="s">
        <v>1718</v>
      </c>
      <c r="I228" s="15"/>
      <c r="J228" s="1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22.5" customHeight="1">
      <c r="A229" s="35">
        <v>227.0</v>
      </c>
      <c r="B229" s="20">
        <v>96.0</v>
      </c>
      <c r="C229" s="36" t="s">
        <v>1168</v>
      </c>
      <c r="D229" s="13" t="s">
        <v>1947</v>
      </c>
      <c r="E229" s="13" t="s">
        <v>1948</v>
      </c>
      <c r="F229" s="13" t="s">
        <v>1949</v>
      </c>
      <c r="G229" s="13" t="s">
        <v>1950</v>
      </c>
      <c r="H229" s="13" t="s">
        <v>1951</v>
      </c>
      <c r="I229" s="14" t="s">
        <v>18</v>
      </c>
      <c r="J229" s="1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22.5" customHeight="1">
      <c r="A230" s="35">
        <v>228.0</v>
      </c>
      <c r="B230" s="20">
        <v>96.0</v>
      </c>
      <c r="C230" s="36" t="s">
        <v>1168</v>
      </c>
      <c r="D230" s="13" t="s">
        <v>1952</v>
      </c>
      <c r="E230" s="13" t="s">
        <v>1953</v>
      </c>
      <c r="F230" s="13" t="s">
        <v>1954</v>
      </c>
      <c r="G230" s="13" t="s">
        <v>1955</v>
      </c>
      <c r="H230" s="13" t="s">
        <v>1598</v>
      </c>
      <c r="I230" s="15"/>
      <c r="J230" s="1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22.5" hidden="1" customHeight="1">
      <c r="A231" s="35">
        <v>229.0</v>
      </c>
      <c r="B231" s="20">
        <v>96.0</v>
      </c>
      <c r="C231" s="36" t="s">
        <v>1163</v>
      </c>
      <c r="D231" s="13" t="s">
        <v>1956</v>
      </c>
      <c r="E231" s="13" t="s">
        <v>1957</v>
      </c>
      <c r="F231" s="13" t="s">
        <v>1958</v>
      </c>
      <c r="G231" s="13" t="s">
        <v>1959</v>
      </c>
      <c r="H231" s="13" t="s">
        <v>1960</v>
      </c>
      <c r="I231" s="15"/>
      <c r="J231" s="1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22.5" customHeight="1">
      <c r="A232" s="35">
        <v>230.0</v>
      </c>
      <c r="B232" s="20">
        <v>96.0</v>
      </c>
      <c r="C232" s="36" t="s">
        <v>1168</v>
      </c>
      <c r="D232" s="13" t="s">
        <v>1384</v>
      </c>
      <c r="E232" s="13" t="s">
        <v>1961</v>
      </c>
      <c r="F232" s="13" t="s">
        <v>1386</v>
      </c>
      <c r="G232" s="13" t="s">
        <v>1387</v>
      </c>
      <c r="H232" s="13" t="s">
        <v>1388</v>
      </c>
      <c r="I232" s="14" t="s">
        <v>18</v>
      </c>
      <c r="J232" s="14" t="s">
        <v>18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22.5" hidden="1" customHeight="1">
      <c r="A233" s="35">
        <v>231.0</v>
      </c>
      <c r="B233" s="20">
        <v>96.0</v>
      </c>
      <c r="C233" s="36" t="s">
        <v>1163</v>
      </c>
      <c r="D233" s="13" t="s">
        <v>1962</v>
      </c>
      <c r="E233" s="13" t="s">
        <v>1963</v>
      </c>
      <c r="F233" s="13" t="s">
        <v>1964</v>
      </c>
      <c r="G233" s="13" t="s">
        <v>1965</v>
      </c>
      <c r="H233" s="13" t="s">
        <v>1966</v>
      </c>
      <c r="I233" s="14" t="s">
        <v>18</v>
      </c>
      <c r="J233" s="1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22.5" customHeight="1">
      <c r="A234" s="35">
        <v>232.0</v>
      </c>
      <c r="B234" s="20">
        <v>96.0</v>
      </c>
      <c r="C234" s="36" t="s">
        <v>1168</v>
      </c>
      <c r="D234" s="13" t="s">
        <v>1728</v>
      </c>
      <c r="E234" s="13" t="s">
        <v>1967</v>
      </c>
      <c r="F234" s="13" t="s">
        <v>1730</v>
      </c>
      <c r="G234" s="13" t="s">
        <v>1968</v>
      </c>
      <c r="H234" s="13" t="s">
        <v>1732</v>
      </c>
      <c r="I234" s="15"/>
      <c r="J234" s="1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22.5" hidden="1" customHeight="1">
      <c r="A235" s="35">
        <v>233.0</v>
      </c>
      <c r="B235" s="20">
        <v>96.0</v>
      </c>
      <c r="C235" s="36" t="s">
        <v>1163</v>
      </c>
      <c r="D235" s="13" t="s">
        <v>1969</v>
      </c>
      <c r="E235" s="13" t="s">
        <v>1970</v>
      </c>
      <c r="F235" s="13" t="s">
        <v>1971</v>
      </c>
      <c r="G235" s="13" t="s">
        <v>1972</v>
      </c>
      <c r="H235" s="13" t="s">
        <v>1973</v>
      </c>
      <c r="I235" s="14" t="s">
        <v>18</v>
      </c>
      <c r="J235" s="1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22.5" customHeight="1">
      <c r="A236" s="35">
        <v>234.0</v>
      </c>
      <c r="B236" s="20">
        <v>96.0</v>
      </c>
      <c r="C236" s="36" t="s">
        <v>1168</v>
      </c>
      <c r="D236" s="13" t="s">
        <v>1974</v>
      </c>
      <c r="E236" s="13" t="s">
        <v>1670</v>
      </c>
      <c r="F236" s="13" t="s">
        <v>1207</v>
      </c>
      <c r="G236" s="13" t="s">
        <v>1208</v>
      </c>
      <c r="H236" s="13" t="s">
        <v>1672</v>
      </c>
      <c r="I236" s="15"/>
      <c r="J236" s="1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22.5" hidden="1" customHeight="1">
      <c r="A237" s="35">
        <v>235.0</v>
      </c>
      <c r="B237" s="20">
        <v>96.0</v>
      </c>
      <c r="C237" s="36" t="s">
        <v>1163</v>
      </c>
      <c r="D237" s="13" t="s">
        <v>1975</v>
      </c>
      <c r="E237" s="13" t="s">
        <v>1976</v>
      </c>
      <c r="F237" s="13" t="s">
        <v>1977</v>
      </c>
      <c r="G237" s="13" t="s">
        <v>1978</v>
      </c>
      <c r="H237" s="13" t="s">
        <v>1979</v>
      </c>
      <c r="I237" s="14" t="s">
        <v>18</v>
      </c>
      <c r="J237" s="1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22.5" hidden="1" customHeight="1">
      <c r="A238" s="35">
        <v>236.0</v>
      </c>
      <c r="B238" s="20">
        <v>96.0</v>
      </c>
      <c r="C238" s="36" t="s">
        <v>1163</v>
      </c>
      <c r="D238" s="13" t="s">
        <v>1816</v>
      </c>
      <c r="E238" s="13" t="s">
        <v>1980</v>
      </c>
      <c r="F238" s="13" t="s">
        <v>1818</v>
      </c>
      <c r="G238" s="13" t="s">
        <v>1819</v>
      </c>
      <c r="H238" s="13" t="s">
        <v>1820</v>
      </c>
      <c r="I238" s="14" t="s">
        <v>18</v>
      </c>
      <c r="J238" s="1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22.5" customHeight="1">
      <c r="A239" s="35">
        <v>237.0</v>
      </c>
      <c r="B239" s="20">
        <v>96.0</v>
      </c>
      <c r="C239" s="36" t="s">
        <v>1218</v>
      </c>
      <c r="D239" s="13" t="s">
        <v>1981</v>
      </c>
      <c r="E239" s="13" t="s">
        <v>1982</v>
      </c>
      <c r="F239" s="13" t="s">
        <v>1983</v>
      </c>
      <c r="G239" s="13" t="s">
        <v>1984</v>
      </c>
      <c r="H239" s="13" t="s">
        <v>1985</v>
      </c>
      <c r="I239" s="14" t="s">
        <v>18</v>
      </c>
      <c r="J239" s="1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22.5" customHeight="1">
      <c r="A240" s="35">
        <v>238.0</v>
      </c>
      <c r="B240" s="20">
        <v>96.0</v>
      </c>
      <c r="C240" s="36" t="s">
        <v>1218</v>
      </c>
      <c r="D240" s="13" t="s">
        <v>1270</v>
      </c>
      <c r="E240" s="13" t="s">
        <v>1986</v>
      </c>
      <c r="F240" s="13" t="s">
        <v>1272</v>
      </c>
      <c r="G240" s="13" t="s">
        <v>1987</v>
      </c>
      <c r="H240" s="13" t="s">
        <v>1274</v>
      </c>
      <c r="I240" s="15"/>
      <c r="J240" s="1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22.5" customHeight="1">
      <c r="A241" s="35">
        <v>239.0</v>
      </c>
      <c r="B241" s="20">
        <v>96.0</v>
      </c>
      <c r="C241" s="36" t="s">
        <v>1168</v>
      </c>
      <c r="D241" s="13" t="s">
        <v>1988</v>
      </c>
      <c r="E241" s="13" t="s">
        <v>1989</v>
      </c>
      <c r="F241" s="13" t="s">
        <v>1990</v>
      </c>
      <c r="G241" s="13" t="s">
        <v>1991</v>
      </c>
      <c r="H241" s="13" t="s">
        <v>1992</v>
      </c>
      <c r="I241" s="15"/>
      <c r="J241" s="1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22.5" customHeight="1">
      <c r="A242" s="35">
        <v>240.0</v>
      </c>
      <c r="B242" s="20">
        <v>96.0</v>
      </c>
      <c r="C242" s="36" t="s">
        <v>1168</v>
      </c>
      <c r="D242" s="13" t="s">
        <v>1744</v>
      </c>
      <c r="E242" s="13" t="s">
        <v>1422</v>
      </c>
      <c r="F242" s="13" t="s">
        <v>1745</v>
      </c>
      <c r="G242" s="13" t="s">
        <v>1746</v>
      </c>
      <c r="H242" s="13" t="s">
        <v>1425</v>
      </c>
      <c r="I242" s="15"/>
      <c r="J242" s="1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22.5" customHeight="1">
      <c r="A243" s="35">
        <v>241.0</v>
      </c>
      <c r="B243" s="20">
        <v>95.0</v>
      </c>
      <c r="C243" s="36" t="s">
        <v>1218</v>
      </c>
      <c r="D243" s="13" t="s">
        <v>1993</v>
      </c>
      <c r="E243" s="13" t="s">
        <v>1994</v>
      </c>
      <c r="F243" s="13" t="s">
        <v>1995</v>
      </c>
      <c r="G243" s="13" t="s">
        <v>1996</v>
      </c>
      <c r="H243" s="13" t="s">
        <v>1997</v>
      </c>
      <c r="I243" s="15"/>
      <c r="J243" s="1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22.5" customHeight="1">
      <c r="A244" s="35">
        <v>242.0</v>
      </c>
      <c r="B244" s="20">
        <v>95.0</v>
      </c>
      <c r="C244" s="36" t="s">
        <v>1218</v>
      </c>
      <c r="D244" s="13" t="s">
        <v>1998</v>
      </c>
      <c r="E244" s="13" t="s">
        <v>1999</v>
      </c>
      <c r="F244" s="13" t="s">
        <v>2000</v>
      </c>
      <c r="G244" s="13" t="s">
        <v>2001</v>
      </c>
      <c r="H244" s="13" t="s">
        <v>2002</v>
      </c>
      <c r="I244" s="15"/>
      <c r="J244" s="1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22.5" hidden="1" customHeight="1">
      <c r="A245" s="35">
        <v>243.0</v>
      </c>
      <c r="B245" s="20">
        <v>95.0</v>
      </c>
      <c r="C245" s="36" t="s">
        <v>1163</v>
      </c>
      <c r="D245" s="13" t="s">
        <v>2003</v>
      </c>
      <c r="E245" s="13" t="s">
        <v>2004</v>
      </c>
      <c r="F245" s="13" t="s">
        <v>2005</v>
      </c>
      <c r="G245" s="13" t="s">
        <v>2006</v>
      </c>
      <c r="H245" s="13" t="s">
        <v>2007</v>
      </c>
      <c r="I245" s="15"/>
      <c r="J245" s="1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22.5" customHeight="1">
      <c r="A246" s="35">
        <v>244.0</v>
      </c>
      <c r="B246" s="20">
        <v>95.0</v>
      </c>
      <c r="C246" s="36" t="s">
        <v>1218</v>
      </c>
      <c r="D246" s="13" t="s">
        <v>1700</v>
      </c>
      <c r="E246" s="13" t="s">
        <v>2008</v>
      </c>
      <c r="F246" s="13" t="s">
        <v>1702</v>
      </c>
      <c r="G246" s="13" t="s">
        <v>2009</v>
      </c>
      <c r="H246" s="13" t="s">
        <v>1704</v>
      </c>
      <c r="I246" s="15"/>
      <c r="J246" s="1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22.5" customHeight="1">
      <c r="A247" s="35">
        <v>245.0</v>
      </c>
      <c r="B247" s="20">
        <v>95.0</v>
      </c>
      <c r="C247" s="36" t="s">
        <v>1218</v>
      </c>
      <c r="D247" s="13" t="s">
        <v>1847</v>
      </c>
      <c r="E247" s="13" t="s">
        <v>2010</v>
      </c>
      <c r="F247" s="13" t="s">
        <v>1849</v>
      </c>
      <c r="G247" s="13" t="s">
        <v>2011</v>
      </c>
      <c r="H247" s="13" t="s">
        <v>1851</v>
      </c>
      <c r="I247" s="15"/>
      <c r="J247" s="1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22.5" customHeight="1">
      <c r="A248" s="35">
        <v>246.0</v>
      </c>
      <c r="B248" s="20">
        <v>95.0</v>
      </c>
      <c r="C248" s="36" t="s">
        <v>1168</v>
      </c>
      <c r="D248" s="13" t="s">
        <v>1210</v>
      </c>
      <c r="E248" s="13" t="s">
        <v>1211</v>
      </c>
      <c r="F248" s="13" t="s">
        <v>89</v>
      </c>
      <c r="G248" s="13" t="s">
        <v>90</v>
      </c>
      <c r="H248" s="13" t="s">
        <v>1213</v>
      </c>
      <c r="I248" s="15"/>
      <c r="J248" s="1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22.5" hidden="1" customHeight="1">
      <c r="A249" s="35">
        <v>247.0</v>
      </c>
      <c r="B249" s="20">
        <v>95.0</v>
      </c>
      <c r="C249" s="36" t="s">
        <v>1163</v>
      </c>
      <c r="D249" s="13" t="s">
        <v>2012</v>
      </c>
      <c r="E249" s="13" t="s">
        <v>2013</v>
      </c>
      <c r="F249" s="13" t="s">
        <v>2014</v>
      </c>
      <c r="G249" s="13" t="s">
        <v>2015</v>
      </c>
      <c r="H249" s="13" t="s">
        <v>2016</v>
      </c>
      <c r="I249" s="14" t="s">
        <v>18</v>
      </c>
      <c r="J249" s="1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22.5" customHeight="1">
      <c r="A250" s="35">
        <v>248.0</v>
      </c>
      <c r="B250" s="20">
        <v>95.0</v>
      </c>
      <c r="C250" s="36" t="s">
        <v>1168</v>
      </c>
      <c r="D250" s="13" t="s">
        <v>1265</v>
      </c>
      <c r="E250" s="13" t="s">
        <v>1266</v>
      </c>
      <c r="F250" s="13" t="s">
        <v>1267</v>
      </c>
      <c r="G250" s="13" t="s">
        <v>1268</v>
      </c>
      <c r="H250" s="13" t="s">
        <v>1269</v>
      </c>
      <c r="I250" s="15"/>
      <c r="J250" s="1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22.5" hidden="1" customHeight="1">
      <c r="A251" s="35">
        <v>249.0</v>
      </c>
      <c r="B251" s="20">
        <v>95.0</v>
      </c>
      <c r="C251" s="36" t="s">
        <v>1163</v>
      </c>
      <c r="D251" s="13" t="s">
        <v>2017</v>
      </c>
      <c r="E251" s="13" t="s">
        <v>2018</v>
      </c>
      <c r="F251" s="13" t="s">
        <v>440</v>
      </c>
      <c r="G251" s="13" t="s">
        <v>441</v>
      </c>
      <c r="H251" s="13" t="s">
        <v>2019</v>
      </c>
      <c r="I251" s="14" t="s">
        <v>18</v>
      </c>
      <c r="J251" s="1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22.5" hidden="1" customHeight="1">
      <c r="A252" s="35">
        <v>250.0</v>
      </c>
      <c r="B252" s="20">
        <v>95.0</v>
      </c>
      <c r="C252" s="36" t="s">
        <v>1163</v>
      </c>
      <c r="D252" s="13" t="s">
        <v>2020</v>
      </c>
      <c r="E252" s="13" t="s">
        <v>2021</v>
      </c>
      <c r="F252" s="13" t="s">
        <v>2022</v>
      </c>
      <c r="G252" s="13" t="s">
        <v>2023</v>
      </c>
      <c r="H252" s="13" t="s">
        <v>2024</v>
      </c>
      <c r="I252" s="14" t="s">
        <v>18</v>
      </c>
      <c r="J252" s="1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22.5" customHeight="1">
      <c r="A253" s="35">
        <v>251.0</v>
      </c>
      <c r="B253" s="20">
        <v>95.0</v>
      </c>
      <c r="C253" s="36" t="s">
        <v>1168</v>
      </c>
      <c r="D253" s="13" t="s">
        <v>2025</v>
      </c>
      <c r="E253" s="13" t="s">
        <v>2026</v>
      </c>
      <c r="F253" s="13" t="s">
        <v>1574</v>
      </c>
      <c r="G253" s="13" t="s">
        <v>2027</v>
      </c>
      <c r="H253" s="13" t="s">
        <v>1576</v>
      </c>
      <c r="I253" s="14" t="s">
        <v>18</v>
      </c>
      <c r="J253" s="1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22.5" customHeight="1">
      <c r="A254" s="35">
        <v>252.0</v>
      </c>
      <c r="B254" s="20">
        <v>95.0</v>
      </c>
      <c r="C254" s="36" t="s">
        <v>1168</v>
      </c>
      <c r="D254" s="13" t="s">
        <v>2028</v>
      </c>
      <c r="E254" s="13" t="s">
        <v>2029</v>
      </c>
      <c r="F254" s="13" t="s">
        <v>2030</v>
      </c>
      <c r="G254" s="13" t="s">
        <v>2031</v>
      </c>
      <c r="H254" s="13" t="s">
        <v>2032</v>
      </c>
      <c r="I254" s="14" t="s">
        <v>18</v>
      </c>
      <c r="J254" s="1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22.5" hidden="1" customHeight="1">
      <c r="A255" s="35">
        <v>253.0</v>
      </c>
      <c r="B255" s="20">
        <v>95.0</v>
      </c>
      <c r="C255" s="36" t="s">
        <v>1163</v>
      </c>
      <c r="D255" s="13" t="s">
        <v>2033</v>
      </c>
      <c r="E255" s="13" t="s">
        <v>2034</v>
      </c>
      <c r="F255" s="13" t="s">
        <v>2035</v>
      </c>
      <c r="G255" s="13" t="s">
        <v>2036</v>
      </c>
      <c r="H255" s="13" t="s">
        <v>2037</v>
      </c>
      <c r="I255" s="15"/>
      <c r="J255" s="1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22.5" customHeight="1">
      <c r="A256" s="35">
        <v>254.0</v>
      </c>
      <c r="B256" s="20">
        <v>95.0</v>
      </c>
      <c r="C256" s="36" t="s">
        <v>1168</v>
      </c>
      <c r="D256" s="13" t="s">
        <v>1279</v>
      </c>
      <c r="E256" s="13" t="s">
        <v>1280</v>
      </c>
      <c r="F256" s="13" t="s">
        <v>1281</v>
      </c>
      <c r="G256" s="13" t="s">
        <v>1282</v>
      </c>
      <c r="H256" s="13" t="s">
        <v>1283</v>
      </c>
      <c r="I256" s="15"/>
      <c r="J256" s="1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22.5" customHeight="1">
      <c r="A257" s="35">
        <v>255.0</v>
      </c>
      <c r="B257" s="20">
        <v>95.0</v>
      </c>
      <c r="C257" s="36" t="s">
        <v>1218</v>
      </c>
      <c r="D257" s="13" t="s">
        <v>2038</v>
      </c>
      <c r="E257" s="13" t="s">
        <v>2039</v>
      </c>
      <c r="F257" s="13" t="s">
        <v>2040</v>
      </c>
      <c r="G257" s="13" t="s">
        <v>2041</v>
      </c>
      <c r="H257" s="13" t="s">
        <v>2042</v>
      </c>
      <c r="I257" s="14" t="s">
        <v>18</v>
      </c>
      <c r="J257" s="14" t="s">
        <v>18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22.5" customHeight="1">
      <c r="A258" s="35">
        <v>256.0</v>
      </c>
      <c r="B258" s="20">
        <v>94.0</v>
      </c>
      <c r="C258" s="36" t="s">
        <v>1218</v>
      </c>
      <c r="D258" s="13" t="s">
        <v>2043</v>
      </c>
      <c r="E258" s="13" t="s">
        <v>2044</v>
      </c>
      <c r="F258" s="13" t="s">
        <v>2045</v>
      </c>
      <c r="G258" s="13" t="s">
        <v>2046</v>
      </c>
      <c r="H258" s="13" t="s">
        <v>2047</v>
      </c>
      <c r="I258" s="15"/>
      <c r="J258" s="1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22.5" hidden="1" customHeight="1">
      <c r="A259" s="35">
        <v>257.0</v>
      </c>
      <c r="B259" s="20">
        <v>94.0</v>
      </c>
      <c r="C259" s="36" t="s">
        <v>1163</v>
      </c>
      <c r="D259" s="13" t="s">
        <v>2048</v>
      </c>
      <c r="E259" s="13" t="s">
        <v>2049</v>
      </c>
      <c r="F259" s="13" t="s">
        <v>2050</v>
      </c>
      <c r="G259" s="13" t="s">
        <v>2051</v>
      </c>
      <c r="H259" s="13" t="s">
        <v>1902</v>
      </c>
      <c r="I259" s="15"/>
      <c r="J259" s="1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22.5" customHeight="1">
      <c r="A260" s="35">
        <v>258.0</v>
      </c>
      <c r="B260" s="20">
        <v>94.0</v>
      </c>
      <c r="C260" s="36" t="s">
        <v>1218</v>
      </c>
      <c r="D260" s="13" t="s">
        <v>2052</v>
      </c>
      <c r="E260" s="13" t="s">
        <v>2053</v>
      </c>
      <c r="F260" s="13" t="s">
        <v>2054</v>
      </c>
      <c r="G260" s="13" t="s">
        <v>2055</v>
      </c>
      <c r="H260" s="13" t="s">
        <v>2056</v>
      </c>
      <c r="I260" s="15"/>
      <c r="J260" s="1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22.5" hidden="1" customHeight="1">
      <c r="A261" s="35">
        <v>259.0</v>
      </c>
      <c r="B261" s="20">
        <v>94.0</v>
      </c>
      <c r="C261" s="36" t="s">
        <v>1163</v>
      </c>
      <c r="D261" s="13" t="s">
        <v>1164</v>
      </c>
      <c r="E261" s="13" t="s">
        <v>2057</v>
      </c>
      <c r="F261" s="13" t="s">
        <v>1165</v>
      </c>
      <c r="G261" s="13" t="s">
        <v>1166</v>
      </c>
      <c r="H261" s="13" t="s">
        <v>1167</v>
      </c>
      <c r="I261" s="14" t="s">
        <v>18</v>
      </c>
      <c r="J261" s="1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22.5" customHeight="1">
      <c r="A262" s="35">
        <v>260.0</v>
      </c>
      <c r="B262" s="20">
        <v>94.0</v>
      </c>
      <c r="C262" s="36" t="s">
        <v>1168</v>
      </c>
      <c r="D262" s="13" t="s">
        <v>2058</v>
      </c>
      <c r="E262" s="13" t="s">
        <v>2059</v>
      </c>
      <c r="F262" s="13" t="s">
        <v>2060</v>
      </c>
      <c r="G262" s="13" t="s">
        <v>2061</v>
      </c>
      <c r="H262" s="13" t="s">
        <v>2062</v>
      </c>
      <c r="I262" s="15"/>
      <c r="J262" s="1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22.5" customHeight="1">
      <c r="A263" s="35">
        <v>261.0</v>
      </c>
      <c r="B263" s="20">
        <v>94.0</v>
      </c>
      <c r="C263" s="36" t="s">
        <v>1168</v>
      </c>
      <c r="D263" s="13" t="s">
        <v>1555</v>
      </c>
      <c r="E263" s="13" t="s">
        <v>1556</v>
      </c>
      <c r="F263" s="13" t="s">
        <v>1557</v>
      </c>
      <c r="G263" s="13" t="s">
        <v>462</v>
      </c>
      <c r="H263" s="21" t="s">
        <v>1558</v>
      </c>
      <c r="I263" s="15"/>
      <c r="J263" s="1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22.5" hidden="1" customHeight="1">
      <c r="A264" s="35">
        <v>262.0</v>
      </c>
      <c r="B264" s="20">
        <v>94.0</v>
      </c>
      <c r="C264" s="36" t="s">
        <v>1163</v>
      </c>
      <c r="D264" s="13" t="s">
        <v>1206</v>
      </c>
      <c r="E264" s="13" t="s">
        <v>2063</v>
      </c>
      <c r="F264" s="13" t="s">
        <v>1207</v>
      </c>
      <c r="G264" s="13" t="s">
        <v>1208</v>
      </c>
      <c r="H264" s="13" t="s">
        <v>1209</v>
      </c>
      <c r="I264" s="15"/>
      <c r="J264" s="1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22.5" customHeight="1">
      <c r="A265" s="35">
        <v>263.0</v>
      </c>
      <c r="B265" s="20">
        <v>94.0</v>
      </c>
      <c r="C265" s="36" t="s">
        <v>1168</v>
      </c>
      <c r="D265" s="13" t="s">
        <v>1524</v>
      </c>
      <c r="E265" s="13" t="s">
        <v>2064</v>
      </c>
      <c r="F265" s="13" t="s">
        <v>1526</v>
      </c>
      <c r="G265" s="13" t="s">
        <v>1527</v>
      </c>
      <c r="H265" s="13" t="s">
        <v>1528</v>
      </c>
      <c r="I265" s="14" t="s">
        <v>18</v>
      </c>
      <c r="J265" s="1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22.5" hidden="1" customHeight="1">
      <c r="A266" s="35">
        <v>264.0</v>
      </c>
      <c r="B266" s="20">
        <v>94.0</v>
      </c>
      <c r="C266" s="36" t="s">
        <v>1163</v>
      </c>
      <c r="D266" s="13" t="s">
        <v>2065</v>
      </c>
      <c r="E266" s="13" t="s">
        <v>2066</v>
      </c>
      <c r="F266" s="13" t="s">
        <v>2067</v>
      </c>
      <c r="G266" s="13" t="s">
        <v>2068</v>
      </c>
      <c r="H266" s="13" t="s">
        <v>2069</v>
      </c>
      <c r="I266" s="14" t="s">
        <v>18</v>
      </c>
      <c r="J266" s="1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22.5" customHeight="1">
      <c r="A267" s="35">
        <v>265.0</v>
      </c>
      <c r="B267" s="20">
        <v>94.0</v>
      </c>
      <c r="C267" s="36" t="s">
        <v>1168</v>
      </c>
      <c r="D267" s="13" t="s">
        <v>1776</v>
      </c>
      <c r="E267" s="13" t="s">
        <v>1777</v>
      </c>
      <c r="F267" s="13" t="s">
        <v>1778</v>
      </c>
      <c r="G267" s="13" t="s">
        <v>1779</v>
      </c>
      <c r="H267" s="13" t="s">
        <v>1780</v>
      </c>
      <c r="I267" s="15"/>
      <c r="J267" s="1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22.5" customHeight="1">
      <c r="A268" s="35">
        <v>266.0</v>
      </c>
      <c r="B268" s="20">
        <v>94.0</v>
      </c>
      <c r="C268" s="36" t="s">
        <v>1168</v>
      </c>
      <c r="D268" s="13" t="s">
        <v>2070</v>
      </c>
      <c r="E268" s="13" t="s">
        <v>2071</v>
      </c>
      <c r="F268" s="13" t="s">
        <v>2072</v>
      </c>
      <c r="G268" s="13" t="s">
        <v>2073</v>
      </c>
      <c r="H268" s="13" t="s">
        <v>2074</v>
      </c>
      <c r="I268" s="14" t="s">
        <v>18</v>
      </c>
      <c r="J268" s="14" t="s">
        <v>18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22.5" customHeight="1">
      <c r="A269" s="35">
        <v>267.0</v>
      </c>
      <c r="B269" s="20">
        <v>94.0</v>
      </c>
      <c r="C269" s="36" t="s">
        <v>1168</v>
      </c>
      <c r="D269" s="13" t="s">
        <v>1882</v>
      </c>
      <c r="E269" s="13" t="s">
        <v>1883</v>
      </c>
      <c r="F269" s="13" t="s">
        <v>1884</v>
      </c>
      <c r="G269" s="13" t="s">
        <v>1885</v>
      </c>
      <c r="H269" s="13" t="s">
        <v>1886</v>
      </c>
      <c r="I269" s="14" t="s">
        <v>18</v>
      </c>
      <c r="J269" s="1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22.5" customHeight="1">
      <c r="A270" s="35">
        <v>268.0</v>
      </c>
      <c r="B270" s="20">
        <v>94.0</v>
      </c>
      <c r="C270" s="36" t="s">
        <v>1218</v>
      </c>
      <c r="D270" s="13" t="s">
        <v>1625</v>
      </c>
      <c r="E270" s="13" t="s">
        <v>2075</v>
      </c>
      <c r="F270" s="13" t="s">
        <v>1627</v>
      </c>
      <c r="G270" s="13" t="s">
        <v>1941</v>
      </c>
      <c r="H270" s="13" t="s">
        <v>1629</v>
      </c>
      <c r="I270" s="14" t="s">
        <v>18</v>
      </c>
      <c r="J270" s="14" t="s">
        <v>18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22.5" hidden="1" customHeight="1">
      <c r="A271" s="35">
        <v>269.0</v>
      </c>
      <c r="B271" s="20">
        <v>94.0</v>
      </c>
      <c r="C271" s="36" t="s">
        <v>1163</v>
      </c>
      <c r="D271" s="13" t="s">
        <v>1887</v>
      </c>
      <c r="E271" s="13" t="s">
        <v>2076</v>
      </c>
      <c r="F271" s="13" t="s">
        <v>1790</v>
      </c>
      <c r="G271" s="13" t="s">
        <v>1791</v>
      </c>
      <c r="H271" s="13" t="s">
        <v>1889</v>
      </c>
      <c r="I271" s="15"/>
      <c r="J271" s="1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22.5" customHeight="1">
      <c r="A272" s="35">
        <v>270.0</v>
      </c>
      <c r="B272" s="20">
        <v>94.0</v>
      </c>
      <c r="C272" s="36" t="s">
        <v>1168</v>
      </c>
      <c r="D272" s="13" t="s">
        <v>2077</v>
      </c>
      <c r="E272" s="13" t="s">
        <v>2078</v>
      </c>
      <c r="F272" s="13" t="s">
        <v>2079</v>
      </c>
      <c r="G272" s="13" t="s">
        <v>2080</v>
      </c>
      <c r="H272" s="13" t="s">
        <v>2081</v>
      </c>
      <c r="I272" s="14" t="s">
        <v>18</v>
      </c>
      <c r="J272" s="1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22.5" hidden="1" customHeight="1">
      <c r="A273" s="35">
        <v>271.0</v>
      </c>
      <c r="B273" s="20">
        <v>93.0</v>
      </c>
      <c r="C273" s="36" t="s">
        <v>1163</v>
      </c>
      <c r="D273" s="13" t="s">
        <v>2082</v>
      </c>
      <c r="E273" s="13" t="s">
        <v>2083</v>
      </c>
      <c r="F273" s="13" t="s">
        <v>2084</v>
      </c>
      <c r="G273" s="13" t="s">
        <v>2085</v>
      </c>
      <c r="H273" s="13" t="s">
        <v>2086</v>
      </c>
      <c r="I273" s="14" t="s">
        <v>18</v>
      </c>
      <c r="J273" s="1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22.5" customHeight="1">
      <c r="A274" s="35">
        <v>272.0</v>
      </c>
      <c r="B274" s="20">
        <v>93.0</v>
      </c>
      <c r="C274" s="36" t="s">
        <v>1218</v>
      </c>
      <c r="D274" s="13" t="s">
        <v>2087</v>
      </c>
      <c r="E274" s="13" t="s">
        <v>2088</v>
      </c>
      <c r="F274" s="13" t="s">
        <v>2089</v>
      </c>
      <c r="G274" s="13" t="s">
        <v>2090</v>
      </c>
      <c r="H274" s="13" t="s">
        <v>2091</v>
      </c>
      <c r="I274" s="14" t="s">
        <v>18</v>
      </c>
      <c r="J274" s="1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22.5" customHeight="1">
      <c r="A275" s="35">
        <v>273.0</v>
      </c>
      <c r="B275" s="20">
        <v>93.0</v>
      </c>
      <c r="C275" s="36" t="s">
        <v>1168</v>
      </c>
      <c r="D275" s="13" t="s">
        <v>2092</v>
      </c>
      <c r="E275" s="13" t="s">
        <v>2093</v>
      </c>
      <c r="F275" s="13" t="s">
        <v>2094</v>
      </c>
      <c r="G275" s="13" t="s">
        <v>2095</v>
      </c>
      <c r="H275" s="13" t="s">
        <v>2096</v>
      </c>
      <c r="I275" s="14" t="s">
        <v>18</v>
      </c>
      <c r="J275" s="1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22.5" customHeight="1">
      <c r="A276" s="35">
        <v>274.0</v>
      </c>
      <c r="B276" s="20">
        <v>93.0</v>
      </c>
      <c r="C276" s="36" t="s">
        <v>1168</v>
      </c>
      <c r="D276" s="13" t="s">
        <v>2097</v>
      </c>
      <c r="E276" s="13" t="s">
        <v>2098</v>
      </c>
      <c r="F276" s="13" t="s">
        <v>1506</v>
      </c>
      <c r="G276" s="13" t="s">
        <v>1507</v>
      </c>
      <c r="H276" s="13" t="s">
        <v>2099</v>
      </c>
      <c r="I276" s="14" t="s">
        <v>18</v>
      </c>
      <c r="J276" s="1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22.5" customHeight="1">
      <c r="A277" s="35">
        <v>275.0</v>
      </c>
      <c r="B277" s="20">
        <v>93.0</v>
      </c>
      <c r="C277" s="36" t="s">
        <v>1168</v>
      </c>
      <c r="D277" s="13" t="s">
        <v>2100</v>
      </c>
      <c r="E277" s="13" t="s">
        <v>2101</v>
      </c>
      <c r="F277" s="13" t="s">
        <v>2102</v>
      </c>
      <c r="G277" s="13" t="s">
        <v>2103</v>
      </c>
      <c r="H277" s="13" t="s">
        <v>2104</v>
      </c>
      <c r="I277" s="14" t="s">
        <v>18</v>
      </c>
      <c r="J277" s="1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22.5" hidden="1" customHeight="1">
      <c r="A278" s="35">
        <v>276.0</v>
      </c>
      <c r="B278" s="20">
        <v>93.0</v>
      </c>
      <c r="C278" s="36" t="s">
        <v>1163</v>
      </c>
      <c r="D278" s="13" t="s">
        <v>2105</v>
      </c>
      <c r="E278" s="13" t="s">
        <v>2106</v>
      </c>
      <c r="F278" s="13" t="s">
        <v>2107</v>
      </c>
      <c r="G278" s="13" t="s">
        <v>2108</v>
      </c>
      <c r="H278" s="13" t="s">
        <v>2109</v>
      </c>
      <c r="I278" s="14" t="s">
        <v>18</v>
      </c>
      <c r="J278" s="1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22.5" hidden="1" customHeight="1">
      <c r="A279" s="35">
        <v>277.0</v>
      </c>
      <c r="B279" s="20">
        <v>93.0</v>
      </c>
      <c r="C279" s="36" t="s">
        <v>1163</v>
      </c>
      <c r="D279" s="13" t="s">
        <v>2110</v>
      </c>
      <c r="E279" s="13" t="s">
        <v>2111</v>
      </c>
      <c r="F279" s="13" t="s">
        <v>2112</v>
      </c>
      <c r="G279" s="13" t="s">
        <v>2113</v>
      </c>
      <c r="H279" s="13" t="s">
        <v>2114</v>
      </c>
      <c r="I279" s="14" t="s">
        <v>18</v>
      </c>
      <c r="J279" s="1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22.5" hidden="1" customHeight="1">
      <c r="A280" s="35">
        <v>278.0</v>
      </c>
      <c r="B280" s="20">
        <v>93.0</v>
      </c>
      <c r="C280" s="36" t="s">
        <v>1163</v>
      </c>
      <c r="D280" s="13" t="s">
        <v>2115</v>
      </c>
      <c r="E280" s="13" t="s">
        <v>2116</v>
      </c>
      <c r="F280" s="13" t="s">
        <v>2117</v>
      </c>
      <c r="G280" s="13" t="s">
        <v>2118</v>
      </c>
      <c r="H280" s="13" t="s">
        <v>2119</v>
      </c>
      <c r="I280" s="15"/>
      <c r="J280" s="1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22.5" hidden="1" customHeight="1">
      <c r="A281" s="35">
        <v>279.0</v>
      </c>
      <c r="B281" s="20">
        <v>93.0</v>
      </c>
      <c r="C281" s="36" t="s">
        <v>1163</v>
      </c>
      <c r="D281" s="13" t="s">
        <v>2120</v>
      </c>
      <c r="E281" s="13" t="s">
        <v>2121</v>
      </c>
      <c r="F281" s="13" t="s">
        <v>2122</v>
      </c>
      <c r="G281" s="13" t="s">
        <v>2123</v>
      </c>
      <c r="H281" s="13" t="s">
        <v>2124</v>
      </c>
      <c r="I281" s="14" t="s">
        <v>18</v>
      </c>
      <c r="J281" s="1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22.5" customHeight="1">
      <c r="A282" s="35">
        <v>280.0</v>
      </c>
      <c r="B282" s="20">
        <v>93.0</v>
      </c>
      <c r="C282" s="36" t="s">
        <v>1168</v>
      </c>
      <c r="D282" s="13" t="s">
        <v>2125</v>
      </c>
      <c r="E282" s="13" t="s">
        <v>2126</v>
      </c>
      <c r="F282" s="13" t="s">
        <v>2127</v>
      </c>
      <c r="G282" s="13" t="s">
        <v>2128</v>
      </c>
      <c r="H282" s="13" t="s">
        <v>2129</v>
      </c>
      <c r="I282" s="14" t="s">
        <v>18</v>
      </c>
      <c r="J282" s="1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22.5" customHeight="1">
      <c r="A283" s="35">
        <v>281.0</v>
      </c>
      <c r="B283" s="20">
        <v>93.0</v>
      </c>
      <c r="C283" s="36" t="s">
        <v>1168</v>
      </c>
      <c r="D283" s="13" t="s">
        <v>2130</v>
      </c>
      <c r="E283" s="13" t="s">
        <v>2131</v>
      </c>
      <c r="F283" s="13" t="s">
        <v>2132</v>
      </c>
      <c r="G283" s="13" t="s">
        <v>2133</v>
      </c>
      <c r="H283" s="13" t="s">
        <v>2134</v>
      </c>
      <c r="I283" s="14" t="s">
        <v>18</v>
      </c>
      <c r="J283" s="1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22.5" customHeight="1">
      <c r="A284" s="35">
        <v>282.0</v>
      </c>
      <c r="B284" s="20">
        <v>93.0</v>
      </c>
      <c r="C284" s="36" t="s">
        <v>1218</v>
      </c>
      <c r="D284" s="13" t="s">
        <v>2135</v>
      </c>
      <c r="E284" s="13" t="s">
        <v>2136</v>
      </c>
      <c r="F284" s="13" t="s">
        <v>2137</v>
      </c>
      <c r="G284" s="13" t="s">
        <v>2138</v>
      </c>
      <c r="H284" s="13" t="s">
        <v>2139</v>
      </c>
      <c r="I284" s="15"/>
      <c r="J284" s="1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22.5" customHeight="1">
      <c r="A285" s="35">
        <v>283.0</v>
      </c>
      <c r="B285" s="20">
        <v>93.0</v>
      </c>
      <c r="C285" s="36" t="s">
        <v>1168</v>
      </c>
      <c r="D285" s="13" t="s">
        <v>2140</v>
      </c>
      <c r="E285" s="13" t="s">
        <v>2141</v>
      </c>
      <c r="F285" s="13" t="s">
        <v>2142</v>
      </c>
      <c r="G285" s="13" t="s">
        <v>2143</v>
      </c>
      <c r="H285" s="13" t="s">
        <v>2144</v>
      </c>
      <c r="I285" s="15"/>
      <c r="J285" s="1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22.5" customHeight="1">
      <c r="A286" s="35">
        <v>284.0</v>
      </c>
      <c r="B286" s="20">
        <v>93.0</v>
      </c>
      <c r="C286" s="36" t="s">
        <v>1168</v>
      </c>
      <c r="D286" s="13" t="s">
        <v>1532</v>
      </c>
      <c r="E286" s="13" t="s">
        <v>2145</v>
      </c>
      <c r="F286" s="13" t="s">
        <v>1534</v>
      </c>
      <c r="G286" s="13" t="s">
        <v>1535</v>
      </c>
      <c r="H286" s="13" t="s">
        <v>1536</v>
      </c>
      <c r="I286" s="15"/>
      <c r="J286" s="1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22.5" customHeight="1">
      <c r="A287" s="35">
        <v>285.0</v>
      </c>
      <c r="B287" s="20">
        <v>93.0</v>
      </c>
      <c r="C287" s="36" t="s">
        <v>1218</v>
      </c>
      <c r="D287" s="13" t="s">
        <v>2146</v>
      </c>
      <c r="E287" s="13" t="s">
        <v>2147</v>
      </c>
      <c r="F287" s="13" t="s">
        <v>2148</v>
      </c>
      <c r="G287" s="13" t="s">
        <v>2149</v>
      </c>
      <c r="H287" s="13" t="s">
        <v>2150</v>
      </c>
      <c r="I287" s="15"/>
      <c r="J287" s="1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22.5" customHeight="1">
      <c r="A288" s="35">
        <v>286.0</v>
      </c>
      <c r="B288" s="20">
        <v>92.0</v>
      </c>
      <c r="C288" s="36" t="s">
        <v>1218</v>
      </c>
      <c r="D288" s="13" t="s">
        <v>2151</v>
      </c>
      <c r="E288" s="13" t="s">
        <v>2152</v>
      </c>
      <c r="F288" s="13" t="s">
        <v>1343</v>
      </c>
      <c r="G288" s="13" t="s">
        <v>1344</v>
      </c>
      <c r="H288" s="13" t="s">
        <v>2153</v>
      </c>
      <c r="I288" s="14" t="s">
        <v>18</v>
      </c>
      <c r="J288" s="1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22.5" hidden="1" customHeight="1">
      <c r="A289" s="35">
        <v>287.0</v>
      </c>
      <c r="B289" s="20">
        <v>92.0</v>
      </c>
      <c r="C289" s="36" t="s">
        <v>1163</v>
      </c>
      <c r="D289" s="13" t="s">
        <v>2154</v>
      </c>
      <c r="E289" s="13" t="s">
        <v>2155</v>
      </c>
      <c r="F289" s="13" t="s">
        <v>2156</v>
      </c>
      <c r="G289" s="13" t="s">
        <v>2157</v>
      </c>
      <c r="H289" s="13" t="s">
        <v>2158</v>
      </c>
      <c r="I289" s="15"/>
      <c r="J289" s="1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22.5" hidden="1" customHeight="1">
      <c r="A290" s="35">
        <v>288.0</v>
      </c>
      <c r="B290" s="20">
        <v>92.0</v>
      </c>
      <c r="C290" s="36" t="s">
        <v>1163</v>
      </c>
      <c r="D290" s="13" t="s">
        <v>2159</v>
      </c>
      <c r="E290" s="13" t="s">
        <v>2160</v>
      </c>
      <c r="F290" s="13" t="s">
        <v>2161</v>
      </c>
      <c r="G290" s="13" t="s">
        <v>2162</v>
      </c>
      <c r="H290" s="13" t="s">
        <v>2163</v>
      </c>
      <c r="I290" s="14" t="s">
        <v>18</v>
      </c>
      <c r="J290" s="1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22.5" hidden="1" customHeight="1">
      <c r="A291" s="35">
        <v>289.0</v>
      </c>
      <c r="B291" s="20">
        <v>92.0</v>
      </c>
      <c r="C291" s="36" t="s">
        <v>1163</v>
      </c>
      <c r="D291" s="13" t="s">
        <v>2164</v>
      </c>
      <c r="E291" s="13" t="s">
        <v>2165</v>
      </c>
      <c r="F291" s="13" t="s">
        <v>2166</v>
      </c>
      <c r="G291" s="13" t="s">
        <v>2167</v>
      </c>
      <c r="H291" s="13" t="s">
        <v>2168</v>
      </c>
      <c r="I291" s="14" t="s">
        <v>18</v>
      </c>
      <c r="J291" s="14" t="s">
        <v>18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22.5" customHeight="1">
      <c r="A292" s="35">
        <v>290.0</v>
      </c>
      <c r="B292" s="20">
        <v>92.0</v>
      </c>
      <c r="C292" s="36" t="s">
        <v>1218</v>
      </c>
      <c r="D292" s="13" t="s">
        <v>2169</v>
      </c>
      <c r="E292" s="13" t="s">
        <v>2170</v>
      </c>
      <c r="F292" s="13" t="s">
        <v>2171</v>
      </c>
      <c r="G292" s="13" t="s">
        <v>2172</v>
      </c>
      <c r="H292" s="13" t="s">
        <v>2173</v>
      </c>
      <c r="I292" s="14" t="s">
        <v>18</v>
      </c>
      <c r="J292" s="14" t="s">
        <v>18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22.5" customHeight="1">
      <c r="A293" s="35">
        <v>291.0</v>
      </c>
      <c r="B293" s="20">
        <v>92.0</v>
      </c>
      <c r="C293" s="36" t="s">
        <v>1218</v>
      </c>
      <c r="D293" s="13" t="s">
        <v>2174</v>
      </c>
      <c r="E293" s="13" t="s">
        <v>2175</v>
      </c>
      <c r="F293" s="13" t="s">
        <v>2176</v>
      </c>
      <c r="G293" s="13" t="s">
        <v>2177</v>
      </c>
      <c r="H293" s="13" t="s">
        <v>2178</v>
      </c>
      <c r="I293" s="14" t="s">
        <v>18</v>
      </c>
      <c r="J293" s="1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22.5" hidden="1" customHeight="1">
      <c r="A294" s="35">
        <v>292.0</v>
      </c>
      <c r="B294" s="20">
        <v>92.0</v>
      </c>
      <c r="C294" s="36" t="s">
        <v>1163</v>
      </c>
      <c r="D294" s="13" t="s">
        <v>2179</v>
      </c>
      <c r="E294" s="13" t="s">
        <v>2180</v>
      </c>
      <c r="F294" s="13" t="s">
        <v>2181</v>
      </c>
      <c r="G294" s="13" t="s">
        <v>2182</v>
      </c>
      <c r="H294" s="13" t="s">
        <v>2183</v>
      </c>
      <c r="I294" s="15"/>
      <c r="J294" s="1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22.5" customHeight="1">
      <c r="A295" s="35">
        <v>293.0</v>
      </c>
      <c r="B295" s="20">
        <v>92.0</v>
      </c>
      <c r="C295" s="36" t="s">
        <v>1168</v>
      </c>
      <c r="D295" s="13" t="s">
        <v>2184</v>
      </c>
      <c r="E295" s="13" t="s">
        <v>1961</v>
      </c>
      <c r="F295" s="13" t="s">
        <v>484</v>
      </c>
      <c r="G295" s="13" t="s">
        <v>485</v>
      </c>
      <c r="H295" s="13" t="s">
        <v>1388</v>
      </c>
      <c r="I295" s="14" t="s">
        <v>18</v>
      </c>
      <c r="J295" s="1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22.5" customHeight="1">
      <c r="A296" s="35">
        <v>294.0</v>
      </c>
      <c r="B296" s="20">
        <v>92.0</v>
      </c>
      <c r="C296" s="36" t="s">
        <v>1218</v>
      </c>
      <c r="D296" s="13" t="s">
        <v>1862</v>
      </c>
      <c r="E296" s="13" t="s">
        <v>1863</v>
      </c>
      <c r="F296" s="13" t="s">
        <v>1864</v>
      </c>
      <c r="G296" s="13" t="s">
        <v>2185</v>
      </c>
      <c r="H296" s="13" t="s">
        <v>1866</v>
      </c>
      <c r="I296" s="15"/>
      <c r="J296" s="1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22.5" customHeight="1">
      <c r="A297" s="35">
        <v>295.0</v>
      </c>
      <c r="B297" s="20">
        <v>92.0</v>
      </c>
      <c r="C297" s="36" t="s">
        <v>1168</v>
      </c>
      <c r="D297" s="13" t="s">
        <v>1210</v>
      </c>
      <c r="E297" s="13" t="s">
        <v>1211</v>
      </c>
      <c r="F297" s="13" t="s">
        <v>89</v>
      </c>
      <c r="G297" s="13" t="s">
        <v>90</v>
      </c>
      <c r="H297" s="13" t="s">
        <v>1213</v>
      </c>
      <c r="I297" s="15"/>
      <c r="J297" s="1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22.5" customHeight="1">
      <c r="A298" s="35">
        <v>296.0</v>
      </c>
      <c r="B298" s="20">
        <v>92.0</v>
      </c>
      <c r="C298" s="36" t="s">
        <v>1168</v>
      </c>
      <c r="D298" s="13" t="s">
        <v>1867</v>
      </c>
      <c r="E298" s="13" t="s">
        <v>2186</v>
      </c>
      <c r="F298" s="13" t="s">
        <v>1869</v>
      </c>
      <c r="G298" s="13" t="s">
        <v>2187</v>
      </c>
      <c r="H298" s="13" t="s">
        <v>1871</v>
      </c>
      <c r="I298" s="14" t="s">
        <v>18</v>
      </c>
      <c r="J298" s="1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22.5" customHeight="1">
      <c r="A299" s="35">
        <v>297.0</v>
      </c>
      <c r="B299" s="20">
        <v>92.0</v>
      </c>
      <c r="C299" s="36" t="s">
        <v>1168</v>
      </c>
      <c r="D299" s="13" t="s">
        <v>2188</v>
      </c>
      <c r="E299" s="13" t="s">
        <v>2189</v>
      </c>
      <c r="F299" s="13" t="s">
        <v>2190</v>
      </c>
      <c r="G299" s="13" t="s">
        <v>2191</v>
      </c>
      <c r="H299" s="13" t="s">
        <v>2192</v>
      </c>
      <c r="I299" s="14" t="s">
        <v>18</v>
      </c>
      <c r="J299" s="1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22.5" customHeight="1">
      <c r="A300" s="35">
        <v>298.0</v>
      </c>
      <c r="B300" s="20">
        <v>92.0</v>
      </c>
      <c r="C300" s="36" t="s">
        <v>1168</v>
      </c>
      <c r="D300" s="13" t="s">
        <v>1476</v>
      </c>
      <c r="E300" s="13" t="s">
        <v>1280</v>
      </c>
      <c r="F300" s="13" t="s">
        <v>435</v>
      </c>
      <c r="G300" s="13" t="s">
        <v>436</v>
      </c>
      <c r="H300" s="13" t="s">
        <v>1283</v>
      </c>
      <c r="I300" s="15"/>
      <c r="J300" s="1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22.5" hidden="1" customHeight="1">
      <c r="A301" s="35">
        <v>299.0</v>
      </c>
      <c r="B301" s="20">
        <v>92.0</v>
      </c>
      <c r="C301" s="36" t="s">
        <v>1163</v>
      </c>
      <c r="D301" s="13" t="s">
        <v>2193</v>
      </c>
      <c r="E301" s="13" t="s">
        <v>2194</v>
      </c>
      <c r="F301" s="13" t="s">
        <v>2195</v>
      </c>
      <c r="G301" s="13" t="s">
        <v>2196</v>
      </c>
      <c r="H301" s="13" t="s">
        <v>2197</v>
      </c>
      <c r="I301" s="15"/>
      <c r="J301" s="1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22.5" customHeight="1">
      <c r="A302" s="35">
        <v>300.0</v>
      </c>
      <c r="B302" s="20">
        <v>92.0</v>
      </c>
      <c r="C302" s="36" t="s">
        <v>1168</v>
      </c>
      <c r="D302" s="13" t="s">
        <v>2198</v>
      </c>
      <c r="E302" s="13" t="s">
        <v>2199</v>
      </c>
      <c r="F302" s="13" t="s">
        <v>2200</v>
      </c>
      <c r="G302" s="13" t="s">
        <v>2201</v>
      </c>
      <c r="H302" s="13" t="s">
        <v>2202</v>
      </c>
      <c r="I302" s="15"/>
      <c r="J302" s="1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22.5" customHeight="1">
      <c r="A303" s="35">
        <v>301.0</v>
      </c>
      <c r="B303" s="20">
        <v>91.0</v>
      </c>
      <c r="C303" s="36" t="s">
        <v>1218</v>
      </c>
      <c r="D303" s="13" t="s">
        <v>2203</v>
      </c>
      <c r="E303" s="13" t="s">
        <v>2204</v>
      </c>
      <c r="F303" s="13" t="s">
        <v>2205</v>
      </c>
      <c r="G303" s="13" t="s">
        <v>2206</v>
      </c>
      <c r="H303" s="13" t="s">
        <v>2207</v>
      </c>
      <c r="I303" s="15"/>
      <c r="J303" s="1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22.5" customHeight="1">
      <c r="A304" s="35">
        <v>302.0</v>
      </c>
      <c r="B304" s="20">
        <v>91.0</v>
      </c>
      <c r="C304" s="36" t="s">
        <v>1218</v>
      </c>
      <c r="D304" s="13" t="s">
        <v>2208</v>
      </c>
      <c r="E304" s="13" t="s">
        <v>2209</v>
      </c>
      <c r="F304" s="13" t="s">
        <v>2210</v>
      </c>
      <c r="G304" s="13" t="s">
        <v>2211</v>
      </c>
      <c r="H304" s="13" t="s">
        <v>2212</v>
      </c>
      <c r="I304" s="14" t="s">
        <v>18</v>
      </c>
      <c r="J304" s="1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22.5" customHeight="1">
      <c r="A305" s="35">
        <v>303.0</v>
      </c>
      <c r="B305" s="20">
        <v>91.0</v>
      </c>
      <c r="C305" s="36" t="s">
        <v>1218</v>
      </c>
      <c r="D305" s="13" t="s">
        <v>2052</v>
      </c>
      <c r="E305" s="13" t="s">
        <v>2213</v>
      </c>
      <c r="F305" s="13" t="s">
        <v>2054</v>
      </c>
      <c r="G305" s="13" t="s">
        <v>2055</v>
      </c>
      <c r="H305" s="13" t="s">
        <v>2056</v>
      </c>
      <c r="I305" s="14" t="s">
        <v>18</v>
      </c>
      <c r="J305" s="1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22.5" hidden="1" customHeight="1">
      <c r="A306" s="35">
        <v>304.0</v>
      </c>
      <c r="B306" s="20">
        <v>91.0</v>
      </c>
      <c r="C306" s="36" t="s">
        <v>1163</v>
      </c>
      <c r="D306" s="13" t="s">
        <v>2214</v>
      </c>
      <c r="E306" s="13" t="s">
        <v>2215</v>
      </c>
      <c r="F306" s="13" t="s">
        <v>535</v>
      </c>
      <c r="G306" s="13" t="s">
        <v>536</v>
      </c>
      <c r="H306" s="13" t="s">
        <v>2216</v>
      </c>
      <c r="I306" s="15"/>
      <c r="J306" s="1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22.5" customHeight="1">
      <c r="A307" s="35">
        <v>305.0</v>
      </c>
      <c r="B307" s="20">
        <v>91.0</v>
      </c>
      <c r="C307" s="36" t="s">
        <v>1168</v>
      </c>
      <c r="D307" s="13" t="s">
        <v>2217</v>
      </c>
      <c r="E307" s="13" t="s">
        <v>2218</v>
      </c>
      <c r="F307" s="13" t="s">
        <v>2219</v>
      </c>
      <c r="G307" s="13" t="s">
        <v>2220</v>
      </c>
      <c r="H307" s="13" t="s">
        <v>2221</v>
      </c>
      <c r="I307" s="14" t="s">
        <v>18</v>
      </c>
      <c r="J307" s="14" t="s">
        <v>18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22.5" customHeight="1">
      <c r="A308" s="35">
        <v>306.0</v>
      </c>
      <c r="B308" s="20">
        <v>91.0</v>
      </c>
      <c r="C308" s="36" t="s">
        <v>1218</v>
      </c>
      <c r="D308" s="13" t="s">
        <v>2222</v>
      </c>
      <c r="E308" s="13" t="s">
        <v>1994</v>
      </c>
      <c r="F308" s="13" t="s">
        <v>757</v>
      </c>
      <c r="G308" s="13" t="s">
        <v>758</v>
      </c>
      <c r="H308" s="13" t="s">
        <v>1997</v>
      </c>
      <c r="I308" s="14" t="s">
        <v>18</v>
      </c>
      <c r="J308" s="14" t="s">
        <v>18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22.5" customHeight="1">
      <c r="A309" s="35">
        <v>307.0</v>
      </c>
      <c r="B309" s="20">
        <v>91.0</v>
      </c>
      <c r="C309" s="36" t="s">
        <v>1218</v>
      </c>
      <c r="D309" s="13" t="s">
        <v>2223</v>
      </c>
      <c r="E309" s="13" t="s">
        <v>2224</v>
      </c>
      <c r="F309" s="13" t="s">
        <v>2225</v>
      </c>
      <c r="G309" s="13" t="s">
        <v>2226</v>
      </c>
      <c r="H309" s="13" t="s">
        <v>2227</v>
      </c>
      <c r="I309" s="14" t="s">
        <v>18</v>
      </c>
      <c r="J309" s="1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22.5" customHeight="1">
      <c r="A310" s="35">
        <v>308.0</v>
      </c>
      <c r="B310" s="20">
        <v>91.0</v>
      </c>
      <c r="C310" s="36" t="s">
        <v>1168</v>
      </c>
      <c r="D310" s="13" t="s">
        <v>2228</v>
      </c>
      <c r="E310" s="13" t="s">
        <v>2229</v>
      </c>
      <c r="F310" s="13" t="s">
        <v>2230</v>
      </c>
      <c r="G310" s="13" t="s">
        <v>2231</v>
      </c>
      <c r="H310" s="21" t="s">
        <v>2232</v>
      </c>
      <c r="I310" s="14" t="s">
        <v>18</v>
      </c>
      <c r="J310" s="1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22.5" customHeight="1">
      <c r="A311" s="35">
        <v>309.0</v>
      </c>
      <c r="B311" s="20">
        <v>91.0</v>
      </c>
      <c r="C311" s="36" t="s">
        <v>1168</v>
      </c>
      <c r="D311" s="13" t="s">
        <v>1733</v>
      </c>
      <c r="E311" s="13" t="s">
        <v>2233</v>
      </c>
      <c r="F311" s="13" t="s">
        <v>1735</v>
      </c>
      <c r="G311" s="13" t="s">
        <v>2234</v>
      </c>
      <c r="H311" s="13" t="s">
        <v>1737</v>
      </c>
      <c r="I311" s="14" t="s">
        <v>18</v>
      </c>
      <c r="J311" s="1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22.5" customHeight="1">
      <c r="A312" s="35">
        <v>310.0</v>
      </c>
      <c r="B312" s="20">
        <v>91.0</v>
      </c>
      <c r="C312" s="36" t="s">
        <v>1218</v>
      </c>
      <c r="D312" s="13" t="s">
        <v>2235</v>
      </c>
      <c r="E312" s="13" t="s">
        <v>2236</v>
      </c>
      <c r="F312" s="13" t="s">
        <v>2237</v>
      </c>
      <c r="G312" s="13" t="s">
        <v>2238</v>
      </c>
      <c r="H312" s="13" t="s">
        <v>2239</v>
      </c>
      <c r="I312" s="15"/>
      <c r="J312" s="1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22.5" customHeight="1">
      <c r="A313" s="35">
        <v>311.0</v>
      </c>
      <c r="B313" s="20">
        <v>91.0</v>
      </c>
      <c r="C313" s="36" t="s">
        <v>1168</v>
      </c>
      <c r="D313" s="13" t="s">
        <v>2240</v>
      </c>
      <c r="E313" s="13" t="s">
        <v>2241</v>
      </c>
      <c r="F313" s="13" t="s">
        <v>2242</v>
      </c>
      <c r="G313" s="13" t="s">
        <v>2243</v>
      </c>
      <c r="H313" s="13" t="s">
        <v>2244</v>
      </c>
      <c r="I313" s="14" t="s">
        <v>18</v>
      </c>
      <c r="J313" s="1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22.5" hidden="1" customHeight="1">
      <c r="A314" s="35">
        <v>312.0</v>
      </c>
      <c r="B314" s="20">
        <v>91.0</v>
      </c>
      <c r="C314" s="36" t="s">
        <v>1163</v>
      </c>
      <c r="D314" s="13" t="s">
        <v>2245</v>
      </c>
      <c r="E314" s="13" t="s">
        <v>2246</v>
      </c>
      <c r="F314" s="13" t="s">
        <v>326</v>
      </c>
      <c r="G314" s="13" t="s">
        <v>327</v>
      </c>
      <c r="H314" s="13" t="s">
        <v>2247</v>
      </c>
      <c r="I314" s="14" t="s">
        <v>18</v>
      </c>
      <c r="J314" s="1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22.5" hidden="1" customHeight="1">
      <c r="A315" s="35">
        <v>313.0</v>
      </c>
      <c r="B315" s="20">
        <v>91.0</v>
      </c>
      <c r="C315" s="36" t="s">
        <v>1163</v>
      </c>
      <c r="D315" s="13" t="s">
        <v>1821</v>
      </c>
      <c r="E315" s="13" t="s">
        <v>2248</v>
      </c>
      <c r="F315" s="13" t="s">
        <v>1823</v>
      </c>
      <c r="G315" s="13" t="s">
        <v>1824</v>
      </c>
      <c r="H315" s="13" t="s">
        <v>1825</v>
      </c>
      <c r="I315" s="15"/>
      <c r="J315" s="1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22.5" hidden="1" customHeight="1">
      <c r="A316" s="35">
        <v>314.0</v>
      </c>
      <c r="B316" s="20">
        <v>91.0</v>
      </c>
      <c r="C316" s="36" t="s">
        <v>1163</v>
      </c>
      <c r="D316" s="13" t="s">
        <v>2249</v>
      </c>
      <c r="E316" s="13" t="s">
        <v>2250</v>
      </c>
      <c r="F316" s="13" t="s">
        <v>2251</v>
      </c>
      <c r="G316" s="13" t="s">
        <v>2252</v>
      </c>
      <c r="H316" s="13" t="s">
        <v>2253</v>
      </c>
      <c r="I316" s="14" t="s">
        <v>18</v>
      </c>
      <c r="J316" s="1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22.5" hidden="1" customHeight="1">
      <c r="A317" s="35">
        <v>315.0</v>
      </c>
      <c r="B317" s="20">
        <v>91.0</v>
      </c>
      <c r="C317" s="36" t="s">
        <v>1163</v>
      </c>
      <c r="D317" s="13" t="s">
        <v>2254</v>
      </c>
      <c r="E317" s="13" t="s">
        <v>2255</v>
      </c>
      <c r="F317" s="13" t="s">
        <v>2256</v>
      </c>
      <c r="G317" s="13" t="s">
        <v>2257</v>
      </c>
      <c r="H317" s="13" t="s">
        <v>2258</v>
      </c>
      <c r="I317" s="14" t="s">
        <v>18</v>
      </c>
      <c r="J317" s="1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22.5" customHeight="1">
      <c r="A318" s="35">
        <v>316.0</v>
      </c>
      <c r="B318" s="20">
        <v>90.0</v>
      </c>
      <c r="C318" s="36" t="s">
        <v>1218</v>
      </c>
      <c r="D318" s="13" t="s">
        <v>1998</v>
      </c>
      <c r="E318" s="13" t="s">
        <v>2259</v>
      </c>
      <c r="F318" s="13" t="s">
        <v>2000</v>
      </c>
      <c r="G318" s="13" t="s">
        <v>2001</v>
      </c>
      <c r="H318" s="13" t="s">
        <v>2002</v>
      </c>
      <c r="I318" s="14" t="s">
        <v>18</v>
      </c>
      <c r="J318" s="1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22.5" hidden="1" customHeight="1">
      <c r="A319" s="35">
        <v>317.0</v>
      </c>
      <c r="B319" s="20">
        <v>90.0</v>
      </c>
      <c r="C319" s="36" t="s">
        <v>1163</v>
      </c>
      <c r="D319" s="13" t="s">
        <v>2260</v>
      </c>
      <c r="E319" s="13" t="s">
        <v>2261</v>
      </c>
      <c r="F319" s="13" t="s">
        <v>2262</v>
      </c>
      <c r="G319" s="13" t="s">
        <v>2263</v>
      </c>
      <c r="H319" s="13" t="s">
        <v>1912</v>
      </c>
      <c r="I319" s="14" t="s">
        <v>18</v>
      </c>
      <c r="J319" s="1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22.5" customHeight="1">
      <c r="A320" s="35">
        <v>318.0</v>
      </c>
      <c r="B320" s="20">
        <v>90.0</v>
      </c>
      <c r="C320" s="36" t="s">
        <v>1168</v>
      </c>
      <c r="D320" s="13" t="s">
        <v>2264</v>
      </c>
      <c r="E320" s="13" t="s">
        <v>2265</v>
      </c>
      <c r="F320" s="13" t="s">
        <v>2266</v>
      </c>
      <c r="G320" s="13" t="s">
        <v>2267</v>
      </c>
      <c r="H320" s="13" t="s">
        <v>2268</v>
      </c>
      <c r="I320" s="15"/>
      <c r="J320" s="1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22.5" customHeight="1">
      <c r="A321" s="35">
        <v>319.0</v>
      </c>
      <c r="B321" s="20">
        <v>90.0</v>
      </c>
      <c r="C321" s="36" t="s">
        <v>1168</v>
      </c>
      <c r="D321" s="13" t="s">
        <v>2269</v>
      </c>
      <c r="E321" s="13" t="s">
        <v>2270</v>
      </c>
      <c r="F321" s="13" t="s">
        <v>2271</v>
      </c>
      <c r="G321" s="13" t="s">
        <v>2272</v>
      </c>
      <c r="H321" s="13" t="s">
        <v>2273</v>
      </c>
      <c r="I321" s="14" t="s">
        <v>18</v>
      </c>
      <c r="J321" s="14" t="s">
        <v>18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22.5" customHeight="1">
      <c r="A322" s="35">
        <v>320.0</v>
      </c>
      <c r="B322" s="20">
        <v>90.0</v>
      </c>
      <c r="C322" s="36" t="s">
        <v>1168</v>
      </c>
      <c r="D322" s="13" t="s">
        <v>1242</v>
      </c>
      <c r="E322" s="13" t="s">
        <v>2274</v>
      </c>
      <c r="F322" s="13" t="s">
        <v>1244</v>
      </c>
      <c r="G322" s="13" t="s">
        <v>1914</v>
      </c>
      <c r="H322" s="13" t="s">
        <v>1246</v>
      </c>
      <c r="I322" s="15"/>
      <c r="J322" s="1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22.5" hidden="1" customHeight="1">
      <c r="A323" s="35">
        <v>321.0</v>
      </c>
      <c r="B323" s="20">
        <v>90.0</v>
      </c>
      <c r="C323" s="36" t="s">
        <v>1163</v>
      </c>
      <c r="D323" s="13" t="s">
        <v>2275</v>
      </c>
      <c r="E323" s="13" t="s">
        <v>2276</v>
      </c>
      <c r="F323" s="13" t="s">
        <v>2277</v>
      </c>
      <c r="G323" s="13" t="s">
        <v>2278</v>
      </c>
      <c r="H323" s="13" t="s">
        <v>2279</v>
      </c>
      <c r="I323" s="15"/>
      <c r="J323" s="1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22.5" customHeight="1">
      <c r="A324" s="35">
        <v>322.0</v>
      </c>
      <c r="B324" s="20">
        <v>90.0</v>
      </c>
      <c r="C324" s="36" t="s">
        <v>1218</v>
      </c>
      <c r="D324" s="13" t="s">
        <v>1700</v>
      </c>
      <c r="E324" s="13" t="s">
        <v>2008</v>
      </c>
      <c r="F324" s="13" t="s">
        <v>1702</v>
      </c>
      <c r="G324" s="13" t="s">
        <v>2009</v>
      </c>
      <c r="H324" s="13" t="s">
        <v>1704</v>
      </c>
      <c r="I324" s="15"/>
      <c r="J324" s="1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22.5" customHeight="1">
      <c r="A325" s="35">
        <v>323.0</v>
      </c>
      <c r="B325" s="20">
        <v>90.0</v>
      </c>
      <c r="C325" s="36" t="s">
        <v>1218</v>
      </c>
      <c r="D325" s="13" t="s">
        <v>2280</v>
      </c>
      <c r="E325" s="13" t="s">
        <v>2281</v>
      </c>
      <c r="F325" s="13" t="s">
        <v>2282</v>
      </c>
      <c r="G325" s="13" t="s">
        <v>2283</v>
      </c>
      <c r="H325" s="13" t="s">
        <v>2284</v>
      </c>
      <c r="I325" s="14" t="s">
        <v>18</v>
      </c>
      <c r="J325" s="14" t="s">
        <v>18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22.5" customHeight="1">
      <c r="A326" s="35">
        <v>324.0</v>
      </c>
      <c r="B326" s="20">
        <v>90.0</v>
      </c>
      <c r="C326" s="36" t="s">
        <v>1218</v>
      </c>
      <c r="D326" s="13" t="s">
        <v>1847</v>
      </c>
      <c r="E326" s="13" t="s">
        <v>2285</v>
      </c>
      <c r="F326" s="13" t="s">
        <v>1849</v>
      </c>
      <c r="G326" s="13" t="s">
        <v>2011</v>
      </c>
      <c r="H326" s="13" t="s">
        <v>1851</v>
      </c>
      <c r="I326" s="14" t="s">
        <v>18</v>
      </c>
      <c r="J326" s="14" t="s">
        <v>18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22.5" hidden="1" customHeight="1">
      <c r="A327" s="35">
        <v>325.0</v>
      </c>
      <c r="B327" s="20">
        <v>90.0</v>
      </c>
      <c r="C327" s="36" t="s">
        <v>1163</v>
      </c>
      <c r="D327" s="13" t="s">
        <v>2286</v>
      </c>
      <c r="E327" s="13" t="s">
        <v>2287</v>
      </c>
      <c r="F327" s="13" t="s">
        <v>478</v>
      </c>
      <c r="G327" s="13" t="s">
        <v>196</v>
      </c>
      <c r="H327" s="13" t="s">
        <v>2288</v>
      </c>
      <c r="I327" s="14" t="s">
        <v>18</v>
      </c>
      <c r="J327" s="1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22.5" customHeight="1">
      <c r="A328" s="35">
        <v>326.0</v>
      </c>
      <c r="B328" s="20">
        <v>90.0</v>
      </c>
      <c r="C328" s="36" t="s">
        <v>1168</v>
      </c>
      <c r="D328" s="13" t="s">
        <v>1336</v>
      </c>
      <c r="E328" s="13" t="s">
        <v>2289</v>
      </c>
      <c r="F328" s="13" t="s">
        <v>1338</v>
      </c>
      <c r="G328" s="13" t="s">
        <v>1853</v>
      </c>
      <c r="H328" s="13" t="s">
        <v>1340</v>
      </c>
      <c r="I328" s="15"/>
      <c r="J328" s="1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22.5" customHeight="1">
      <c r="A329" s="35">
        <v>327.0</v>
      </c>
      <c r="B329" s="20">
        <v>90.0</v>
      </c>
      <c r="C329" s="36" t="s">
        <v>1168</v>
      </c>
      <c r="D329" s="13" t="s">
        <v>2290</v>
      </c>
      <c r="E329" s="13" t="s">
        <v>2291</v>
      </c>
      <c r="F329" s="13" t="s">
        <v>2292</v>
      </c>
      <c r="G329" s="13" t="s">
        <v>2293</v>
      </c>
      <c r="H329" s="13" t="s">
        <v>2294</v>
      </c>
      <c r="I329" s="15"/>
      <c r="J329" s="1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22.5" customHeight="1">
      <c r="A330" s="35">
        <v>328.0</v>
      </c>
      <c r="B330" s="20">
        <v>90.0</v>
      </c>
      <c r="C330" s="36" t="s">
        <v>1168</v>
      </c>
      <c r="D330" s="13" t="s">
        <v>1210</v>
      </c>
      <c r="E330" s="13" t="s">
        <v>1211</v>
      </c>
      <c r="F330" s="13" t="s">
        <v>89</v>
      </c>
      <c r="G330" s="13" t="s">
        <v>90</v>
      </c>
      <c r="H330" s="13" t="s">
        <v>1213</v>
      </c>
      <c r="I330" s="15"/>
      <c r="J330" s="1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22.5" hidden="1" customHeight="1">
      <c r="A331" s="35">
        <v>329.0</v>
      </c>
      <c r="B331" s="20">
        <v>90.0</v>
      </c>
      <c r="C331" s="36" t="s">
        <v>1163</v>
      </c>
      <c r="D331" s="13" t="s">
        <v>2295</v>
      </c>
      <c r="E331" s="13" t="s">
        <v>2296</v>
      </c>
      <c r="F331" s="13" t="s">
        <v>405</v>
      </c>
      <c r="G331" s="13" t="s">
        <v>406</v>
      </c>
      <c r="H331" s="21" t="s">
        <v>2297</v>
      </c>
      <c r="I331" s="14" t="s">
        <v>18</v>
      </c>
      <c r="J331" s="1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22.5" hidden="1" customHeight="1">
      <c r="A332" s="35">
        <v>330.0</v>
      </c>
      <c r="B332" s="20">
        <v>90.0</v>
      </c>
      <c r="C332" s="36" t="s">
        <v>1163</v>
      </c>
      <c r="D332" s="13" t="s">
        <v>2298</v>
      </c>
      <c r="E332" s="13" t="s">
        <v>2299</v>
      </c>
      <c r="F332" s="13" t="s">
        <v>2300</v>
      </c>
      <c r="G332" s="13" t="s">
        <v>2301</v>
      </c>
      <c r="H332" s="13" t="s">
        <v>2302</v>
      </c>
      <c r="I332" s="14" t="s">
        <v>18</v>
      </c>
      <c r="J332" s="1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22.5" customHeight="1">
      <c r="A333" s="35">
        <v>331.0</v>
      </c>
      <c r="B333" s="20">
        <v>87.0</v>
      </c>
      <c r="C333" s="36" t="s">
        <v>1218</v>
      </c>
      <c r="D333" s="13" t="s">
        <v>2303</v>
      </c>
      <c r="E333" s="13" t="s">
        <v>2304</v>
      </c>
      <c r="F333" s="13" t="s">
        <v>149</v>
      </c>
      <c r="G333" s="13" t="s">
        <v>2305</v>
      </c>
      <c r="H333" s="13" t="s">
        <v>2306</v>
      </c>
      <c r="I333" s="14" t="s">
        <v>18</v>
      </c>
      <c r="J333" s="1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22.5" customHeight="1">
      <c r="A334" s="35">
        <v>332.0</v>
      </c>
      <c r="B334" s="20">
        <v>87.0</v>
      </c>
      <c r="C334" s="36" t="s">
        <v>1168</v>
      </c>
      <c r="D334" s="13" t="s">
        <v>2307</v>
      </c>
      <c r="E334" s="13" t="s">
        <v>2308</v>
      </c>
      <c r="F334" s="13" t="s">
        <v>2309</v>
      </c>
      <c r="G334" s="13" t="s">
        <v>2310</v>
      </c>
      <c r="H334" s="13" t="s">
        <v>2311</v>
      </c>
      <c r="I334" s="14" t="s">
        <v>18</v>
      </c>
      <c r="J334" s="1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22.5" customHeight="1">
      <c r="A335" s="35">
        <v>333.0</v>
      </c>
      <c r="B335" s="20">
        <v>87.0</v>
      </c>
      <c r="C335" s="36" t="s">
        <v>1218</v>
      </c>
      <c r="D335" s="13" t="s">
        <v>2312</v>
      </c>
      <c r="E335" s="13" t="s">
        <v>2313</v>
      </c>
      <c r="F335" s="13" t="s">
        <v>2314</v>
      </c>
      <c r="G335" s="13" t="s">
        <v>2315</v>
      </c>
      <c r="H335" s="13" t="s">
        <v>2316</v>
      </c>
      <c r="I335" s="14" t="s">
        <v>18</v>
      </c>
      <c r="J335" s="1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22.5" customHeight="1">
      <c r="A336" s="35">
        <v>334.0</v>
      </c>
      <c r="B336" s="20">
        <v>87.0</v>
      </c>
      <c r="C336" s="36" t="s">
        <v>1168</v>
      </c>
      <c r="D336" s="13" t="s">
        <v>2317</v>
      </c>
      <c r="E336" s="13" t="s">
        <v>2318</v>
      </c>
      <c r="F336" s="13" t="s">
        <v>2319</v>
      </c>
      <c r="G336" s="13" t="s">
        <v>2320</v>
      </c>
      <c r="H336" s="21" t="s">
        <v>2321</v>
      </c>
      <c r="I336" s="14" t="s">
        <v>18</v>
      </c>
      <c r="J336" s="1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22.5" customHeight="1">
      <c r="A337" s="35">
        <v>335.0</v>
      </c>
      <c r="B337" s="20">
        <v>87.0</v>
      </c>
      <c r="C337" s="36" t="s">
        <v>1168</v>
      </c>
      <c r="D337" s="13" t="s">
        <v>1808</v>
      </c>
      <c r="E337" s="13" t="s">
        <v>1556</v>
      </c>
      <c r="F337" s="13" t="s">
        <v>1809</v>
      </c>
      <c r="G337" s="13" t="s">
        <v>1810</v>
      </c>
      <c r="H337" s="13" t="s">
        <v>1558</v>
      </c>
      <c r="I337" s="15"/>
      <c r="J337" s="1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22.5" customHeight="1">
      <c r="A338" s="35">
        <v>336.0</v>
      </c>
      <c r="B338" s="20">
        <v>87.0</v>
      </c>
      <c r="C338" s="36" t="s">
        <v>1168</v>
      </c>
      <c r="D338" s="13" t="s">
        <v>2322</v>
      </c>
      <c r="E338" s="13" t="s">
        <v>2323</v>
      </c>
      <c r="F338" s="13" t="s">
        <v>2324</v>
      </c>
      <c r="G338" s="13" t="s">
        <v>2325</v>
      </c>
      <c r="H338" s="13" t="s">
        <v>2326</v>
      </c>
      <c r="I338" s="15"/>
      <c r="J338" s="1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22.5" hidden="1" customHeight="1">
      <c r="A339" s="35">
        <v>337.0</v>
      </c>
      <c r="B339" s="20">
        <v>87.0</v>
      </c>
      <c r="C339" s="36" t="s">
        <v>1163</v>
      </c>
      <c r="D339" s="13" t="s">
        <v>2327</v>
      </c>
      <c r="E339" s="13" t="s">
        <v>2328</v>
      </c>
      <c r="F339" s="13" t="s">
        <v>467</v>
      </c>
      <c r="G339" s="13" t="s">
        <v>468</v>
      </c>
      <c r="H339" s="13" t="s">
        <v>2329</v>
      </c>
      <c r="I339" s="14" t="s">
        <v>18</v>
      </c>
      <c r="J339" s="1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22.5" hidden="1" customHeight="1">
      <c r="A340" s="35">
        <v>338.0</v>
      </c>
      <c r="B340" s="20">
        <v>87.0</v>
      </c>
      <c r="C340" s="36" t="s">
        <v>1163</v>
      </c>
      <c r="D340" s="13" t="s">
        <v>2330</v>
      </c>
      <c r="E340" s="13" t="s">
        <v>2331</v>
      </c>
      <c r="F340" s="13" t="s">
        <v>2332</v>
      </c>
      <c r="G340" s="13" t="s">
        <v>2333</v>
      </c>
      <c r="H340" s="13" t="s">
        <v>2334</v>
      </c>
      <c r="I340" s="15"/>
      <c r="J340" s="1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22.5" customHeight="1">
      <c r="A341" s="35">
        <v>339.0</v>
      </c>
      <c r="B341" s="20">
        <v>87.0</v>
      </c>
      <c r="C341" s="36" t="s">
        <v>1168</v>
      </c>
      <c r="D341" s="13" t="s">
        <v>2240</v>
      </c>
      <c r="E341" s="13" t="s">
        <v>2335</v>
      </c>
      <c r="F341" s="13" t="s">
        <v>2242</v>
      </c>
      <c r="G341" s="13" t="s">
        <v>2243</v>
      </c>
      <c r="H341" s="13" t="s">
        <v>2244</v>
      </c>
      <c r="I341" s="14" t="s">
        <v>18</v>
      </c>
      <c r="J341" s="1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22.5" hidden="1" customHeight="1">
      <c r="A342" s="35">
        <v>340.0</v>
      </c>
      <c r="B342" s="20">
        <v>87.0</v>
      </c>
      <c r="C342" s="36" t="s">
        <v>1163</v>
      </c>
      <c r="D342" s="13" t="s">
        <v>2336</v>
      </c>
      <c r="E342" s="13" t="s">
        <v>2337</v>
      </c>
      <c r="F342" s="13" t="s">
        <v>2338</v>
      </c>
      <c r="G342" s="13" t="s">
        <v>2339</v>
      </c>
      <c r="H342" s="13" t="s">
        <v>2340</v>
      </c>
      <c r="I342" s="14" t="s">
        <v>18</v>
      </c>
      <c r="J342" s="1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22.5" hidden="1" customHeight="1">
      <c r="A343" s="35">
        <v>341.0</v>
      </c>
      <c r="B343" s="20">
        <v>87.0</v>
      </c>
      <c r="C343" s="36" t="s">
        <v>1163</v>
      </c>
      <c r="D343" s="13" t="s">
        <v>1877</v>
      </c>
      <c r="E343" s="13" t="s">
        <v>2341</v>
      </c>
      <c r="F343" s="13" t="s">
        <v>1879</v>
      </c>
      <c r="G343" s="13" t="s">
        <v>1880</v>
      </c>
      <c r="H343" s="13" t="s">
        <v>1881</v>
      </c>
      <c r="I343" s="14" t="s">
        <v>18</v>
      </c>
      <c r="J343" s="1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22.5" customHeight="1">
      <c r="A344" s="35">
        <v>342.0</v>
      </c>
      <c r="B344" s="20">
        <v>87.0</v>
      </c>
      <c r="C344" s="36" t="s">
        <v>1218</v>
      </c>
      <c r="D344" s="13" t="s">
        <v>2342</v>
      </c>
      <c r="E344" s="13" t="s">
        <v>2343</v>
      </c>
      <c r="F344" s="13" t="s">
        <v>2344</v>
      </c>
      <c r="G344" s="13" t="s">
        <v>2345</v>
      </c>
      <c r="H344" s="13" t="s">
        <v>2346</v>
      </c>
      <c r="I344" s="14" t="s">
        <v>18</v>
      </c>
      <c r="J344" s="1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22.5" customHeight="1">
      <c r="A345" s="35">
        <v>343.0</v>
      </c>
      <c r="B345" s="20">
        <v>87.0</v>
      </c>
      <c r="C345" s="36" t="s">
        <v>1168</v>
      </c>
      <c r="D345" s="13" t="s">
        <v>2347</v>
      </c>
      <c r="E345" s="13" t="s">
        <v>1989</v>
      </c>
      <c r="F345" s="13" t="s">
        <v>1990</v>
      </c>
      <c r="G345" s="13" t="s">
        <v>1991</v>
      </c>
      <c r="H345" s="13" t="s">
        <v>1992</v>
      </c>
      <c r="I345" s="14" t="s">
        <v>18</v>
      </c>
      <c r="J345" s="1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22.5" hidden="1" customHeight="1">
      <c r="A346" s="35">
        <v>344.0</v>
      </c>
      <c r="B346" s="20">
        <v>87.0</v>
      </c>
      <c r="C346" s="36" t="s">
        <v>1163</v>
      </c>
      <c r="D346" s="13" t="s">
        <v>2348</v>
      </c>
      <c r="E346" s="13" t="s">
        <v>2349</v>
      </c>
      <c r="F346" s="13" t="s">
        <v>2350</v>
      </c>
      <c r="G346" s="13" t="s">
        <v>2351</v>
      </c>
      <c r="H346" s="13" t="s">
        <v>2352</v>
      </c>
      <c r="I346" s="14" t="s">
        <v>18</v>
      </c>
      <c r="J346" s="1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22.5" customHeight="1">
      <c r="A347" s="35">
        <v>345.0</v>
      </c>
      <c r="B347" s="20">
        <v>87.0</v>
      </c>
      <c r="C347" s="36" t="s">
        <v>1218</v>
      </c>
      <c r="D347" s="13" t="s">
        <v>1537</v>
      </c>
      <c r="E347" s="13" t="s">
        <v>2353</v>
      </c>
      <c r="F347" s="13" t="s">
        <v>1539</v>
      </c>
      <c r="G347" s="13" t="s">
        <v>2354</v>
      </c>
      <c r="H347" s="13" t="s">
        <v>1541</v>
      </c>
      <c r="I347" s="15"/>
      <c r="J347" s="1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22.5" customHeight="1">
      <c r="A348" s="35">
        <v>346.0</v>
      </c>
      <c r="B348" s="20">
        <v>86.0</v>
      </c>
      <c r="C348" s="36" t="s">
        <v>1218</v>
      </c>
      <c r="D348" s="13" t="s">
        <v>2355</v>
      </c>
      <c r="E348" s="13" t="s">
        <v>2356</v>
      </c>
      <c r="F348" s="13" t="s">
        <v>1229</v>
      </c>
      <c r="G348" s="13" t="s">
        <v>2357</v>
      </c>
      <c r="H348" s="13" t="s">
        <v>1231</v>
      </c>
      <c r="I348" s="15"/>
      <c r="J348" s="1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22.5" customHeight="1">
      <c r="A349" s="35">
        <v>347.0</v>
      </c>
      <c r="B349" s="20">
        <v>86.0</v>
      </c>
      <c r="C349" s="36" t="s">
        <v>1218</v>
      </c>
      <c r="D349" s="13" t="s">
        <v>1747</v>
      </c>
      <c r="E349" s="13" t="s">
        <v>2358</v>
      </c>
      <c r="F349" s="13" t="s">
        <v>1749</v>
      </c>
      <c r="G349" s="13" t="s">
        <v>2359</v>
      </c>
      <c r="H349" s="13" t="s">
        <v>1751</v>
      </c>
      <c r="I349" s="14" t="s">
        <v>18</v>
      </c>
      <c r="J349" s="1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22.5" hidden="1" customHeight="1">
      <c r="A350" s="35">
        <v>348.0</v>
      </c>
      <c r="B350" s="20">
        <v>86.0</v>
      </c>
      <c r="C350" s="36" t="s">
        <v>1163</v>
      </c>
      <c r="D350" s="13" t="s">
        <v>2275</v>
      </c>
      <c r="E350" s="13" t="s">
        <v>2360</v>
      </c>
      <c r="F350" s="13" t="s">
        <v>2277</v>
      </c>
      <c r="G350" s="13" t="s">
        <v>2278</v>
      </c>
      <c r="H350" s="13" t="s">
        <v>2279</v>
      </c>
      <c r="I350" s="14" t="s">
        <v>18</v>
      </c>
      <c r="J350" s="1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22.5" customHeight="1">
      <c r="A351" s="35">
        <v>349.0</v>
      </c>
      <c r="B351" s="20">
        <v>86.0</v>
      </c>
      <c r="C351" s="36" t="s">
        <v>1218</v>
      </c>
      <c r="D351" s="13" t="s">
        <v>1700</v>
      </c>
      <c r="E351" s="13" t="s">
        <v>2008</v>
      </c>
      <c r="F351" s="13" t="s">
        <v>1702</v>
      </c>
      <c r="G351" s="13" t="s">
        <v>2009</v>
      </c>
      <c r="H351" s="13" t="s">
        <v>1704</v>
      </c>
      <c r="I351" s="15"/>
      <c r="J351" s="1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22.5" customHeight="1">
      <c r="A352" s="35">
        <v>350.0</v>
      </c>
      <c r="B352" s="20">
        <v>86.0</v>
      </c>
      <c r="C352" s="36" t="s">
        <v>1218</v>
      </c>
      <c r="D352" s="13" t="s">
        <v>2361</v>
      </c>
      <c r="E352" s="13" t="s">
        <v>2362</v>
      </c>
      <c r="F352" s="13" t="s">
        <v>2363</v>
      </c>
      <c r="G352" s="13" t="s">
        <v>2364</v>
      </c>
      <c r="H352" s="13" t="s">
        <v>2365</v>
      </c>
      <c r="I352" s="14" t="s">
        <v>18</v>
      </c>
      <c r="J352" s="1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22.5" customHeight="1">
      <c r="A353" s="35">
        <v>351.0</v>
      </c>
      <c r="B353" s="20">
        <v>86.0</v>
      </c>
      <c r="C353" s="36" t="s">
        <v>1168</v>
      </c>
      <c r="D353" s="13" t="s">
        <v>1399</v>
      </c>
      <c r="E353" s="13" t="s">
        <v>1400</v>
      </c>
      <c r="F353" s="13" t="s">
        <v>2366</v>
      </c>
      <c r="G353" s="13" t="s">
        <v>1402</v>
      </c>
      <c r="H353" s="13" t="s">
        <v>1403</v>
      </c>
      <c r="I353" s="14" t="s">
        <v>18</v>
      </c>
      <c r="J353" s="1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22.5" customHeight="1">
      <c r="A354" s="35">
        <v>352.0</v>
      </c>
      <c r="B354" s="20">
        <v>86.0</v>
      </c>
      <c r="C354" s="36" t="s">
        <v>1168</v>
      </c>
      <c r="D354" s="13" t="s">
        <v>1524</v>
      </c>
      <c r="E354" s="13" t="s">
        <v>2367</v>
      </c>
      <c r="F354" s="13" t="s">
        <v>1526</v>
      </c>
      <c r="G354" s="13" t="s">
        <v>1527</v>
      </c>
      <c r="H354" s="13" t="s">
        <v>1528</v>
      </c>
      <c r="I354" s="15"/>
      <c r="J354" s="1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22.5" customHeight="1">
      <c r="A355" s="35">
        <v>353.0</v>
      </c>
      <c r="B355" s="20">
        <v>86.0</v>
      </c>
      <c r="C355" s="36" t="s">
        <v>1168</v>
      </c>
      <c r="D355" s="13" t="s">
        <v>2368</v>
      </c>
      <c r="E355" s="13" t="s">
        <v>2369</v>
      </c>
      <c r="F355" s="13" t="s">
        <v>2370</v>
      </c>
      <c r="G355" s="13" t="s">
        <v>2371</v>
      </c>
      <c r="H355" s="13" t="s">
        <v>1567</v>
      </c>
      <c r="I355" s="15"/>
      <c r="J355" s="1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22.5" hidden="1" customHeight="1">
      <c r="A356" s="35">
        <v>354.0</v>
      </c>
      <c r="B356" s="20">
        <v>86.0</v>
      </c>
      <c r="C356" s="36" t="s">
        <v>1163</v>
      </c>
      <c r="D356" s="13" t="s">
        <v>2372</v>
      </c>
      <c r="E356" s="13" t="s">
        <v>2373</v>
      </c>
      <c r="F356" s="13" t="s">
        <v>2374</v>
      </c>
      <c r="G356" s="13" t="s">
        <v>2375</v>
      </c>
      <c r="H356" s="13" t="s">
        <v>2376</v>
      </c>
      <c r="I356" s="14" t="s">
        <v>18</v>
      </c>
      <c r="J356" s="1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22.5" customHeight="1">
      <c r="A357" s="35">
        <v>355.0</v>
      </c>
      <c r="B357" s="20">
        <v>86.0</v>
      </c>
      <c r="C357" s="36" t="s">
        <v>1168</v>
      </c>
      <c r="D357" s="13" t="s">
        <v>2188</v>
      </c>
      <c r="E357" s="13" t="s">
        <v>2377</v>
      </c>
      <c r="F357" s="13" t="s">
        <v>2190</v>
      </c>
      <c r="G357" s="13" t="s">
        <v>2378</v>
      </c>
      <c r="H357" s="13" t="s">
        <v>2192</v>
      </c>
      <c r="I357" s="14" t="s">
        <v>18</v>
      </c>
      <c r="J357" s="1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22.5" customHeight="1">
      <c r="A358" s="35">
        <v>356.0</v>
      </c>
      <c r="B358" s="20">
        <v>86.0</v>
      </c>
      <c r="C358" s="36" t="s">
        <v>1218</v>
      </c>
      <c r="D358" s="13" t="s">
        <v>2379</v>
      </c>
      <c r="E358" s="13" t="s">
        <v>2380</v>
      </c>
      <c r="F358" s="13" t="s">
        <v>1836</v>
      </c>
      <c r="G358" s="13" t="s">
        <v>1837</v>
      </c>
      <c r="H358" s="13" t="s">
        <v>2381</v>
      </c>
      <c r="I358" s="14" t="s">
        <v>18</v>
      </c>
      <c r="J358" s="1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22.5" hidden="1" customHeight="1">
      <c r="A359" s="35">
        <v>357.0</v>
      </c>
      <c r="B359" s="20">
        <v>86.0</v>
      </c>
      <c r="C359" s="36" t="s">
        <v>1163</v>
      </c>
      <c r="D359" s="13" t="s">
        <v>1630</v>
      </c>
      <c r="E359" s="13" t="s">
        <v>2382</v>
      </c>
      <c r="F359" s="13" t="s">
        <v>1632</v>
      </c>
      <c r="G359" s="13" t="s">
        <v>1633</v>
      </c>
      <c r="H359" s="13" t="s">
        <v>1634</v>
      </c>
      <c r="I359" s="15"/>
      <c r="J359" s="1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22.5" hidden="1" customHeight="1">
      <c r="A360" s="35">
        <v>358.0</v>
      </c>
      <c r="B360" s="20">
        <v>86.0</v>
      </c>
      <c r="C360" s="36" t="s">
        <v>1163</v>
      </c>
      <c r="D360" s="13" t="s">
        <v>2383</v>
      </c>
      <c r="E360" s="13" t="s">
        <v>2384</v>
      </c>
      <c r="F360" s="13" t="s">
        <v>2385</v>
      </c>
      <c r="G360" s="13" t="s">
        <v>2386</v>
      </c>
      <c r="H360" s="13" t="s">
        <v>1488</v>
      </c>
      <c r="I360" s="14" t="s">
        <v>18</v>
      </c>
      <c r="J360" s="1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22.5" hidden="1" customHeight="1">
      <c r="A361" s="35">
        <v>359.0</v>
      </c>
      <c r="B361" s="20">
        <v>86.0</v>
      </c>
      <c r="C361" s="36" t="s">
        <v>1163</v>
      </c>
      <c r="D361" s="13" t="s">
        <v>2387</v>
      </c>
      <c r="E361" s="13" t="s">
        <v>2388</v>
      </c>
      <c r="F361" s="13" t="s">
        <v>2389</v>
      </c>
      <c r="G361" s="13" t="s">
        <v>2390</v>
      </c>
      <c r="H361" s="13" t="s">
        <v>2391</v>
      </c>
      <c r="I361" s="15"/>
      <c r="J361" s="1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22.5" customHeight="1">
      <c r="A362" s="35">
        <v>360.0</v>
      </c>
      <c r="B362" s="20">
        <v>86.0</v>
      </c>
      <c r="C362" s="36" t="s">
        <v>1168</v>
      </c>
      <c r="D362" s="13" t="s">
        <v>2392</v>
      </c>
      <c r="E362" s="13" t="s">
        <v>2393</v>
      </c>
      <c r="F362" s="13" t="s">
        <v>2394</v>
      </c>
      <c r="G362" s="13" t="s">
        <v>2395</v>
      </c>
      <c r="H362" s="13" t="s">
        <v>2396</v>
      </c>
      <c r="I362" s="15"/>
      <c r="J362" s="1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22.5" customHeight="1">
      <c r="A363" s="35">
        <v>361.0</v>
      </c>
      <c r="B363" s="20">
        <v>85.0</v>
      </c>
      <c r="C363" s="36" t="s">
        <v>1168</v>
      </c>
      <c r="D363" s="13" t="s">
        <v>1952</v>
      </c>
      <c r="E363" s="13" t="s">
        <v>1953</v>
      </c>
      <c r="F363" s="13" t="s">
        <v>1954</v>
      </c>
      <c r="G363" s="13" t="s">
        <v>1955</v>
      </c>
      <c r="H363" s="13" t="s">
        <v>1598</v>
      </c>
      <c r="I363" s="14" t="s">
        <v>18</v>
      </c>
      <c r="J363" s="14" t="s">
        <v>18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22.5" hidden="1" customHeight="1">
      <c r="A364" s="35">
        <v>362.0</v>
      </c>
      <c r="B364" s="20">
        <v>85.0</v>
      </c>
      <c r="C364" s="36" t="s">
        <v>1163</v>
      </c>
      <c r="D364" s="13" t="s">
        <v>1504</v>
      </c>
      <c r="E364" s="13" t="s">
        <v>2397</v>
      </c>
      <c r="F364" s="13" t="s">
        <v>1506</v>
      </c>
      <c r="G364" s="13" t="s">
        <v>1507</v>
      </c>
      <c r="H364" s="13" t="s">
        <v>1508</v>
      </c>
      <c r="I364" s="15"/>
      <c r="J364" s="1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22.5" customHeight="1">
      <c r="A365" s="35">
        <v>363.0</v>
      </c>
      <c r="B365" s="20">
        <v>85.0</v>
      </c>
      <c r="C365" s="36" t="s">
        <v>1168</v>
      </c>
      <c r="D365" s="13" t="s">
        <v>1242</v>
      </c>
      <c r="E365" s="13" t="s">
        <v>2274</v>
      </c>
      <c r="F365" s="13" t="s">
        <v>1244</v>
      </c>
      <c r="G365" s="13" t="s">
        <v>1914</v>
      </c>
      <c r="H365" s="13" t="s">
        <v>1246</v>
      </c>
      <c r="I365" s="15"/>
      <c r="J365" s="1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22.5" hidden="1" customHeight="1">
      <c r="A366" s="35">
        <v>364.0</v>
      </c>
      <c r="B366" s="20">
        <v>85.0</v>
      </c>
      <c r="C366" s="36" t="s">
        <v>1163</v>
      </c>
      <c r="D366" s="13" t="s">
        <v>2398</v>
      </c>
      <c r="E366" s="13" t="s">
        <v>2399</v>
      </c>
      <c r="F366" s="13" t="s">
        <v>2400</v>
      </c>
      <c r="G366" s="13" t="s">
        <v>2401</v>
      </c>
      <c r="H366" s="13" t="s">
        <v>2402</v>
      </c>
      <c r="I366" s="15"/>
      <c r="J366" s="1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22.5" customHeight="1">
      <c r="A367" s="35">
        <v>365.0</v>
      </c>
      <c r="B367" s="20">
        <v>85.0</v>
      </c>
      <c r="C367" s="36" t="s">
        <v>1168</v>
      </c>
      <c r="D367" s="13" t="s">
        <v>1194</v>
      </c>
      <c r="E367" s="13" t="s">
        <v>2403</v>
      </c>
      <c r="F367" s="13" t="s">
        <v>1195</v>
      </c>
      <c r="G367" s="13" t="s">
        <v>1196</v>
      </c>
      <c r="H367" s="13" t="s">
        <v>1197</v>
      </c>
      <c r="I367" s="15"/>
      <c r="J367" s="1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22.5" customHeight="1">
      <c r="A368" s="35">
        <v>366.0</v>
      </c>
      <c r="B368" s="20">
        <v>85.0</v>
      </c>
      <c r="C368" s="36" t="s">
        <v>1168</v>
      </c>
      <c r="D368" s="13" t="s">
        <v>2404</v>
      </c>
      <c r="E368" s="13" t="s">
        <v>2405</v>
      </c>
      <c r="F368" s="13" t="s">
        <v>2406</v>
      </c>
      <c r="G368" s="13" t="s">
        <v>2407</v>
      </c>
      <c r="H368" s="13" t="s">
        <v>1201</v>
      </c>
      <c r="I368" s="14" t="s">
        <v>18</v>
      </c>
      <c r="J368" s="1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22.5" customHeight="1">
      <c r="A369" s="35">
        <v>367.0</v>
      </c>
      <c r="B369" s="20">
        <v>85.0</v>
      </c>
      <c r="C369" s="36" t="s">
        <v>1168</v>
      </c>
      <c r="D369" s="13" t="s">
        <v>2408</v>
      </c>
      <c r="E369" s="13" t="s">
        <v>2409</v>
      </c>
      <c r="F369" s="13" t="s">
        <v>2410</v>
      </c>
      <c r="G369" s="13" t="s">
        <v>2411</v>
      </c>
      <c r="H369" s="13" t="s">
        <v>2412</v>
      </c>
      <c r="I369" s="15"/>
      <c r="J369" s="1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22.5" customHeight="1">
      <c r="A370" s="35">
        <v>368.0</v>
      </c>
      <c r="B370" s="20">
        <v>85.0</v>
      </c>
      <c r="C370" s="36" t="s">
        <v>1168</v>
      </c>
      <c r="D370" s="13" t="s">
        <v>1214</v>
      </c>
      <c r="E370" s="13" t="s">
        <v>2413</v>
      </c>
      <c r="F370" s="13" t="s">
        <v>1215</v>
      </c>
      <c r="G370" s="13" t="s">
        <v>2414</v>
      </c>
      <c r="H370" s="13" t="s">
        <v>1217</v>
      </c>
      <c r="I370" s="14" t="s">
        <v>18</v>
      </c>
      <c r="J370" s="1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22.5" customHeight="1">
      <c r="A371" s="35">
        <v>369.0</v>
      </c>
      <c r="B371" s="20">
        <v>85.0</v>
      </c>
      <c r="C371" s="36" t="s">
        <v>1168</v>
      </c>
      <c r="D371" s="13" t="s">
        <v>1776</v>
      </c>
      <c r="E371" s="13" t="s">
        <v>1777</v>
      </c>
      <c r="F371" s="13" t="s">
        <v>1778</v>
      </c>
      <c r="G371" s="13" t="s">
        <v>1779</v>
      </c>
      <c r="H371" s="13" t="s">
        <v>1780</v>
      </c>
      <c r="I371" s="14" t="s">
        <v>18</v>
      </c>
      <c r="J371" s="1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22.5" hidden="1" customHeight="1">
      <c r="A372" s="35">
        <v>370.0</v>
      </c>
      <c r="B372" s="20">
        <v>85.0</v>
      </c>
      <c r="C372" s="36" t="s">
        <v>1163</v>
      </c>
      <c r="D372" s="13" t="s">
        <v>2295</v>
      </c>
      <c r="E372" s="13" t="s">
        <v>2415</v>
      </c>
      <c r="F372" s="13" t="s">
        <v>405</v>
      </c>
      <c r="G372" s="13" t="s">
        <v>406</v>
      </c>
      <c r="H372" s="21" t="s">
        <v>2297</v>
      </c>
      <c r="I372" s="15"/>
      <c r="J372" s="1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22.5" hidden="1" customHeight="1">
      <c r="A373" s="35">
        <v>371.0</v>
      </c>
      <c r="B373" s="20">
        <v>85.0</v>
      </c>
      <c r="C373" s="36" t="s">
        <v>1163</v>
      </c>
      <c r="D373" s="13" t="s">
        <v>2416</v>
      </c>
      <c r="E373" s="13" t="s">
        <v>2417</v>
      </c>
      <c r="F373" s="13" t="s">
        <v>2418</v>
      </c>
      <c r="G373" s="13" t="s">
        <v>2419</v>
      </c>
      <c r="H373" s="13" t="s">
        <v>2420</v>
      </c>
      <c r="I373" s="15"/>
      <c r="J373" s="1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22.5" customHeight="1">
      <c r="A374" s="35">
        <v>372.0</v>
      </c>
      <c r="B374" s="20">
        <v>85.0</v>
      </c>
      <c r="C374" s="36" t="s">
        <v>1218</v>
      </c>
      <c r="D374" s="13" t="s">
        <v>2421</v>
      </c>
      <c r="E374" s="13" t="s">
        <v>2422</v>
      </c>
      <c r="F374" s="13" t="s">
        <v>2423</v>
      </c>
      <c r="G374" s="13" t="s">
        <v>2424</v>
      </c>
      <c r="H374" s="13" t="s">
        <v>2425</v>
      </c>
      <c r="I374" s="14" t="s">
        <v>18</v>
      </c>
      <c r="J374" s="1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22.5" customHeight="1">
      <c r="A375" s="35">
        <v>373.0</v>
      </c>
      <c r="B375" s="20">
        <v>85.0</v>
      </c>
      <c r="C375" s="36" t="s">
        <v>1218</v>
      </c>
      <c r="D375" s="13" t="s">
        <v>1625</v>
      </c>
      <c r="E375" s="13" t="s">
        <v>2075</v>
      </c>
      <c r="F375" s="13" t="s">
        <v>1627</v>
      </c>
      <c r="G375" s="13" t="s">
        <v>1941</v>
      </c>
      <c r="H375" s="13" t="s">
        <v>1629</v>
      </c>
      <c r="I375" s="15"/>
      <c r="J375" s="1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22.5" customHeight="1">
      <c r="A376" s="35">
        <v>374.0</v>
      </c>
      <c r="B376" s="20">
        <v>85.0</v>
      </c>
      <c r="C376" s="36" t="s">
        <v>1168</v>
      </c>
      <c r="D376" s="13" t="s">
        <v>1532</v>
      </c>
      <c r="E376" s="13" t="s">
        <v>2426</v>
      </c>
      <c r="F376" s="13" t="s">
        <v>1534</v>
      </c>
      <c r="G376" s="13" t="s">
        <v>1535</v>
      </c>
      <c r="H376" s="13" t="s">
        <v>1536</v>
      </c>
      <c r="I376" s="15"/>
      <c r="J376" s="1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22.5" hidden="1" customHeight="1">
      <c r="A377" s="35">
        <v>375.0</v>
      </c>
      <c r="B377" s="20">
        <v>85.0</v>
      </c>
      <c r="C377" s="36" t="s">
        <v>1163</v>
      </c>
      <c r="D377" s="13" t="s">
        <v>1630</v>
      </c>
      <c r="E377" s="13" t="s">
        <v>2427</v>
      </c>
      <c r="F377" s="13" t="s">
        <v>1632</v>
      </c>
      <c r="G377" s="13" t="s">
        <v>1633</v>
      </c>
      <c r="H377" s="13" t="s">
        <v>1634</v>
      </c>
      <c r="I377" s="15"/>
      <c r="J377" s="1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22.5" customHeight="1">
      <c r="A378" s="35">
        <v>376.0</v>
      </c>
      <c r="B378" s="20">
        <v>84.0</v>
      </c>
      <c r="C378" s="36" t="s">
        <v>1168</v>
      </c>
      <c r="D378" s="13" t="s">
        <v>2428</v>
      </c>
      <c r="E378" s="13" t="s">
        <v>2429</v>
      </c>
      <c r="F378" s="13" t="s">
        <v>2430</v>
      </c>
      <c r="G378" s="13" t="s">
        <v>2431</v>
      </c>
      <c r="H378" s="13" t="s">
        <v>2432</v>
      </c>
      <c r="I378" s="14" t="s">
        <v>18</v>
      </c>
      <c r="J378" s="1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22.5" customHeight="1">
      <c r="A379" s="35">
        <v>377.0</v>
      </c>
      <c r="B379" s="20">
        <v>84.0</v>
      </c>
      <c r="C379" s="36" t="s">
        <v>1168</v>
      </c>
      <c r="D379" s="13" t="s">
        <v>2433</v>
      </c>
      <c r="E379" s="13" t="s">
        <v>2434</v>
      </c>
      <c r="F379" s="13" t="s">
        <v>2435</v>
      </c>
      <c r="G379" s="13" t="s">
        <v>2436</v>
      </c>
      <c r="H379" s="13" t="s">
        <v>2437</v>
      </c>
      <c r="I379" s="15"/>
      <c r="J379" s="1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22.5" customHeight="1">
      <c r="A380" s="35">
        <v>378.0</v>
      </c>
      <c r="B380" s="20">
        <v>84.0</v>
      </c>
      <c r="C380" s="36" t="s">
        <v>1218</v>
      </c>
      <c r="D380" s="13" t="s">
        <v>1847</v>
      </c>
      <c r="E380" s="13" t="s">
        <v>2438</v>
      </c>
      <c r="F380" s="13" t="s">
        <v>2439</v>
      </c>
      <c r="G380" s="13" t="s">
        <v>2440</v>
      </c>
      <c r="H380" s="13" t="s">
        <v>2441</v>
      </c>
      <c r="I380" s="15"/>
      <c r="J380" s="1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22.5" customHeight="1">
      <c r="A381" s="35">
        <v>379.0</v>
      </c>
      <c r="B381" s="20">
        <v>84.0</v>
      </c>
      <c r="C381" s="36" t="s">
        <v>1218</v>
      </c>
      <c r="D381" s="13" t="s">
        <v>2442</v>
      </c>
      <c r="E381" s="13" t="s">
        <v>2443</v>
      </c>
      <c r="F381" s="13" t="s">
        <v>2444</v>
      </c>
      <c r="G381" s="13" t="s">
        <v>2445</v>
      </c>
      <c r="H381" s="13" t="s">
        <v>2446</v>
      </c>
      <c r="I381" s="14" t="s">
        <v>18</v>
      </c>
      <c r="J381" s="14" t="s">
        <v>18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22.5" customHeight="1">
      <c r="A382" s="35">
        <v>380.0</v>
      </c>
      <c r="B382" s="20">
        <v>84.0</v>
      </c>
      <c r="C382" s="36" t="s">
        <v>1168</v>
      </c>
      <c r="D382" s="13" t="s">
        <v>2317</v>
      </c>
      <c r="E382" s="13" t="s">
        <v>2318</v>
      </c>
      <c r="F382" s="13" t="s">
        <v>2319</v>
      </c>
      <c r="G382" s="13" t="s">
        <v>2320</v>
      </c>
      <c r="H382" s="21" t="s">
        <v>2321</v>
      </c>
      <c r="I382" s="14" t="s">
        <v>18</v>
      </c>
      <c r="J382" s="1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22.5" customHeight="1">
      <c r="A383" s="35">
        <v>381.0</v>
      </c>
      <c r="B383" s="20">
        <v>84.0</v>
      </c>
      <c r="C383" s="36" t="s">
        <v>1168</v>
      </c>
      <c r="D383" s="13" t="s">
        <v>2447</v>
      </c>
      <c r="E383" s="13" t="s">
        <v>2448</v>
      </c>
      <c r="F383" s="13" t="s">
        <v>2449</v>
      </c>
      <c r="G383" s="13" t="s">
        <v>2450</v>
      </c>
      <c r="H383" s="13" t="s">
        <v>2451</v>
      </c>
      <c r="I383" s="15"/>
      <c r="J383" s="1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22.5" customHeight="1">
      <c r="A384" s="35">
        <v>382.0</v>
      </c>
      <c r="B384" s="20">
        <v>84.0</v>
      </c>
      <c r="C384" s="36" t="s">
        <v>1168</v>
      </c>
      <c r="D384" s="13" t="s">
        <v>2452</v>
      </c>
      <c r="E384" s="13" t="s">
        <v>2453</v>
      </c>
      <c r="F384" s="13" t="s">
        <v>2454</v>
      </c>
      <c r="G384" s="13" t="s">
        <v>2455</v>
      </c>
      <c r="H384" s="13" t="s">
        <v>2456</v>
      </c>
      <c r="I384" s="14" t="s">
        <v>18</v>
      </c>
      <c r="J384" s="1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22.5" customHeight="1">
      <c r="A385" s="35">
        <v>383.0</v>
      </c>
      <c r="B385" s="20">
        <v>84.0</v>
      </c>
      <c r="C385" s="36" t="s">
        <v>1218</v>
      </c>
      <c r="D385" s="13" t="s">
        <v>2457</v>
      </c>
      <c r="E385" s="13" t="s">
        <v>2458</v>
      </c>
      <c r="F385" s="13" t="s">
        <v>2459</v>
      </c>
      <c r="G385" s="13" t="s">
        <v>2460</v>
      </c>
      <c r="H385" s="13" t="s">
        <v>2461</v>
      </c>
      <c r="I385" s="14" t="s">
        <v>18</v>
      </c>
      <c r="J385" s="1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22.5" hidden="1" customHeight="1">
      <c r="A386" s="35">
        <v>384.0</v>
      </c>
      <c r="B386" s="20">
        <v>84.0</v>
      </c>
      <c r="C386" s="36" t="s">
        <v>1163</v>
      </c>
      <c r="D386" s="13" t="s">
        <v>1560</v>
      </c>
      <c r="E386" s="13" t="s">
        <v>2462</v>
      </c>
      <c r="F386" s="13" t="s">
        <v>1562</v>
      </c>
      <c r="G386" s="13" t="s">
        <v>1563</v>
      </c>
      <c r="H386" s="13" t="s">
        <v>1564</v>
      </c>
      <c r="I386" s="14" t="s">
        <v>18</v>
      </c>
      <c r="J386" s="1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22.5" hidden="1" customHeight="1">
      <c r="A387" s="35">
        <v>385.0</v>
      </c>
      <c r="B387" s="20">
        <v>84.0</v>
      </c>
      <c r="C387" s="36" t="s">
        <v>1163</v>
      </c>
      <c r="D387" s="13" t="s">
        <v>2463</v>
      </c>
      <c r="E387" s="13" t="s">
        <v>2464</v>
      </c>
      <c r="F387" s="13" t="s">
        <v>2465</v>
      </c>
      <c r="G387" s="13" t="s">
        <v>2466</v>
      </c>
      <c r="H387" s="13" t="s">
        <v>2467</v>
      </c>
      <c r="I387" s="15"/>
      <c r="J387" s="1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22.5" customHeight="1">
      <c r="A388" s="35">
        <v>386.0</v>
      </c>
      <c r="B388" s="20">
        <v>84.0</v>
      </c>
      <c r="C388" s="36" t="s">
        <v>1168</v>
      </c>
      <c r="D388" s="13" t="s">
        <v>1776</v>
      </c>
      <c r="E388" s="13" t="s">
        <v>1777</v>
      </c>
      <c r="F388" s="13" t="s">
        <v>1778</v>
      </c>
      <c r="G388" s="13" t="s">
        <v>1779</v>
      </c>
      <c r="H388" s="13" t="s">
        <v>1780</v>
      </c>
      <c r="I388" s="15"/>
      <c r="J388" s="1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22.5" hidden="1" customHeight="1">
      <c r="A389" s="35">
        <v>387.0</v>
      </c>
      <c r="B389" s="20">
        <v>84.0</v>
      </c>
      <c r="C389" s="36" t="s">
        <v>1163</v>
      </c>
      <c r="D389" s="13" t="s">
        <v>2468</v>
      </c>
      <c r="E389" s="13" t="s">
        <v>2469</v>
      </c>
      <c r="F389" s="13" t="s">
        <v>2470</v>
      </c>
      <c r="G389" s="13" t="s">
        <v>2471</v>
      </c>
      <c r="H389" s="13" t="s">
        <v>2472</v>
      </c>
      <c r="I389" s="14" t="s">
        <v>18</v>
      </c>
      <c r="J389" s="1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22.5" hidden="1" customHeight="1">
      <c r="A390" s="35">
        <v>388.0</v>
      </c>
      <c r="B390" s="20">
        <v>84.0</v>
      </c>
      <c r="C390" s="36" t="s">
        <v>1163</v>
      </c>
      <c r="D390" s="13" t="s">
        <v>2473</v>
      </c>
      <c r="E390" s="13" t="s">
        <v>2034</v>
      </c>
      <c r="F390" s="13" t="s">
        <v>211</v>
      </c>
      <c r="G390" s="13" t="s">
        <v>212</v>
      </c>
      <c r="H390" s="13" t="s">
        <v>2037</v>
      </c>
      <c r="I390" s="15"/>
      <c r="J390" s="1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22.5" hidden="1" customHeight="1">
      <c r="A391" s="35">
        <v>389.0</v>
      </c>
      <c r="B391" s="20">
        <v>84.0</v>
      </c>
      <c r="C391" s="36" t="s">
        <v>1163</v>
      </c>
      <c r="D391" s="13" t="s">
        <v>2474</v>
      </c>
      <c r="E391" s="13" t="s">
        <v>2475</v>
      </c>
      <c r="F391" s="13" t="s">
        <v>2476</v>
      </c>
      <c r="G391" s="13" t="s">
        <v>2477</v>
      </c>
      <c r="H391" s="13" t="s">
        <v>2478</v>
      </c>
      <c r="I391" s="14" t="s">
        <v>18</v>
      </c>
      <c r="J391" s="1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22.5" customHeight="1">
      <c r="A392" s="35">
        <v>390.0</v>
      </c>
      <c r="B392" s="20">
        <v>84.0</v>
      </c>
      <c r="C392" s="36" t="s">
        <v>1168</v>
      </c>
      <c r="D392" s="13" t="s">
        <v>2479</v>
      </c>
      <c r="E392" s="13" t="s">
        <v>2480</v>
      </c>
      <c r="F392" s="13" t="s">
        <v>1658</v>
      </c>
      <c r="G392" s="13" t="s">
        <v>1659</v>
      </c>
      <c r="H392" s="21" t="s">
        <v>2481</v>
      </c>
      <c r="I392" s="14" t="s">
        <v>18</v>
      </c>
      <c r="J392" s="1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22.5" hidden="1" customHeight="1">
      <c r="A393" s="35">
        <v>391.0</v>
      </c>
      <c r="B393" s="20">
        <v>83.0</v>
      </c>
      <c r="C393" s="36" t="s">
        <v>1163</v>
      </c>
      <c r="D393" s="13" t="s">
        <v>2482</v>
      </c>
      <c r="E393" s="13" t="s">
        <v>2483</v>
      </c>
      <c r="F393" s="13" t="s">
        <v>2484</v>
      </c>
      <c r="G393" s="13" t="s">
        <v>2485</v>
      </c>
      <c r="H393" s="13" t="s">
        <v>2486</v>
      </c>
      <c r="I393" s="15"/>
      <c r="J393" s="1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22.5" hidden="1" customHeight="1">
      <c r="A394" s="35">
        <v>392.0</v>
      </c>
      <c r="B394" s="20">
        <v>83.0</v>
      </c>
      <c r="C394" s="36" t="s">
        <v>1163</v>
      </c>
      <c r="D394" s="13" t="s">
        <v>2487</v>
      </c>
      <c r="E394" s="13" t="s">
        <v>2488</v>
      </c>
      <c r="F394" s="13" t="s">
        <v>1786</v>
      </c>
      <c r="G394" s="13" t="s">
        <v>1787</v>
      </c>
      <c r="H394" s="13" t="s">
        <v>2489</v>
      </c>
      <c r="I394" s="15"/>
      <c r="J394" s="1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22.5" customHeight="1">
      <c r="A395" s="35">
        <v>393.0</v>
      </c>
      <c r="B395" s="20">
        <v>83.0</v>
      </c>
      <c r="C395" s="36" t="s">
        <v>1168</v>
      </c>
      <c r="D395" s="13" t="s">
        <v>1903</v>
      </c>
      <c r="E395" s="13" t="s">
        <v>2490</v>
      </c>
      <c r="F395" s="13" t="s">
        <v>1905</v>
      </c>
      <c r="G395" s="13" t="s">
        <v>1906</v>
      </c>
      <c r="H395" s="13" t="s">
        <v>1907</v>
      </c>
      <c r="I395" s="14" t="s">
        <v>18</v>
      </c>
      <c r="J395" s="1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22.5" customHeight="1">
      <c r="A396" s="35">
        <v>394.0</v>
      </c>
      <c r="B396" s="20">
        <v>83.0</v>
      </c>
      <c r="C396" s="36" t="s">
        <v>1218</v>
      </c>
      <c r="D396" s="13" t="s">
        <v>1998</v>
      </c>
      <c r="E396" s="13" t="s">
        <v>2259</v>
      </c>
      <c r="F396" s="13" t="s">
        <v>2000</v>
      </c>
      <c r="G396" s="13" t="s">
        <v>2001</v>
      </c>
      <c r="H396" s="13" t="s">
        <v>2002</v>
      </c>
      <c r="I396" s="15"/>
      <c r="J396" s="1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22.5" customHeight="1">
      <c r="A397" s="35">
        <v>395.0</v>
      </c>
      <c r="B397" s="20">
        <v>83.0</v>
      </c>
      <c r="C397" s="36" t="s">
        <v>1218</v>
      </c>
      <c r="D397" s="13" t="s">
        <v>2169</v>
      </c>
      <c r="E397" s="13" t="s">
        <v>2491</v>
      </c>
      <c r="F397" s="13" t="s">
        <v>2171</v>
      </c>
      <c r="G397" s="13" t="s">
        <v>2492</v>
      </c>
      <c r="H397" s="13" t="s">
        <v>2173</v>
      </c>
      <c r="I397" s="15"/>
      <c r="J397" s="1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22.5" hidden="1" customHeight="1">
      <c r="A398" s="35">
        <v>396.0</v>
      </c>
      <c r="B398" s="20">
        <v>83.0</v>
      </c>
      <c r="C398" s="36" t="s">
        <v>1163</v>
      </c>
      <c r="D398" s="13" t="s">
        <v>2493</v>
      </c>
      <c r="E398" s="13" t="s">
        <v>2494</v>
      </c>
      <c r="F398" s="13" t="s">
        <v>2067</v>
      </c>
      <c r="G398" s="13" t="s">
        <v>2068</v>
      </c>
      <c r="H398" s="13" t="s">
        <v>2495</v>
      </c>
      <c r="I398" s="15"/>
      <c r="J398" s="1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22.5" customHeight="1">
      <c r="A399" s="35">
        <v>397.0</v>
      </c>
      <c r="B399" s="20">
        <v>83.0</v>
      </c>
      <c r="C399" s="36" t="s">
        <v>1168</v>
      </c>
      <c r="D399" s="13" t="s">
        <v>1379</v>
      </c>
      <c r="E399" s="13" t="s">
        <v>2496</v>
      </c>
      <c r="F399" s="13" t="s">
        <v>1381</v>
      </c>
      <c r="G399" s="13" t="s">
        <v>1382</v>
      </c>
      <c r="H399" s="13" t="s">
        <v>1383</v>
      </c>
      <c r="I399" s="15"/>
      <c r="J399" s="1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22.5" hidden="1" customHeight="1">
      <c r="A400" s="35">
        <v>398.0</v>
      </c>
      <c r="B400" s="20">
        <v>83.0</v>
      </c>
      <c r="C400" s="36" t="s">
        <v>1163</v>
      </c>
      <c r="D400" s="13" t="s">
        <v>1547</v>
      </c>
      <c r="E400" s="13" t="s">
        <v>2497</v>
      </c>
      <c r="F400" s="13" t="s">
        <v>1549</v>
      </c>
      <c r="G400" s="13" t="s">
        <v>1550</v>
      </c>
      <c r="H400" s="13" t="s">
        <v>1551</v>
      </c>
      <c r="I400" s="15"/>
      <c r="J400" s="1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22.5" customHeight="1">
      <c r="A401" s="35">
        <v>399.0</v>
      </c>
      <c r="B401" s="20">
        <v>83.0</v>
      </c>
      <c r="C401" s="36" t="s">
        <v>1168</v>
      </c>
      <c r="D401" s="13" t="s">
        <v>1728</v>
      </c>
      <c r="E401" s="13" t="s">
        <v>2498</v>
      </c>
      <c r="F401" s="13" t="s">
        <v>1730</v>
      </c>
      <c r="G401" s="13" t="s">
        <v>2499</v>
      </c>
      <c r="H401" s="13" t="s">
        <v>1732</v>
      </c>
      <c r="I401" s="14" t="s">
        <v>18</v>
      </c>
      <c r="J401" s="1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22.5" hidden="1" customHeight="1">
      <c r="A402" s="35">
        <v>400.0</v>
      </c>
      <c r="B402" s="20">
        <v>83.0</v>
      </c>
      <c r="C402" s="36" t="s">
        <v>1163</v>
      </c>
      <c r="D402" s="13" t="s">
        <v>1969</v>
      </c>
      <c r="E402" s="13" t="s">
        <v>2500</v>
      </c>
      <c r="F402" s="13" t="s">
        <v>1971</v>
      </c>
      <c r="G402" s="13" t="s">
        <v>1972</v>
      </c>
      <c r="H402" s="13" t="s">
        <v>1973</v>
      </c>
      <c r="I402" s="15"/>
      <c r="J402" s="1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22.5" customHeight="1">
      <c r="A403" s="35">
        <v>401.0</v>
      </c>
      <c r="B403" s="20">
        <v>83.0</v>
      </c>
      <c r="C403" s="36" t="s">
        <v>1168</v>
      </c>
      <c r="D403" s="13" t="s">
        <v>1524</v>
      </c>
      <c r="E403" s="13" t="s">
        <v>2064</v>
      </c>
      <c r="F403" s="13" t="s">
        <v>1526</v>
      </c>
      <c r="G403" s="13" t="s">
        <v>1527</v>
      </c>
      <c r="H403" s="13" t="s">
        <v>1528</v>
      </c>
      <c r="I403" s="15"/>
      <c r="J403" s="1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22.5" customHeight="1">
      <c r="A404" s="35">
        <v>402.0</v>
      </c>
      <c r="B404" s="20">
        <v>83.0</v>
      </c>
      <c r="C404" s="36" t="s">
        <v>1168</v>
      </c>
      <c r="D404" s="13" t="s">
        <v>1210</v>
      </c>
      <c r="E404" s="13" t="s">
        <v>1211</v>
      </c>
      <c r="F404" s="13" t="s">
        <v>89</v>
      </c>
      <c r="G404" s="13" t="s">
        <v>90</v>
      </c>
      <c r="H404" s="13" t="s">
        <v>1213</v>
      </c>
      <c r="I404" s="15"/>
      <c r="J404" s="1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22.5" customHeight="1">
      <c r="A405" s="35">
        <v>403.0</v>
      </c>
      <c r="B405" s="20">
        <v>83.0</v>
      </c>
      <c r="C405" s="36" t="s">
        <v>1168</v>
      </c>
      <c r="D405" s="13" t="s">
        <v>1826</v>
      </c>
      <c r="E405" s="13" t="s">
        <v>1777</v>
      </c>
      <c r="F405" s="13" t="s">
        <v>1827</v>
      </c>
      <c r="G405" s="13" t="s">
        <v>1828</v>
      </c>
      <c r="H405" s="13" t="s">
        <v>1780</v>
      </c>
      <c r="I405" s="15"/>
      <c r="J405" s="1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22.5" customHeight="1">
      <c r="A406" s="35">
        <v>404.0</v>
      </c>
      <c r="B406" s="20">
        <v>83.0</v>
      </c>
      <c r="C406" s="36" t="s">
        <v>1168</v>
      </c>
      <c r="D406" s="13" t="s">
        <v>1476</v>
      </c>
      <c r="E406" s="13" t="s">
        <v>1280</v>
      </c>
      <c r="F406" s="13" t="s">
        <v>435</v>
      </c>
      <c r="G406" s="13" t="s">
        <v>436</v>
      </c>
      <c r="H406" s="13" t="s">
        <v>1283</v>
      </c>
      <c r="I406" s="15"/>
      <c r="J406" s="1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22.5" customHeight="1">
      <c r="A407" s="35">
        <v>405.0</v>
      </c>
      <c r="B407" s="20">
        <v>83.0</v>
      </c>
      <c r="C407" s="36" t="s">
        <v>1218</v>
      </c>
      <c r="D407" s="13" t="s">
        <v>2501</v>
      </c>
      <c r="E407" s="13" t="s">
        <v>2502</v>
      </c>
      <c r="F407" s="13" t="s">
        <v>1491</v>
      </c>
      <c r="G407" s="13" t="s">
        <v>2503</v>
      </c>
      <c r="H407" s="13" t="s">
        <v>1493</v>
      </c>
      <c r="I407" s="14" t="s">
        <v>18</v>
      </c>
      <c r="J407" s="1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22.5" customHeight="1">
      <c r="A408" s="35">
        <v>406.0</v>
      </c>
      <c r="B408" s="20">
        <v>82.0</v>
      </c>
      <c r="C408" s="36" t="s">
        <v>1168</v>
      </c>
      <c r="D408" s="13" t="s">
        <v>2504</v>
      </c>
      <c r="E408" s="13" t="s">
        <v>2505</v>
      </c>
      <c r="F408" s="13" t="s">
        <v>2506</v>
      </c>
      <c r="G408" s="13" t="s">
        <v>2507</v>
      </c>
      <c r="H408" s="13" t="s">
        <v>2508</v>
      </c>
      <c r="I408" s="14" t="s">
        <v>18</v>
      </c>
      <c r="J408" s="1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22.5" customHeight="1">
      <c r="A409" s="35">
        <v>407.0</v>
      </c>
      <c r="B409" s="20">
        <v>82.0</v>
      </c>
      <c r="C409" s="36" t="s">
        <v>1168</v>
      </c>
      <c r="D409" s="13" t="s">
        <v>1903</v>
      </c>
      <c r="E409" s="13" t="s">
        <v>2509</v>
      </c>
      <c r="F409" s="13" t="s">
        <v>1905</v>
      </c>
      <c r="G409" s="13" t="s">
        <v>1906</v>
      </c>
      <c r="H409" s="13" t="s">
        <v>1907</v>
      </c>
      <c r="I409" s="15"/>
      <c r="J409" s="1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22.5" customHeight="1">
      <c r="A410" s="35">
        <v>408.0</v>
      </c>
      <c r="B410" s="20">
        <v>82.0</v>
      </c>
      <c r="C410" s="36" t="s">
        <v>1218</v>
      </c>
      <c r="D410" s="13" t="s">
        <v>1998</v>
      </c>
      <c r="E410" s="13" t="s">
        <v>2510</v>
      </c>
      <c r="F410" s="13" t="s">
        <v>2000</v>
      </c>
      <c r="G410" s="13" t="s">
        <v>2001</v>
      </c>
      <c r="H410" s="13" t="s">
        <v>2002</v>
      </c>
      <c r="I410" s="15"/>
      <c r="J410" s="1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22.5" customHeight="1">
      <c r="A411" s="35">
        <v>409.0</v>
      </c>
      <c r="B411" s="20">
        <v>82.0</v>
      </c>
      <c r="C411" s="36" t="s">
        <v>1218</v>
      </c>
      <c r="D411" s="13" t="s">
        <v>2169</v>
      </c>
      <c r="E411" s="13" t="s">
        <v>2491</v>
      </c>
      <c r="F411" s="13" t="s">
        <v>2171</v>
      </c>
      <c r="G411" s="13" t="s">
        <v>2492</v>
      </c>
      <c r="H411" s="13" t="s">
        <v>2173</v>
      </c>
      <c r="I411" s="15"/>
      <c r="J411" s="1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22.5" hidden="1" customHeight="1">
      <c r="A412" s="35">
        <v>410.0</v>
      </c>
      <c r="B412" s="20">
        <v>82.0</v>
      </c>
      <c r="C412" s="36" t="s">
        <v>1163</v>
      </c>
      <c r="D412" s="13" t="s">
        <v>1444</v>
      </c>
      <c r="E412" s="13" t="s">
        <v>2511</v>
      </c>
      <c r="F412" s="13" t="s">
        <v>2512</v>
      </c>
      <c r="G412" s="13" t="s">
        <v>2513</v>
      </c>
      <c r="H412" s="13" t="s">
        <v>2514</v>
      </c>
      <c r="I412" s="14" t="s">
        <v>18</v>
      </c>
      <c r="J412" s="1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22.5" customHeight="1">
      <c r="A413" s="35">
        <v>411.0</v>
      </c>
      <c r="B413" s="20">
        <v>82.0</v>
      </c>
      <c r="C413" s="36" t="s">
        <v>1168</v>
      </c>
      <c r="D413" s="13" t="s">
        <v>1242</v>
      </c>
      <c r="E413" s="13" t="s">
        <v>1913</v>
      </c>
      <c r="F413" s="13" t="s">
        <v>1244</v>
      </c>
      <c r="G413" s="13" t="s">
        <v>1914</v>
      </c>
      <c r="H413" s="13" t="s">
        <v>1246</v>
      </c>
      <c r="I413" s="15"/>
      <c r="J413" s="1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22.5" customHeight="1">
      <c r="A414" s="35">
        <v>412.0</v>
      </c>
      <c r="B414" s="20">
        <v>82.0</v>
      </c>
      <c r="C414" s="36" t="s">
        <v>1168</v>
      </c>
      <c r="D414" s="13" t="s">
        <v>1379</v>
      </c>
      <c r="E414" s="13" t="s">
        <v>2515</v>
      </c>
      <c r="F414" s="13" t="s">
        <v>1381</v>
      </c>
      <c r="G414" s="13" t="s">
        <v>1382</v>
      </c>
      <c r="H414" s="13" t="s">
        <v>1383</v>
      </c>
      <c r="I414" s="14" t="s">
        <v>18</v>
      </c>
      <c r="J414" s="14" t="s">
        <v>18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22.5" hidden="1" customHeight="1">
      <c r="A415" s="35">
        <v>413.0</v>
      </c>
      <c r="B415" s="20">
        <v>82.0</v>
      </c>
      <c r="C415" s="36" t="s">
        <v>1163</v>
      </c>
      <c r="D415" s="13" t="s">
        <v>2516</v>
      </c>
      <c r="E415" s="13" t="s">
        <v>2517</v>
      </c>
      <c r="F415" s="13" t="s">
        <v>630</v>
      </c>
      <c r="G415" s="13" t="s">
        <v>631</v>
      </c>
      <c r="H415" s="13" t="s">
        <v>2518</v>
      </c>
      <c r="I415" s="15"/>
      <c r="J415" s="1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22.5" customHeight="1">
      <c r="A416" s="35">
        <v>414.0</v>
      </c>
      <c r="B416" s="20">
        <v>82.0</v>
      </c>
      <c r="C416" s="36" t="s">
        <v>1168</v>
      </c>
      <c r="D416" s="13" t="s">
        <v>1524</v>
      </c>
      <c r="E416" s="13" t="s">
        <v>2064</v>
      </c>
      <c r="F416" s="13" t="s">
        <v>1526</v>
      </c>
      <c r="G416" s="13" t="s">
        <v>1527</v>
      </c>
      <c r="H416" s="13" t="s">
        <v>1528</v>
      </c>
      <c r="I416" s="15"/>
      <c r="J416" s="1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22.5" hidden="1" customHeight="1">
      <c r="A417" s="35">
        <v>415.0</v>
      </c>
      <c r="B417" s="20">
        <v>82.0</v>
      </c>
      <c r="C417" s="36" t="s">
        <v>1163</v>
      </c>
      <c r="D417" s="13" t="s">
        <v>2519</v>
      </c>
      <c r="E417" s="13" t="s">
        <v>2520</v>
      </c>
      <c r="F417" s="13" t="s">
        <v>2521</v>
      </c>
      <c r="G417" s="13" t="s">
        <v>2522</v>
      </c>
      <c r="H417" s="13" t="s">
        <v>2523</v>
      </c>
      <c r="I417" s="15"/>
      <c r="J417" s="1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22.5" customHeight="1">
      <c r="A418" s="35">
        <v>416.0</v>
      </c>
      <c r="B418" s="20">
        <v>82.0</v>
      </c>
      <c r="C418" s="36" t="s">
        <v>1168</v>
      </c>
      <c r="D418" s="13" t="s">
        <v>1210</v>
      </c>
      <c r="E418" s="13" t="s">
        <v>1211</v>
      </c>
      <c r="F418" s="13" t="s">
        <v>89</v>
      </c>
      <c r="G418" s="13" t="s">
        <v>90</v>
      </c>
      <c r="H418" s="13" t="s">
        <v>1213</v>
      </c>
      <c r="I418" s="15"/>
      <c r="J418" s="1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22.5" hidden="1" customHeight="1">
      <c r="A419" s="35">
        <v>417.0</v>
      </c>
      <c r="B419" s="20">
        <v>82.0</v>
      </c>
      <c r="C419" s="36" t="s">
        <v>1163</v>
      </c>
      <c r="D419" s="13" t="s">
        <v>2524</v>
      </c>
      <c r="E419" s="13" t="s">
        <v>2525</v>
      </c>
      <c r="F419" s="13" t="s">
        <v>2526</v>
      </c>
      <c r="G419" s="13" t="s">
        <v>2527</v>
      </c>
      <c r="H419" s="13" t="s">
        <v>2528</v>
      </c>
      <c r="I419" s="14" t="s">
        <v>18</v>
      </c>
      <c r="J419" s="1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22.5" customHeight="1">
      <c r="A420" s="35">
        <v>418.0</v>
      </c>
      <c r="B420" s="20">
        <v>82.0</v>
      </c>
      <c r="C420" s="36" t="s">
        <v>1168</v>
      </c>
      <c r="D420" s="13" t="s">
        <v>1826</v>
      </c>
      <c r="E420" s="13" t="s">
        <v>1777</v>
      </c>
      <c r="F420" s="13" t="s">
        <v>1827</v>
      </c>
      <c r="G420" s="13" t="s">
        <v>1828</v>
      </c>
      <c r="H420" s="13" t="s">
        <v>1780</v>
      </c>
      <c r="I420" s="15"/>
      <c r="J420" s="1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22.5" customHeight="1">
      <c r="A421" s="35">
        <v>419.0</v>
      </c>
      <c r="B421" s="20">
        <v>82.0</v>
      </c>
      <c r="C421" s="36" t="s">
        <v>1168</v>
      </c>
      <c r="D421" s="13" t="s">
        <v>1476</v>
      </c>
      <c r="E421" s="13" t="s">
        <v>1280</v>
      </c>
      <c r="F421" s="13" t="s">
        <v>435</v>
      </c>
      <c r="G421" s="13" t="s">
        <v>436</v>
      </c>
      <c r="H421" s="13" t="s">
        <v>1283</v>
      </c>
      <c r="I421" s="14" t="s">
        <v>18</v>
      </c>
      <c r="J421" s="14" t="s">
        <v>18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22.5" hidden="1" customHeight="1">
      <c r="A422" s="35">
        <v>420.0</v>
      </c>
      <c r="B422" s="20">
        <v>82.0</v>
      </c>
      <c r="C422" s="36" t="s">
        <v>1163</v>
      </c>
      <c r="D422" s="13" t="s">
        <v>2529</v>
      </c>
      <c r="E422" s="13" t="s">
        <v>2530</v>
      </c>
      <c r="F422" s="13" t="s">
        <v>2531</v>
      </c>
      <c r="G422" s="13" t="s">
        <v>2532</v>
      </c>
      <c r="H422" s="13" t="s">
        <v>2533</v>
      </c>
      <c r="I422" s="15"/>
      <c r="J422" s="1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22.5" customHeight="1">
      <c r="A423" s="35">
        <v>421.0</v>
      </c>
      <c r="B423" s="20">
        <v>81.0</v>
      </c>
      <c r="C423" s="36" t="s">
        <v>1218</v>
      </c>
      <c r="D423" s="13" t="s">
        <v>2534</v>
      </c>
      <c r="E423" s="13" t="s">
        <v>2535</v>
      </c>
      <c r="F423" s="13" t="s">
        <v>2536</v>
      </c>
      <c r="G423" s="13" t="s">
        <v>2537</v>
      </c>
      <c r="H423" s="13" t="s">
        <v>2538</v>
      </c>
      <c r="I423" s="14" t="s">
        <v>18</v>
      </c>
      <c r="J423" s="1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22.5" customHeight="1">
      <c r="A424" s="35">
        <v>422.0</v>
      </c>
      <c r="B424" s="20">
        <v>81.0</v>
      </c>
      <c r="C424" s="36" t="s">
        <v>1168</v>
      </c>
      <c r="D424" s="13" t="s">
        <v>1947</v>
      </c>
      <c r="E424" s="13" t="s">
        <v>2539</v>
      </c>
      <c r="F424" s="13" t="s">
        <v>1949</v>
      </c>
      <c r="G424" s="13" t="s">
        <v>1950</v>
      </c>
      <c r="H424" s="13" t="s">
        <v>1951</v>
      </c>
      <c r="I424" s="14" t="s">
        <v>18</v>
      </c>
      <c r="J424" s="1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22.5" customHeight="1">
      <c r="A425" s="35">
        <v>423.0</v>
      </c>
      <c r="B425" s="20">
        <v>81.0</v>
      </c>
      <c r="C425" s="36" t="s">
        <v>1218</v>
      </c>
      <c r="D425" s="13" t="s">
        <v>2540</v>
      </c>
      <c r="E425" s="13" t="s">
        <v>2541</v>
      </c>
      <c r="F425" s="13" t="s">
        <v>1682</v>
      </c>
      <c r="G425" s="13" t="s">
        <v>2542</v>
      </c>
      <c r="H425" s="13" t="s">
        <v>2543</v>
      </c>
      <c r="I425" s="15"/>
      <c r="J425" s="1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22.5" customHeight="1">
      <c r="A426" s="35">
        <v>424.0</v>
      </c>
      <c r="B426" s="20">
        <v>81.0</v>
      </c>
      <c r="C426" s="36" t="s">
        <v>1168</v>
      </c>
      <c r="D426" s="13" t="s">
        <v>1242</v>
      </c>
      <c r="E426" s="13" t="s">
        <v>2544</v>
      </c>
      <c r="F426" s="13" t="s">
        <v>1244</v>
      </c>
      <c r="G426" s="13" t="s">
        <v>1914</v>
      </c>
      <c r="H426" s="13" t="s">
        <v>1246</v>
      </c>
      <c r="I426" s="14" t="s">
        <v>18</v>
      </c>
      <c r="J426" s="14" t="s">
        <v>18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22.5" hidden="1" customHeight="1">
      <c r="A427" s="35">
        <v>425.0</v>
      </c>
      <c r="B427" s="20">
        <v>81.0</v>
      </c>
      <c r="C427" s="36" t="s">
        <v>1163</v>
      </c>
      <c r="D427" s="13" t="s">
        <v>2275</v>
      </c>
      <c r="E427" s="13" t="s">
        <v>2545</v>
      </c>
      <c r="F427" s="13" t="s">
        <v>2277</v>
      </c>
      <c r="G427" s="13" t="s">
        <v>2278</v>
      </c>
      <c r="H427" s="13" t="s">
        <v>2279</v>
      </c>
      <c r="I427" s="15"/>
      <c r="J427" s="1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22.5" hidden="1" customHeight="1">
      <c r="A428" s="35">
        <v>426.0</v>
      </c>
      <c r="B428" s="20">
        <v>81.0</v>
      </c>
      <c r="C428" s="36" t="s">
        <v>1163</v>
      </c>
      <c r="D428" s="13" t="s">
        <v>1956</v>
      </c>
      <c r="E428" s="13" t="s">
        <v>2546</v>
      </c>
      <c r="F428" s="13" t="s">
        <v>1958</v>
      </c>
      <c r="G428" s="13" t="s">
        <v>1959</v>
      </c>
      <c r="H428" s="13" t="s">
        <v>1960</v>
      </c>
      <c r="I428" s="14" t="s">
        <v>18</v>
      </c>
      <c r="J428" s="1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22.5" customHeight="1">
      <c r="A429" s="35">
        <v>427.0</v>
      </c>
      <c r="B429" s="20">
        <v>81.0</v>
      </c>
      <c r="C429" s="36" t="s">
        <v>1168</v>
      </c>
      <c r="D429" s="13" t="s">
        <v>1379</v>
      </c>
      <c r="E429" s="13" t="s">
        <v>2496</v>
      </c>
      <c r="F429" s="13" t="s">
        <v>1381</v>
      </c>
      <c r="G429" s="13" t="s">
        <v>1382</v>
      </c>
      <c r="H429" s="13" t="s">
        <v>1383</v>
      </c>
      <c r="I429" s="15"/>
      <c r="J429" s="1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22.5" customHeight="1">
      <c r="A430" s="35">
        <v>428.0</v>
      </c>
      <c r="B430" s="20">
        <v>81.0</v>
      </c>
      <c r="C430" s="36" t="s">
        <v>1168</v>
      </c>
      <c r="D430" s="13" t="s">
        <v>1974</v>
      </c>
      <c r="E430" s="13" t="s">
        <v>1670</v>
      </c>
      <c r="F430" s="13" t="s">
        <v>1207</v>
      </c>
      <c r="G430" s="13" t="s">
        <v>1208</v>
      </c>
      <c r="H430" s="13" t="s">
        <v>1672</v>
      </c>
      <c r="I430" s="15"/>
      <c r="J430" s="1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22.5" customHeight="1">
      <c r="A431" s="35">
        <v>429.0</v>
      </c>
      <c r="B431" s="20">
        <v>81.0</v>
      </c>
      <c r="C431" s="36" t="s">
        <v>1168</v>
      </c>
      <c r="D431" s="13" t="s">
        <v>1524</v>
      </c>
      <c r="E431" s="13" t="s">
        <v>2064</v>
      </c>
      <c r="F431" s="13" t="s">
        <v>1526</v>
      </c>
      <c r="G431" s="13" t="s">
        <v>1527</v>
      </c>
      <c r="H431" s="13" t="s">
        <v>1528</v>
      </c>
      <c r="I431" s="15"/>
      <c r="J431" s="1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22.5" hidden="1" customHeight="1">
      <c r="A432" s="35">
        <v>430.0</v>
      </c>
      <c r="B432" s="20">
        <v>81.0</v>
      </c>
      <c r="C432" s="36" t="s">
        <v>1163</v>
      </c>
      <c r="D432" s="13" t="s">
        <v>2547</v>
      </c>
      <c r="E432" s="13" t="s">
        <v>2548</v>
      </c>
      <c r="F432" s="13" t="s">
        <v>2549</v>
      </c>
      <c r="G432" s="13" t="s">
        <v>594</v>
      </c>
      <c r="H432" s="13" t="s">
        <v>2550</v>
      </c>
      <c r="I432" s="15"/>
      <c r="J432" s="1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22.5" customHeight="1">
      <c r="A433" s="35">
        <v>431.0</v>
      </c>
      <c r="B433" s="20">
        <v>81.0</v>
      </c>
      <c r="C433" s="36" t="s">
        <v>1168</v>
      </c>
      <c r="D433" s="13" t="s">
        <v>1707</v>
      </c>
      <c r="E433" s="13" t="s">
        <v>2551</v>
      </c>
      <c r="F433" s="13" t="s">
        <v>1215</v>
      </c>
      <c r="G433" s="13" t="s">
        <v>2414</v>
      </c>
      <c r="H433" s="13" t="s">
        <v>1217</v>
      </c>
      <c r="I433" s="14" t="s">
        <v>18</v>
      </c>
      <c r="J433" s="1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22.5" customHeight="1">
      <c r="A434" s="35">
        <v>432.0</v>
      </c>
      <c r="B434" s="20">
        <v>81.0</v>
      </c>
      <c r="C434" s="36" t="s">
        <v>1218</v>
      </c>
      <c r="D434" s="13" t="s">
        <v>1270</v>
      </c>
      <c r="E434" s="13" t="s">
        <v>2552</v>
      </c>
      <c r="F434" s="13" t="s">
        <v>1272</v>
      </c>
      <c r="G434" s="13" t="s">
        <v>2553</v>
      </c>
      <c r="H434" s="13" t="s">
        <v>1274</v>
      </c>
      <c r="I434" s="15"/>
      <c r="J434" s="1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22.5" hidden="1" customHeight="1">
      <c r="A435" s="35">
        <v>433.0</v>
      </c>
      <c r="B435" s="20">
        <v>81.0</v>
      </c>
      <c r="C435" s="36" t="s">
        <v>1163</v>
      </c>
      <c r="D435" s="13" t="s">
        <v>2295</v>
      </c>
      <c r="E435" s="13" t="s">
        <v>2554</v>
      </c>
      <c r="F435" s="13" t="s">
        <v>405</v>
      </c>
      <c r="G435" s="13" t="s">
        <v>406</v>
      </c>
      <c r="H435" s="21" t="s">
        <v>2297</v>
      </c>
      <c r="I435" s="14" t="s">
        <v>18</v>
      </c>
      <c r="J435" s="1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22.5" customHeight="1">
      <c r="A436" s="35">
        <v>434.0</v>
      </c>
      <c r="B436" s="20">
        <v>81.0</v>
      </c>
      <c r="C436" s="36" t="s">
        <v>1218</v>
      </c>
      <c r="D436" s="13" t="s">
        <v>1625</v>
      </c>
      <c r="E436" s="13" t="s">
        <v>2555</v>
      </c>
      <c r="F436" s="13" t="s">
        <v>1627</v>
      </c>
      <c r="G436" s="13" t="s">
        <v>1941</v>
      </c>
      <c r="H436" s="13" t="s">
        <v>1629</v>
      </c>
      <c r="I436" s="15"/>
      <c r="J436" s="1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22.5" hidden="1" customHeight="1">
      <c r="A437" s="35">
        <v>435.0</v>
      </c>
      <c r="B437" s="20">
        <v>81.0</v>
      </c>
      <c r="C437" s="36" t="s">
        <v>1163</v>
      </c>
      <c r="D437" s="13" t="s">
        <v>2556</v>
      </c>
      <c r="E437" s="13" t="s">
        <v>2557</v>
      </c>
      <c r="F437" s="13" t="s">
        <v>1386</v>
      </c>
      <c r="G437" s="13" t="s">
        <v>1387</v>
      </c>
      <c r="H437" s="13" t="s">
        <v>1944</v>
      </c>
      <c r="I437" s="15"/>
      <c r="J437" s="1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22.5" hidden="1" customHeight="1">
      <c r="A438" s="35">
        <v>436.0</v>
      </c>
      <c r="B438" s="20">
        <v>80.0</v>
      </c>
      <c r="C438" s="36" t="s">
        <v>1163</v>
      </c>
      <c r="D438" s="13" t="s">
        <v>2048</v>
      </c>
      <c r="E438" s="13" t="s">
        <v>2558</v>
      </c>
      <c r="F438" s="13" t="s">
        <v>2050</v>
      </c>
      <c r="G438" s="13" t="s">
        <v>2051</v>
      </c>
      <c r="H438" s="13" t="s">
        <v>1902</v>
      </c>
      <c r="I438" s="15"/>
      <c r="J438" s="1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22.5" hidden="1" customHeight="1">
      <c r="A439" s="35">
        <v>437.0</v>
      </c>
      <c r="B439" s="20">
        <v>80.0</v>
      </c>
      <c r="C439" s="36" t="s">
        <v>1163</v>
      </c>
      <c r="D439" s="13" t="s">
        <v>2559</v>
      </c>
      <c r="E439" s="13" t="s">
        <v>2560</v>
      </c>
      <c r="F439" s="13" t="s">
        <v>2561</v>
      </c>
      <c r="G439" s="13" t="s">
        <v>2562</v>
      </c>
      <c r="H439" s="13" t="s">
        <v>2486</v>
      </c>
      <c r="I439" s="15"/>
      <c r="J439" s="1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22.5" customHeight="1">
      <c r="A440" s="35">
        <v>438.0</v>
      </c>
      <c r="B440" s="20">
        <v>80.0</v>
      </c>
      <c r="C440" s="36" t="s">
        <v>1218</v>
      </c>
      <c r="D440" s="13" t="s">
        <v>2222</v>
      </c>
      <c r="E440" s="13" t="s">
        <v>1994</v>
      </c>
      <c r="F440" s="13" t="s">
        <v>757</v>
      </c>
      <c r="G440" s="13" t="s">
        <v>758</v>
      </c>
      <c r="H440" s="13" t="s">
        <v>1997</v>
      </c>
      <c r="I440" s="15"/>
      <c r="J440" s="1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22.5" customHeight="1">
      <c r="A441" s="35">
        <v>439.0</v>
      </c>
      <c r="B441" s="20">
        <v>80.0</v>
      </c>
      <c r="C441" s="36" t="s">
        <v>1168</v>
      </c>
      <c r="D441" s="13" t="s">
        <v>1444</v>
      </c>
      <c r="E441" s="13" t="s">
        <v>1445</v>
      </c>
      <c r="F441" s="13" t="s">
        <v>1446</v>
      </c>
      <c r="G441" s="13" t="s">
        <v>1447</v>
      </c>
      <c r="H441" s="13" t="s">
        <v>1448</v>
      </c>
      <c r="I441" s="14" t="s">
        <v>18</v>
      </c>
      <c r="J441" s="1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22.5" hidden="1" customHeight="1">
      <c r="A442" s="35">
        <v>440.0</v>
      </c>
      <c r="B442" s="20">
        <v>80.0</v>
      </c>
      <c r="C442" s="36" t="s">
        <v>1163</v>
      </c>
      <c r="D442" s="13" t="s">
        <v>2275</v>
      </c>
      <c r="E442" s="13" t="s">
        <v>2563</v>
      </c>
      <c r="F442" s="13" t="s">
        <v>2277</v>
      </c>
      <c r="G442" s="13" t="s">
        <v>2278</v>
      </c>
      <c r="H442" s="13" t="s">
        <v>2279</v>
      </c>
      <c r="I442" s="15"/>
      <c r="J442" s="1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22.5" customHeight="1">
      <c r="A443" s="35">
        <v>441.0</v>
      </c>
      <c r="B443" s="20">
        <v>80.0</v>
      </c>
      <c r="C443" s="36" t="s">
        <v>1168</v>
      </c>
      <c r="D443" s="13" t="s">
        <v>1379</v>
      </c>
      <c r="E443" s="13" t="s">
        <v>2496</v>
      </c>
      <c r="F443" s="13" t="s">
        <v>1381</v>
      </c>
      <c r="G443" s="13" t="s">
        <v>1382</v>
      </c>
      <c r="H443" s="13" t="s">
        <v>1383</v>
      </c>
      <c r="I443" s="15"/>
      <c r="J443" s="1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22.5" customHeight="1">
      <c r="A444" s="35">
        <v>442.0</v>
      </c>
      <c r="B444" s="20">
        <v>80.0</v>
      </c>
      <c r="C444" s="36" t="s">
        <v>1168</v>
      </c>
      <c r="D444" s="13" t="s">
        <v>2564</v>
      </c>
      <c r="E444" s="13" t="s">
        <v>2443</v>
      </c>
      <c r="F444" s="13" t="s">
        <v>2565</v>
      </c>
      <c r="G444" s="13" t="s">
        <v>2566</v>
      </c>
      <c r="H444" s="13" t="s">
        <v>2446</v>
      </c>
      <c r="I444" s="14" t="s">
        <v>18</v>
      </c>
      <c r="J444" s="1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22.5" hidden="1" customHeight="1">
      <c r="A445" s="35">
        <v>443.0</v>
      </c>
      <c r="B445" s="20">
        <v>80.0</v>
      </c>
      <c r="C445" s="36" t="s">
        <v>1163</v>
      </c>
      <c r="D445" s="13" t="s">
        <v>1962</v>
      </c>
      <c r="E445" s="13" t="s">
        <v>2567</v>
      </c>
      <c r="F445" s="13" t="s">
        <v>1964</v>
      </c>
      <c r="G445" s="13" t="s">
        <v>1965</v>
      </c>
      <c r="H445" s="13" t="s">
        <v>1966</v>
      </c>
      <c r="I445" s="15"/>
      <c r="J445" s="1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22.5" customHeight="1">
      <c r="A446" s="35">
        <v>444.0</v>
      </c>
      <c r="B446" s="20">
        <v>80.0</v>
      </c>
      <c r="C446" s="36" t="s">
        <v>1168</v>
      </c>
      <c r="D446" s="13" t="s">
        <v>2568</v>
      </c>
      <c r="E446" s="13" t="s">
        <v>2569</v>
      </c>
      <c r="F446" s="13" t="s">
        <v>2570</v>
      </c>
      <c r="G446" s="13" t="s">
        <v>2571</v>
      </c>
      <c r="H446" s="13" t="s">
        <v>1340</v>
      </c>
      <c r="I446" s="15"/>
      <c r="J446" s="1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22.5" customHeight="1">
      <c r="A447" s="35">
        <v>445.0</v>
      </c>
      <c r="B447" s="20">
        <v>80.0</v>
      </c>
      <c r="C447" s="36" t="s">
        <v>1168</v>
      </c>
      <c r="D447" s="13" t="s">
        <v>2572</v>
      </c>
      <c r="E447" s="13" t="s">
        <v>2573</v>
      </c>
      <c r="F447" s="13" t="s">
        <v>1120</v>
      </c>
      <c r="G447" s="13" t="s">
        <v>1121</v>
      </c>
      <c r="H447" s="13" t="s">
        <v>2574</v>
      </c>
      <c r="I447" s="14" t="s">
        <v>18</v>
      </c>
      <c r="J447" s="1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22.5" customHeight="1">
      <c r="A448" s="35">
        <v>446.0</v>
      </c>
      <c r="B448" s="20">
        <v>80.0</v>
      </c>
      <c r="C448" s="36" t="s">
        <v>1168</v>
      </c>
      <c r="D448" s="13" t="s">
        <v>2575</v>
      </c>
      <c r="E448" s="13" t="s">
        <v>2064</v>
      </c>
      <c r="F448" s="13" t="s">
        <v>2576</v>
      </c>
      <c r="G448" s="13" t="s">
        <v>2577</v>
      </c>
      <c r="H448" s="13" t="s">
        <v>1528</v>
      </c>
      <c r="I448" s="15"/>
      <c r="J448" s="1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22.5" customHeight="1">
      <c r="A449" s="35">
        <v>447.0</v>
      </c>
      <c r="B449" s="20">
        <v>80.0</v>
      </c>
      <c r="C449" s="36" t="s">
        <v>1168</v>
      </c>
      <c r="D449" s="13" t="s">
        <v>2578</v>
      </c>
      <c r="E449" s="13" t="s">
        <v>2579</v>
      </c>
      <c r="F449" s="13" t="s">
        <v>2580</v>
      </c>
      <c r="G449" s="13" t="s">
        <v>2581</v>
      </c>
      <c r="H449" s="13" t="s">
        <v>2582</v>
      </c>
      <c r="I449" s="14" t="s">
        <v>18</v>
      </c>
      <c r="J449" s="1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22.5" customHeight="1">
      <c r="A450" s="35">
        <v>448.0</v>
      </c>
      <c r="B450" s="20">
        <v>80.0</v>
      </c>
      <c r="C450" s="36" t="s">
        <v>1168</v>
      </c>
      <c r="D450" s="13" t="s">
        <v>2583</v>
      </c>
      <c r="E450" s="13" t="s">
        <v>2584</v>
      </c>
      <c r="F450" s="13" t="s">
        <v>1473</v>
      </c>
      <c r="G450" s="13" t="s">
        <v>1474</v>
      </c>
      <c r="H450" s="13" t="s">
        <v>1475</v>
      </c>
      <c r="I450" s="14" t="s">
        <v>18</v>
      </c>
      <c r="J450" s="1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22.5" customHeight="1">
      <c r="A451" s="35">
        <v>449.0</v>
      </c>
      <c r="B451" s="20">
        <v>80.0</v>
      </c>
      <c r="C451" s="36" t="s">
        <v>1168</v>
      </c>
      <c r="D451" s="13" t="s">
        <v>1776</v>
      </c>
      <c r="E451" s="13" t="s">
        <v>1777</v>
      </c>
      <c r="F451" s="13" t="s">
        <v>1778</v>
      </c>
      <c r="G451" s="13" t="s">
        <v>1779</v>
      </c>
      <c r="H451" s="13" t="s">
        <v>1780</v>
      </c>
      <c r="I451" s="15"/>
      <c r="J451" s="1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22.5" hidden="1" customHeight="1">
      <c r="A452" s="35">
        <v>450.0</v>
      </c>
      <c r="B452" s="20">
        <v>80.0</v>
      </c>
      <c r="C452" s="36" t="s">
        <v>1163</v>
      </c>
      <c r="D452" s="13" t="s">
        <v>2585</v>
      </c>
      <c r="E452" s="13" t="s">
        <v>2586</v>
      </c>
      <c r="F452" s="13" t="s">
        <v>2587</v>
      </c>
      <c r="G452" s="13" t="s">
        <v>2588</v>
      </c>
      <c r="H452" s="13" t="s">
        <v>2589</v>
      </c>
      <c r="I452" s="15"/>
      <c r="J452" s="1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22.5" customHeight="1">
      <c r="A453" s="35">
        <v>451.0</v>
      </c>
      <c r="B453" s="20">
        <v>79.0</v>
      </c>
      <c r="C453" s="36" t="s">
        <v>1168</v>
      </c>
      <c r="D453" s="13" t="s">
        <v>2590</v>
      </c>
      <c r="E453" s="13" t="s">
        <v>2591</v>
      </c>
      <c r="F453" s="13" t="s">
        <v>1896</v>
      </c>
      <c r="G453" s="13" t="s">
        <v>2592</v>
      </c>
      <c r="H453" s="13" t="s">
        <v>1499</v>
      </c>
      <c r="I453" s="15"/>
      <c r="J453" s="1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22.5" customHeight="1">
      <c r="A454" s="35">
        <v>452.0</v>
      </c>
      <c r="B454" s="20">
        <v>79.0</v>
      </c>
      <c r="C454" s="36" t="s">
        <v>1218</v>
      </c>
      <c r="D454" s="13" t="s">
        <v>1993</v>
      </c>
      <c r="E454" s="13" t="s">
        <v>1994</v>
      </c>
      <c r="F454" s="13" t="s">
        <v>1995</v>
      </c>
      <c r="G454" s="13" t="s">
        <v>1996</v>
      </c>
      <c r="H454" s="13" t="s">
        <v>1997</v>
      </c>
      <c r="I454" s="15"/>
      <c r="J454" s="1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22.5" customHeight="1">
      <c r="A455" s="35">
        <v>453.0</v>
      </c>
      <c r="B455" s="20">
        <v>79.0</v>
      </c>
      <c r="C455" s="36" t="s">
        <v>1218</v>
      </c>
      <c r="D455" s="13" t="s">
        <v>1454</v>
      </c>
      <c r="E455" s="13" t="s">
        <v>1609</v>
      </c>
      <c r="F455" s="13" t="s">
        <v>1610</v>
      </c>
      <c r="G455" s="13" t="s">
        <v>2593</v>
      </c>
      <c r="H455" s="13" t="s">
        <v>1612</v>
      </c>
      <c r="I455" s="15"/>
      <c r="J455" s="1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22.5" customHeight="1">
      <c r="A456" s="35">
        <v>454.0</v>
      </c>
      <c r="B456" s="20">
        <v>79.0</v>
      </c>
      <c r="C456" s="36" t="s">
        <v>1218</v>
      </c>
      <c r="D456" s="13" t="s">
        <v>1769</v>
      </c>
      <c r="E456" s="13" t="s">
        <v>2594</v>
      </c>
      <c r="F456" s="13" t="s">
        <v>1702</v>
      </c>
      <c r="G456" s="13" t="s">
        <v>2595</v>
      </c>
      <c r="H456" s="13" t="s">
        <v>1704</v>
      </c>
      <c r="I456" s="14" t="s">
        <v>18</v>
      </c>
      <c r="J456" s="1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22.5" customHeight="1">
      <c r="A457" s="35">
        <v>455.0</v>
      </c>
      <c r="B457" s="20">
        <v>79.0</v>
      </c>
      <c r="C457" s="36" t="s">
        <v>1218</v>
      </c>
      <c r="D457" s="13" t="s">
        <v>2596</v>
      </c>
      <c r="E457" s="13" t="s">
        <v>2597</v>
      </c>
      <c r="F457" s="13" t="s">
        <v>2598</v>
      </c>
      <c r="G457" s="13" t="s">
        <v>2599</v>
      </c>
      <c r="H457" s="13" t="s">
        <v>2600</v>
      </c>
      <c r="I457" s="14" t="s">
        <v>18</v>
      </c>
      <c r="J457" s="1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22.5" customHeight="1">
      <c r="A458" s="35">
        <v>456.0</v>
      </c>
      <c r="B458" s="20">
        <v>79.0</v>
      </c>
      <c r="C458" s="36" t="s">
        <v>1168</v>
      </c>
      <c r="D458" s="13" t="s">
        <v>1920</v>
      </c>
      <c r="E458" s="13" t="s">
        <v>2601</v>
      </c>
      <c r="F458" s="13" t="s">
        <v>1922</v>
      </c>
      <c r="G458" s="13" t="s">
        <v>2602</v>
      </c>
      <c r="H458" s="13" t="s">
        <v>1924</v>
      </c>
      <c r="I458" s="14" t="s">
        <v>18</v>
      </c>
      <c r="J458" s="14" t="s">
        <v>18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22.5" customHeight="1">
      <c r="A459" s="35">
        <v>457.0</v>
      </c>
      <c r="B459" s="20">
        <v>79.0</v>
      </c>
      <c r="C459" s="36" t="s">
        <v>1168</v>
      </c>
      <c r="D459" s="13" t="s">
        <v>2603</v>
      </c>
      <c r="E459" s="13" t="s">
        <v>2604</v>
      </c>
      <c r="F459" s="13" t="s">
        <v>2605</v>
      </c>
      <c r="G459" s="13" t="s">
        <v>2606</v>
      </c>
      <c r="H459" s="13" t="s">
        <v>2607</v>
      </c>
      <c r="I459" s="14" t="s">
        <v>18</v>
      </c>
      <c r="J459" s="1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22.5" customHeight="1">
      <c r="A460" s="35">
        <v>458.0</v>
      </c>
      <c r="B460" s="20">
        <v>79.0</v>
      </c>
      <c r="C460" s="36" t="s">
        <v>1168</v>
      </c>
      <c r="D460" s="13" t="s">
        <v>1198</v>
      </c>
      <c r="E460" s="13" t="s">
        <v>2608</v>
      </c>
      <c r="F460" s="13" t="s">
        <v>1199</v>
      </c>
      <c r="G460" s="13" t="s">
        <v>1200</v>
      </c>
      <c r="H460" s="13" t="s">
        <v>1201</v>
      </c>
      <c r="I460" s="14" t="s">
        <v>18</v>
      </c>
      <c r="J460" s="1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22.5" customHeight="1">
      <c r="A461" s="35">
        <v>459.0</v>
      </c>
      <c r="B461" s="20">
        <v>79.0</v>
      </c>
      <c r="C461" s="36" t="s">
        <v>1168</v>
      </c>
      <c r="D461" s="13" t="s">
        <v>2609</v>
      </c>
      <c r="E461" s="13" t="s">
        <v>2610</v>
      </c>
      <c r="F461" s="13" t="s">
        <v>2611</v>
      </c>
      <c r="G461" s="13" t="s">
        <v>2612</v>
      </c>
      <c r="H461" s="13" t="s">
        <v>2613</v>
      </c>
      <c r="I461" s="14" t="s">
        <v>18</v>
      </c>
      <c r="J461" s="1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22.5" customHeight="1">
      <c r="A462" s="35">
        <v>460.0</v>
      </c>
      <c r="B462" s="20">
        <v>79.0</v>
      </c>
      <c r="C462" s="36" t="s">
        <v>1218</v>
      </c>
      <c r="D462" s="13" t="s">
        <v>2614</v>
      </c>
      <c r="E462" s="13" t="s">
        <v>2615</v>
      </c>
      <c r="F462" s="13" t="s">
        <v>2616</v>
      </c>
      <c r="G462" s="13" t="s">
        <v>2617</v>
      </c>
      <c r="H462" s="13" t="s">
        <v>2618</v>
      </c>
      <c r="I462" s="15"/>
      <c r="J462" s="1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22.5" hidden="1" customHeight="1">
      <c r="A463" s="35">
        <v>461.0</v>
      </c>
      <c r="B463" s="20">
        <v>78.0</v>
      </c>
      <c r="C463" s="36" t="s">
        <v>1163</v>
      </c>
      <c r="D463" s="13" t="s">
        <v>2619</v>
      </c>
      <c r="E463" s="13" t="s">
        <v>2620</v>
      </c>
      <c r="F463" s="13" t="s">
        <v>2621</v>
      </c>
      <c r="G463" s="13" t="s">
        <v>2622</v>
      </c>
      <c r="H463" s="13" t="s">
        <v>2623</v>
      </c>
      <c r="I463" s="15"/>
      <c r="J463" s="1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22.5" hidden="1" customHeight="1">
      <c r="A464" s="35">
        <v>462.0</v>
      </c>
      <c r="B464" s="20">
        <v>78.0</v>
      </c>
      <c r="C464" s="36" t="s">
        <v>1163</v>
      </c>
      <c r="D464" s="13" t="s">
        <v>1898</v>
      </c>
      <c r="E464" s="13" t="s">
        <v>2624</v>
      </c>
      <c r="F464" s="13" t="s">
        <v>1900</v>
      </c>
      <c r="G464" s="13" t="s">
        <v>1901</v>
      </c>
      <c r="H464" s="13" t="s">
        <v>1902</v>
      </c>
      <c r="I464" s="14" t="s">
        <v>18</v>
      </c>
      <c r="J464" s="1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22.5" hidden="1" customHeight="1">
      <c r="A465" s="35">
        <v>463.0</v>
      </c>
      <c r="B465" s="20">
        <v>78.0</v>
      </c>
      <c r="C465" s="36" t="s">
        <v>1163</v>
      </c>
      <c r="D465" s="13" t="s">
        <v>2625</v>
      </c>
      <c r="E465" s="13" t="s">
        <v>2626</v>
      </c>
      <c r="F465" s="13" t="s">
        <v>2627</v>
      </c>
      <c r="G465" s="13" t="s">
        <v>2628</v>
      </c>
      <c r="H465" s="13" t="s">
        <v>2629</v>
      </c>
      <c r="I465" s="15"/>
      <c r="J465" s="1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22.5" customHeight="1">
      <c r="A466" s="35">
        <v>464.0</v>
      </c>
      <c r="B466" s="20">
        <v>78.0</v>
      </c>
      <c r="C466" s="36" t="s">
        <v>1218</v>
      </c>
      <c r="D466" s="13" t="s">
        <v>1998</v>
      </c>
      <c r="E466" s="13" t="s">
        <v>2510</v>
      </c>
      <c r="F466" s="13" t="s">
        <v>2000</v>
      </c>
      <c r="G466" s="13" t="s">
        <v>2630</v>
      </c>
      <c r="H466" s="13" t="s">
        <v>2002</v>
      </c>
      <c r="I466" s="14" t="s">
        <v>18</v>
      </c>
      <c r="J466" s="1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22.5" hidden="1" customHeight="1">
      <c r="A467" s="35">
        <v>465.0</v>
      </c>
      <c r="B467" s="20">
        <v>78.0</v>
      </c>
      <c r="C467" s="36" t="s">
        <v>1163</v>
      </c>
      <c r="D467" s="13" t="s">
        <v>2631</v>
      </c>
      <c r="E467" s="13" t="s">
        <v>2632</v>
      </c>
      <c r="F467" s="13" t="s">
        <v>2633</v>
      </c>
      <c r="G467" s="13" t="s">
        <v>2634</v>
      </c>
      <c r="H467" s="13" t="s">
        <v>2635</v>
      </c>
      <c r="I467" s="14" t="s">
        <v>18</v>
      </c>
      <c r="J467" s="1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22.5" customHeight="1">
      <c r="A468" s="35">
        <v>466.0</v>
      </c>
      <c r="B468" s="20">
        <v>78.0</v>
      </c>
      <c r="C468" s="36" t="s">
        <v>1218</v>
      </c>
      <c r="D468" s="13" t="s">
        <v>2636</v>
      </c>
      <c r="E468" s="13" t="s">
        <v>2637</v>
      </c>
      <c r="F468" s="13" t="s">
        <v>2638</v>
      </c>
      <c r="G468" s="13" t="s">
        <v>2639</v>
      </c>
      <c r="H468" s="13" t="s">
        <v>2640</v>
      </c>
      <c r="I468" s="15"/>
      <c r="J468" s="1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22.5" customHeight="1">
      <c r="A469" s="35">
        <v>467.0</v>
      </c>
      <c r="B469" s="20">
        <v>78.0</v>
      </c>
      <c r="C469" s="36" t="s">
        <v>1168</v>
      </c>
      <c r="D469" s="13" t="s">
        <v>1925</v>
      </c>
      <c r="E469" s="13" t="s">
        <v>2641</v>
      </c>
      <c r="F469" s="13" t="s">
        <v>1927</v>
      </c>
      <c r="G469" s="13" t="s">
        <v>1928</v>
      </c>
      <c r="H469" s="13" t="s">
        <v>1335</v>
      </c>
      <c r="I469" s="14" t="s">
        <v>18</v>
      </c>
      <c r="J469" s="1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22.5" hidden="1" customHeight="1">
      <c r="A470" s="35">
        <v>468.0</v>
      </c>
      <c r="B470" s="20">
        <v>78.0</v>
      </c>
      <c r="C470" s="36" t="s">
        <v>1163</v>
      </c>
      <c r="D470" s="13" t="s">
        <v>1969</v>
      </c>
      <c r="E470" s="13" t="s">
        <v>2642</v>
      </c>
      <c r="F470" s="13" t="s">
        <v>1971</v>
      </c>
      <c r="G470" s="13" t="s">
        <v>1972</v>
      </c>
      <c r="H470" s="13" t="s">
        <v>1973</v>
      </c>
      <c r="I470" s="15"/>
      <c r="J470" s="1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22.5" customHeight="1">
      <c r="A471" s="35">
        <v>469.0</v>
      </c>
      <c r="B471" s="20">
        <v>78.0</v>
      </c>
      <c r="C471" s="36" t="s">
        <v>1168</v>
      </c>
      <c r="D471" s="13" t="s">
        <v>2643</v>
      </c>
      <c r="E471" s="13" t="s">
        <v>2644</v>
      </c>
      <c r="F471" s="13" t="s">
        <v>2645</v>
      </c>
      <c r="G471" s="13" t="s">
        <v>2646</v>
      </c>
      <c r="H471" s="13" t="s">
        <v>2647</v>
      </c>
      <c r="I471" s="14" t="s">
        <v>18</v>
      </c>
      <c r="J471" s="1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22.5" customHeight="1">
      <c r="A472" s="35">
        <v>470.0</v>
      </c>
      <c r="B472" s="20">
        <v>78.0</v>
      </c>
      <c r="C472" s="36" t="s">
        <v>1168</v>
      </c>
      <c r="D472" s="13" t="s">
        <v>1210</v>
      </c>
      <c r="E472" s="13" t="s">
        <v>2648</v>
      </c>
      <c r="F472" s="13" t="s">
        <v>89</v>
      </c>
      <c r="G472" s="13" t="s">
        <v>90</v>
      </c>
      <c r="H472" s="13" t="s">
        <v>1213</v>
      </c>
      <c r="I472" s="15"/>
      <c r="J472" s="1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22.5" customHeight="1">
      <c r="A473" s="35">
        <v>471.0</v>
      </c>
      <c r="B473" s="20">
        <v>78.0</v>
      </c>
      <c r="C473" s="36" t="s">
        <v>1168</v>
      </c>
      <c r="D473" s="13" t="s">
        <v>2649</v>
      </c>
      <c r="E473" s="13" t="s">
        <v>2650</v>
      </c>
      <c r="F473" s="13" t="s">
        <v>2651</v>
      </c>
      <c r="G473" s="13" t="s">
        <v>2652</v>
      </c>
      <c r="H473" s="13" t="s">
        <v>2653</v>
      </c>
      <c r="I473" s="14" t="s">
        <v>18</v>
      </c>
      <c r="J473" s="1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22.5" customHeight="1">
      <c r="A474" s="35">
        <v>472.0</v>
      </c>
      <c r="B474" s="20">
        <v>78.0</v>
      </c>
      <c r="C474" s="36" t="s">
        <v>1218</v>
      </c>
      <c r="D474" s="13" t="s">
        <v>2654</v>
      </c>
      <c r="E474" s="13" t="s">
        <v>2655</v>
      </c>
      <c r="F474" s="13" t="s">
        <v>2656</v>
      </c>
      <c r="G474" s="13" t="s">
        <v>2657</v>
      </c>
      <c r="H474" s="13" t="s">
        <v>2658</v>
      </c>
      <c r="I474" s="14" t="s">
        <v>18</v>
      </c>
      <c r="J474" s="1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22.5" customHeight="1">
      <c r="A475" s="35">
        <v>473.0</v>
      </c>
      <c r="B475" s="20">
        <v>78.0</v>
      </c>
      <c r="C475" s="36" t="s">
        <v>1218</v>
      </c>
      <c r="D475" s="13" t="s">
        <v>2659</v>
      </c>
      <c r="E475" s="13" t="s">
        <v>2660</v>
      </c>
      <c r="F475" s="13" t="s">
        <v>2661</v>
      </c>
      <c r="G475" s="13" t="s">
        <v>2662</v>
      </c>
      <c r="H475" s="13" t="s">
        <v>2663</v>
      </c>
      <c r="I475" s="14" t="s">
        <v>18</v>
      </c>
      <c r="J475" s="1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22.5" customHeight="1">
      <c r="A476" s="35">
        <v>474.0</v>
      </c>
      <c r="B476" s="20">
        <v>78.0</v>
      </c>
      <c r="C476" s="36" t="s">
        <v>1168</v>
      </c>
      <c r="D476" s="13" t="s">
        <v>2664</v>
      </c>
      <c r="E476" s="13" t="s">
        <v>2665</v>
      </c>
      <c r="F476" s="13" t="s">
        <v>2666</v>
      </c>
      <c r="G476" s="13" t="s">
        <v>2667</v>
      </c>
      <c r="H476" s="13" t="s">
        <v>2668</v>
      </c>
      <c r="I476" s="14" t="s">
        <v>18</v>
      </c>
      <c r="J476" s="1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22.5" customHeight="1">
      <c r="A477" s="35">
        <v>475.0</v>
      </c>
      <c r="B477" s="20">
        <v>77.0</v>
      </c>
      <c r="C477" s="36" t="s">
        <v>1218</v>
      </c>
      <c r="D477" s="13" t="s">
        <v>2669</v>
      </c>
      <c r="E477" s="13" t="s">
        <v>2670</v>
      </c>
      <c r="F477" s="13" t="s">
        <v>2671</v>
      </c>
      <c r="G477" s="13" t="s">
        <v>2672</v>
      </c>
      <c r="H477" s="13" t="s">
        <v>2673</v>
      </c>
      <c r="I477" s="14" t="s">
        <v>18</v>
      </c>
      <c r="J477" s="1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22.5" customHeight="1">
      <c r="A478" s="35">
        <v>476.0</v>
      </c>
      <c r="B478" s="20">
        <v>77.0</v>
      </c>
      <c r="C478" s="36" t="s">
        <v>1218</v>
      </c>
      <c r="D478" s="13" t="s">
        <v>1373</v>
      </c>
      <c r="E478" s="13" t="s">
        <v>2674</v>
      </c>
      <c r="F478" s="13" t="s">
        <v>1375</v>
      </c>
      <c r="G478" s="13" t="s">
        <v>2675</v>
      </c>
      <c r="H478" s="9" t="s">
        <v>1377</v>
      </c>
      <c r="I478" s="14" t="s">
        <v>18</v>
      </c>
      <c r="J478" s="1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22.5" customHeight="1">
      <c r="A479" s="35">
        <v>477.0</v>
      </c>
      <c r="B479" s="20">
        <v>77.0</v>
      </c>
      <c r="C479" s="36" t="s">
        <v>1168</v>
      </c>
      <c r="D479" s="13" t="s">
        <v>2676</v>
      </c>
      <c r="E479" s="13" t="s">
        <v>2677</v>
      </c>
      <c r="F479" s="13" t="s">
        <v>2678</v>
      </c>
      <c r="G479" s="13" t="s">
        <v>2679</v>
      </c>
      <c r="H479" s="13" t="s">
        <v>2680</v>
      </c>
      <c r="I479" s="15"/>
      <c r="J479" s="1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22.5" customHeight="1">
      <c r="A480" s="35">
        <v>478.0</v>
      </c>
      <c r="B480" s="20">
        <v>77.0</v>
      </c>
      <c r="C480" s="36" t="s">
        <v>1168</v>
      </c>
      <c r="D480" s="13" t="s">
        <v>1725</v>
      </c>
      <c r="E480" s="13" t="s">
        <v>2681</v>
      </c>
      <c r="F480" s="13" t="s">
        <v>1726</v>
      </c>
      <c r="G480" s="13" t="s">
        <v>1727</v>
      </c>
      <c r="H480" s="13" t="s">
        <v>1383</v>
      </c>
      <c r="I480" s="15"/>
      <c r="J480" s="1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22.5" hidden="1" customHeight="1">
      <c r="A481" s="35">
        <v>479.0</v>
      </c>
      <c r="B481" s="20">
        <v>77.0</v>
      </c>
      <c r="C481" s="36" t="s">
        <v>1163</v>
      </c>
      <c r="D481" s="13" t="s">
        <v>2682</v>
      </c>
      <c r="E481" s="13" t="s">
        <v>2683</v>
      </c>
      <c r="F481" s="13" t="s">
        <v>1333</v>
      </c>
      <c r="G481" s="13" t="s">
        <v>1334</v>
      </c>
      <c r="H481" s="13" t="s">
        <v>2684</v>
      </c>
      <c r="I481" s="14" t="s">
        <v>18</v>
      </c>
      <c r="J481" s="1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22.5" customHeight="1">
      <c r="A482" s="35">
        <v>480.0</v>
      </c>
      <c r="B482" s="20">
        <v>77.0</v>
      </c>
      <c r="C482" s="36" t="s">
        <v>1168</v>
      </c>
      <c r="D482" s="13" t="s">
        <v>1524</v>
      </c>
      <c r="E482" s="13" t="s">
        <v>2064</v>
      </c>
      <c r="F482" s="13" t="s">
        <v>1526</v>
      </c>
      <c r="G482" s="13" t="s">
        <v>1527</v>
      </c>
      <c r="H482" s="13" t="s">
        <v>1528</v>
      </c>
      <c r="I482" s="15"/>
      <c r="J482" s="1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22.5" customHeight="1">
      <c r="A483" s="35">
        <v>481.0</v>
      </c>
      <c r="B483" s="20">
        <v>77.0</v>
      </c>
      <c r="C483" s="36" t="s">
        <v>1218</v>
      </c>
      <c r="D483" s="13" t="s">
        <v>1981</v>
      </c>
      <c r="E483" s="13" t="s">
        <v>2685</v>
      </c>
      <c r="F483" s="13" t="s">
        <v>1983</v>
      </c>
      <c r="G483" s="13" t="s">
        <v>1984</v>
      </c>
      <c r="H483" s="13" t="s">
        <v>1985</v>
      </c>
      <c r="I483" s="15"/>
      <c r="J483" s="1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22.5" customHeight="1">
      <c r="A484" s="35">
        <v>482.0</v>
      </c>
      <c r="B484" s="20">
        <v>77.0</v>
      </c>
      <c r="C484" s="36" t="s">
        <v>1168</v>
      </c>
      <c r="D484" s="13" t="s">
        <v>1265</v>
      </c>
      <c r="E484" s="13" t="s">
        <v>1266</v>
      </c>
      <c r="F484" s="13" t="s">
        <v>1267</v>
      </c>
      <c r="G484" s="13" t="s">
        <v>1268</v>
      </c>
      <c r="H484" s="13" t="s">
        <v>1269</v>
      </c>
      <c r="I484" s="15"/>
      <c r="J484" s="1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22.5" hidden="1" customHeight="1">
      <c r="A485" s="35">
        <v>483.0</v>
      </c>
      <c r="B485" s="20">
        <v>77.0</v>
      </c>
      <c r="C485" s="36" t="s">
        <v>1163</v>
      </c>
      <c r="D485" s="13" t="s">
        <v>1582</v>
      </c>
      <c r="E485" s="13" t="s">
        <v>2686</v>
      </c>
      <c r="F485" s="13" t="s">
        <v>1584</v>
      </c>
      <c r="G485" s="13" t="s">
        <v>2687</v>
      </c>
      <c r="H485" s="13" t="s">
        <v>1586</v>
      </c>
      <c r="I485" s="14" t="s">
        <v>18</v>
      </c>
      <c r="J485" s="1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22.5" hidden="1" customHeight="1">
      <c r="A486" s="35">
        <v>484.0</v>
      </c>
      <c r="B486" s="20">
        <v>77.0</v>
      </c>
      <c r="C486" s="36" t="s">
        <v>1163</v>
      </c>
      <c r="D486" s="13" t="s">
        <v>2688</v>
      </c>
      <c r="E486" s="13" t="s">
        <v>2689</v>
      </c>
      <c r="F486" s="13" t="s">
        <v>2690</v>
      </c>
      <c r="G486" s="13" t="s">
        <v>2691</v>
      </c>
      <c r="H486" s="13" t="s">
        <v>2692</v>
      </c>
      <c r="I486" s="14" t="s">
        <v>18</v>
      </c>
      <c r="J486" s="1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22.5" hidden="1" customHeight="1">
      <c r="A487" s="35">
        <v>485.0</v>
      </c>
      <c r="B487" s="20">
        <v>77.0</v>
      </c>
      <c r="C487" s="36" t="s">
        <v>1163</v>
      </c>
      <c r="D487" s="13" t="s">
        <v>1784</v>
      </c>
      <c r="E487" s="13" t="s">
        <v>2693</v>
      </c>
      <c r="F487" s="13" t="s">
        <v>1786</v>
      </c>
      <c r="G487" s="13" t="s">
        <v>2694</v>
      </c>
      <c r="H487" s="13" t="s">
        <v>1788</v>
      </c>
      <c r="I487" s="15"/>
      <c r="J487" s="1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22.5" customHeight="1">
      <c r="A488" s="35">
        <v>486.0</v>
      </c>
      <c r="B488" s="20">
        <v>77.0</v>
      </c>
      <c r="C488" s="36" t="s">
        <v>1168</v>
      </c>
      <c r="D488" s="13" t="s">
        <v>2198</v>
      </c>
      <c r="E488" s="13" t="s">
        <v>2695</v>
      </c>
      <c r="F488" s="13" t="s">
        <v>2200</v>
      </c>
      <c r="G488" s="13" t="s">
        <v>2696</v>
      </c>
      <c r="H488" s="13" t="s">
        <v>2202</v>
      </c>
      <c r="I488" s="15"/>
      <c r="J488" s="1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22.5" customHeight="1">
      <c r="A489" s="35">
        <v>487.0</v>
      </c>
      <c r="B489" s="20">
        <v>77.0</v>
      </c>
      <c r="C489" s="36" t="s">
        <v>1218</v>
      </c>
      <c r="D489" s="13" t="s">
        <v>2697</v>
      </c>
      <c r="E489" s="13" t="s">
        <v>2698</v>
      </c>
      <c r="F489" s="13" t="s">
        <v>2699</v>
      </c>
      <c r="G489" s="13" t="s">
        <v>2700</v>
      </c>
      <c r="H489" s="13" t="s">
        <v>2701</v>
      </c>
      <c r="I489" s="14" t="s">
        <v>18</v>
      </c>
      <c r="J489" s="14" t="s">
        <v>18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22.5" hidden="1" customHeight="1">
      <c r="A490" s="35">
        <v>488.0</v>
      </c>
      <c r="B490" s="20">
        <v>77.0</v>
      </c>
      <c r="C490" s="36" t="s">
        <v>1163</v>
      </c>
      <c r="D490" s="13" t="s">
        <v>2702</v>
      </c>
      <c r="E490" s="13" t="s">
        <v>2703</v>
      </c>
      <c r="F490" s="13" t="s">
        <v>2704</v>
      </c>
      <c r="G490" s="13" t="s">
        <v>2705</v>
      </c>
      <c r="H490" s="13" t="s">
        <v>2706</v>
      </c>
      <c r="I490" s="14" t="s">
        <v>18</v>
      </c>
      <c r="J490" s="1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22.5" customHeight="1">
      <c r="A491" s="35">
        <v>489.0</v>
      </c>
      <c r="B491" s="20">
        <v>77.0</v>
      </c>
      <c r="C491" s="36" t="s">
        <v>1168</v>
      </c>
      <c r="D491" s="13" t="s">
        <v>2707</v>
      </c>
      <c r="E491" s="13" t="s">
        <v>2708</v>
      </c>
      <c r="F491" s="13" t="s">
        <v>2709</v>
      </c>
      <c r="G491" s="13" t="s">
        <v>1069</v>
      </c>
      <c r="H491" s="21" t="s">
        <v>2710</v>
      </c>
      <c r="I491" s="14" t="s">
        <v>18</v>
      </c>
      <c r="J491" s="1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22.5" customHeight="1">
      <c r="A492" s="35">
        <v>490.0</v>
      </c>
      <c r="B492" s="20">
        <v>76.0</v>
      </c>
      <c r="C492" s="36" t="s">
        <v>1218</v>
      </c>
      <c r="D492" s="13" t="s">
        <v>2534</v>
      </c>
      <c r="E492" s="13" t="s">
        <v>2711</v>
      </c>
      <c r="F492" s="13" t="s">
        <v>2536</v>
      </c>
      <c r="G492" s="13" t="s">
        <v>2712</v>
      </c>
      <c r="H492" s="13" t="s">
        <v>2538</v>
      </c>
      <c r="I492" s="15"/>
      <c r="J492" s="1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22.5" customHeight="1">
      <c r="A493" s="35">
        <v>491.0</v>
      </c>
      <c r="B493" s="20">
        <v>76.0</v>
      </c>
      <c r="C493" s="36" t="s">
        <v>1168</v>
      </c>
      <c r="D493" s="13" t="s">
        <v>2504</v>
      </c>
      <c r="E493" s="13" t="s">
        <v>2713</v>
      </c>
      <c r="F493" s="13" t="s">
        <v>2506</v>
      </c>
      <c r="G493" s="13" t="s">
        <v>2714</v>
      </c>
      <c r="H493" s="13" t="s">
        <v>2508</v>
      </c>
      <c r="I493" s="15"/>
      <c r="J493" s="1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22.5" customHeight="1">
      <c r="A494" s="35">
        <v>492.0</v>
      </c>
      <c r="B494" s="20">
        <v>76.0</v>
      </c>
      <c r="C494" s="36" t="s">
        <v>1218</v>
      </c>
      <c r="D494" s="13" t="s">
        <v>2715</v>
      </c>
      <c r="E494" s="13" t="s">
        <v>2716</v>
      </c>
      <c r="F494" s="13" t="s">
        <v>2717</v>
      </c>
      <c r="G494" s="13" t="s">
        <v>2718</v>
      </c>
      <c r="H494" s="13" t="s">
        <v>2719</v>
      </c>
      <c r="I494" s="15"/>
      <c r="J494" s="1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22.5" customHeight="1">
      <c r="A495" s="35">
        <v>493.0</v>
      </c>
      <c r="B495" s="20">
        <v>76.0</v>
      </c>
      <c r="C495" s="36" t="s">
        <v>1168</v>
      </c>
      <c r="D495" s="13" t="s">
        <v>1839</v>
      </c>
      <c r="E495" s="13" t="s">
        <v>1445</v>
      </c>
      <c r="F495" s="13" t="s">
        <v>1840</v>
      </c>
      <c r="G495" s="13" t="s">
        <v>1841</v>
      </c>
      <c r="H495" s="13" t="s">
        <v>1448</v>
      </c>
      <c r="I495" s="14" t="s">
        <v>18</v>
      </c>
      <c r="J495" s="1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22.5" customHeight="1">
      <c r="A496" s="35">
        <v>494.0</v>
      </c>
      <c r="B496" s="20">
        <v>76.0</v>
      </c>
      <c r="C496" s="36" t="s">
        <v>1168</v>
      </c>
      <c r="D496" s="13" t="s">
        <v>2720</v>
      </c>
      <c r="E496" s="13" t="s">
        <v>2721</v>
      </c>
      <c r="F496" s="13" t="s">
        <v>735</v>
      </c>
      <c r="G496" s="13" t="s">
        <v>736</v>
      </c>
      <c r="H496" s="13" t="s">
        <v>2722</v>
      </c>
      <c r="I496" s="14" t="s">
        <v>18</v>
      </c>
      <c r="J496" s="1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22.5" hidden="1" customHeight="1">
      <c r="A497" s="35">
        <v>495.0</v>
      </c>
      <c r="B497" s="20">
        <v>76.0</v>
      </c>
      <c r="C497" s="36" t="s">
        <v>1163</v>
      </c>
      <c r="D497" s="13" t="s">
        <v>2723</v>
      </c>
      <c r="E497" s="13" t="s">
        <v>2724</v>
      </c>
      <c r="F497" s="13" t="s">
        <v>2725</v>
      </c>
      <c r="G497" s="13" t="s">
        <v>2726</v>
      </c>
      <c r="H497" s="13" t="s">
        <v>2727</v>
      </c>
      <c r="I497" s="14" t="s">
        <v>18</v>
      </c>
      <c r="J497" s="1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22.5" customHeight="1">
      <c r="A498" s="35">
        <v>496.0</v>
      </c>
      <c r="B498" s="20">
        <v>76.0</v>
      </c>
      <c r="C498" s="36" t="s">
        <v>1218</v>
      </c>
      <c r="D498" s="13" t="s">
        <v>2728</v>
      </c>
      <c r="E498" s="13" t="s">
        <v>2729</v>
      </c>
      <c r="F498" s="13" t="s">
        <v>2730</v>
      </c>
      <c r="G498" s="13" t="s">
        <v>2731</v>
      </c>
      <c r="H498" s="21" t="s">
        <v>2732</v>
      </c>
      <c r="I498" s="14" t="s">
        <v>18</v>
      </c>
      <c r="J498" s="1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22.5" customHeight="1">
      <c r="A499" s="35">
        <v>497.0</v>
      </c>
      <c r="B499" s="20">
        <v>76.0</v>
      </c>
      <c r="C499" s="36" t="s">
        <v>1168</v>
      </c>
      <c r="D499" s="13" t="s">
        <v>2575</v>
      </c>
      <c r="E499" s="13" t="s">
        <v>2733</v>
      </c>
      <c r="F499" s="13" t="s">
        <v>2576</v>
      </c>
      <c r="G499" s="13" t="s">
        <v>2577</v>
      </c>
      <c r="H499" s="13" t="s">
        <v>1528</v>
      </c>
      <c r="I499" s="15"/>
      <c r="J499" s="1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22.5" hidden="1" customHeight="1">
      <c r="A500" s="35">
        <v>498.0</v>
      </c>
      <c r="B500" s="20">
        <v>76.0</v>
      </c>
      <c r="C500" s="36" t="s">
        <v>1163</v>
      </c>
      <c r="D500" s="13" t="s">
        <v>2734</v>
      </c>
      <c r="E500" s="13" t="s">
        <v>2735</v>
      </c>
      <c r="F500" s="13" t="s">
        <v>1195</v>
      </c>
      <c r="G500" s="13" t="s">
        <v>1196</v>
      </c>
      <c r="H500" s="13" t="s">
        <v>2736</v>
      </c>
      <c r="I500" s="14" t="s">
        <v>18</v>
      </c>
      <c r="J500" s="1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22.5" hidden="1" customHeight="1">
      <c r="A501" s="35">
        <v>499.0</v>
      </c>
      <c r="B501" s="20">
        <v>76.0</v>
      </c>
      <c r="C501" s="36" t="s">
        <v>1163</v>
      </c>
      <c r="D501" s="13" t="s">
        <v>2737</v>
      </c>
      <c r="E501" s="13" t="s">
        <v>2738</v>
      </c>
      <c r="F501" s="13" t="s">
        <v>2739</v>
      </c>
      <c r="G501" s="13" t="s">
        <v>2740</v>
      </c>
      <c r="H501" s="13" t="s">
        <v>2523</v>
      </c>
      <c r="I501" s="14" t="s">
        <v>18</v>
      </c>
      <c r="J501" s="1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22.5" hidden="1" customHeight="1">
      <c r="A502" s="35">
        <v>500.0</v>
      </c>
      <c r="B502" s="20">
        <v>76.0</v>
      </c>
      <c r="C502" s="36" t="s">
        <v>1163</v>
      </c>
      <c r="D502" s="13" t="s">
        <v>2741</v>
      </c>
      <c r="E502" s="13" t="s">
        <v>2742</v>
      </c>
      <c r="F502" s="13" t="s">
        <v>1786</v>
      </c>
      <c r="G502" s="13" t="s">
        <v>2694</v>
      </c>
      <c r="H502" s="13" t="s">
        <v>2743</v>
      </c>
      <c r="I502" s="14" t="s">
        <v>18</v>
      </c>
      <c r="J502" s="1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22.5" customHeight="1">
      <c r="A503" s="35">
        <v>501.0</v>
      </c>
      <c r="B503" s="20">
        <v>76.0</v>
      </c>
      <c r="C503" s="36" t="s">
        <v>1218</v>
      </c>
      <c r="D503" s="13" t="s">
        <v>2659</v>
      </c>
      <c r="E503" s="13" t="s">
        <v>2744</v>
      </c>
      <c r="F503" s="13" t="s">
        <v>2661</v>
      </c>
      <c r="G503" s="13" t="s">
        <v>2662</v>
      </c>
      <c r="H503" s="13" t="s">
        <v>2663</v>
      </c>
      <c r="I503" s="15"/>
      <c r="J503" s="1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22.5" customHeight="1">
      <c r="A504" s="35">
        <v>502.0</v>
      </c>
      <c r="B504" s="20">
        <v>76.0</v>
      </c>
      <c r="C504" s="36" t="s">
        <v>1168</v>
      </c>
      <c r="D504" s="13" t="s">
        <v>1279</v>
      </c>
      <c r="E504" s="13" t="s">
        <v>2745</v>
      </c>
      <c r="F504" s="13" t="s">
        <v>1281</v>
      </c>
      <c r="G504" s="13" t="s">
        <v>1282</v>
      </c>
      <c r="H504" s="13" t="s">
        <v>1283</v>
      </c>
      <c r="I504" s="15"/>
      <c r="J504" s="1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22.5" hidden="1" customHeight="1">
      <c r="A505" s="35">
        <v>503.0</v>
      </c>
      <c r="B505" s="20">
        <v>76.0</v>
      </c>
      <c r="C505" s="36" t="s">
        <v>1163</v>
      </c>
      <c r="D505" s="13" t="s">
        <v>2746</v>
      </c>
      <c r="E505" s="13" t="s">
        <v>2747</v>
      </c>
      <c r="F505" s="13" t="s">
        <v>2748</v>
      </c>
      <c r="G505" s="13" t="s">
        <v>2749</v>
      </c>
      <c r="H505" s="13" t="s">
        <v>2750</v>
      </c>
      <c r="I505" s="14" t="s">
        <v>18</v>
      </c>
      <c r="J505" s="1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22.5" customHeight="1">
      <c r="A506" s="35">
        <v>504.0</v>
      </c>
      <c r="B506" s="20">
        <v>76.0</v>
      </c>
      <c r="C506" s="36" t="s">
        <v>1218</v>
      </c>
      <c r="D506" s="13" t="s">
        <v>2751</v>
      </c>
      <c r="E506" s="13" t="s">
        <v>2752</v>
      </c>
      <c r="F506" s="13" t="s">
        <v>1456</v>
      </c>
      <c r="G506" s="13" t="s">
        <v>1457</v>
      </c>
      <c r="H506" s="13" t="s">
        <v>2753</v>
      </c>
      <c r="I506" s="14" t="s">
        <v>18</v>
      </c>
      <c r="J506" s="1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22.5" customHeight="1">
      <c r="A507" s="35">
        <v>505.0</v>
      </c>
      <c r="B507" s="20">
        <v>75.0</v>
      </c>
      <c r="C507" s="36" t="s">
        <v>1168</v>
      </c>
      <c r="D507" s="13" t="s">
        <v>1719</v>
      </c>
      <c r="E507" s="13" t="s">
        <v>2754</v>
      </c>
      <c r="F507" s="13" t="s">
        <v>1721</v>
      </c>
      <c r="G507" s="13" t="s">
        <v>2755</v>
      </c>
      <c r="H507" s="13" t="s">
        <v>1236</v>
      </c>
      <c r="I507" s="15"/>
      <c r="J507" s="1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22.5" hidden="1" customHeight="1">
      <c r="A508" s="35">
        <v>506.0</v>
      </c>
      <c r="B508" s="20">
        <v>75.0</v>
      </c>
      <c r="C508" s="36" t="s">
        <v>1163</v>
      </c>
      <c r="D508" s="13" t="s">
        <v>2625</v>
      </c>
      <c r="E508" s="13" t="s">
        <v>2626</v>
      </c>
      <c r="F508" s="13" t="s">
        <v>2627</v>
      </c>
      <c r="G508" s="13" t="s">
        <v>2628</v>
      </c>
      <c r="H508" s="13" t="s">
        <v>2629</v>
      </c>
      <c r="I508" s="14" t="s">
        <v>18</v>
      </c>
      <c r="J508" s="1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22.5" customHeight="1">
      <c r="A509" s="35">
        <v>507.0</v>
      </c>
      <c r="B509" s="20">
        <v>75.0</v>
      </c>
      <c r="C509" s="36" t="s">
        <v>1218</v>
      </c>
      <c r="D509" s="13" t="s">
        <v>2169</v>
      </c>
      <c r="E509" s="13" t="s">
        <v>2756</v>
      </c>
      <c r="F509" s="13" t="s">
        <v>2171</v>
      </c>
      <c r="G509" s="13" t="s">
        <v>2492</v>
      </c>
      <c r="H509" s="13" t="s">
        <v>2173</v>
      </c>
      <c r="I509" s="15"/>
      <c r="J509" s="1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22.5" customHeight="1">
      <c r="A510" s="35">
        <v>508.0</v>
      </c>
      <c r="B510" s="20">
        <v>75.0</v>
      </c>
      <c r="C510" s="36" t="s">
        <v>1168</v>
      </c>
      <c r="D510" s="13" t="s">
        <v>2757</v>
      </c>
      <c r="E510" s="13" t="s">
        <v>2758</v>
      </c>
      <c r="F510" s="13" t="s">
        <v>2759</v>
      </c>
      <c r="G510" s="13" t="s">
        <v>2760</v>
      </c>
      <c r="H510" s="13" t="s">
        <v>2761</v>
      </c>
      <c r="I510" s="14" t="s">
        <v>18</v>
      </c>
      <c r="J510" s="1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22.5" customHeight="1">
      <c r="A511" s="35">
        <v>509.0</v>
      </c>
      <c r="B511" s="20">
        <v>75.0</v>
      </c>
      <c r="C511" s="36" t="s">
        <v>1218</v>
      </c>
      <c r="D511" s="13" t="s">
        <v>1847</v>
      </c>
      <c r="E511" s="13" t="s">
        <v>2762</v>
      </c>
      <c r="F511" s="13" t="s">
        <v>1849</v>
      </c>
      <c r="G511" s="13" t="s">
        <v>2011</v>
      </c>
      <c r="H511" s="13" t="s">
        <v>1851</v>
      </c>
      <c r="I511" s="15"/>
      <c r="J511" s="1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22.5" customHeight="1">
      <c r="A512" s="35">
        <v>510.0</v>
      </c>
      <c r="B512" s="20">
        <v>75.0</v>
      </c>
      <c r="C512" s="36" t="s">
        <v>1168</v>
      </c>
      <c r="D512" s="13" t="s">
        <v>1331</v>
      </c>
      <c r="E512" s="13" t="s">
        <v>2763</v>
      </c>
      <c r="F512" s="13" t="s">
        <v>1333</v>
      </c>
      <c r="G512" s="13" t="s">
        <v>1334</v>
      </c>
      <c r="H512" s="13" t="s">
        <v>1335</v>
      </c>
      <c r="I512" s="14" t="s">
        <v>18</v>
      </c>
      <c r="J512" s="1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22.5" customHeight="1">
      <c r="A513" s="35">
        <v>511.0</v>
      </c>
      <c r="B513" s="20">
        <v>75.0</v>
      </c>
      <c r="C513" s="36" t="s">
        <v>1168</v>
      </c>
      <c r="D513" s="13" t="s">
        <v>2764</v>
      </c>
      <c r="E513" s="13" t="s">
        <v>2765</v>
      </c>
      <c r="F513" s="13" t="s">
        <v>2766</v>
      </c>
      <c r="G513" s="13" t="s">
        <v>2767</v>
      </c>
      <c r="H513" s="13" t="s">
        <v>2768</v>
      </c>
      <c r="I513" s="14" t="s">
        <v>18</v>
      </c>
      <c r="J513" s="1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22.5" hidden="1" customHeight="1">
      <c r="A514" s="35">
        <v>512.0</v>
      </c>
      <c r="B514" s="20">
        <v>75.0</v>
      </c>
      <c r="C514" s="36" t="s">
        <v>1163</v>
      </c>
      <c r="D514" s="13" t="s">
        <v>2769</v>
      </c>
      <c r="E514" s="13" t="s">
        <v>2770</v>
      </c>
      <c r="F514" s="13" t="s">
        <v>345</v>
      </c>
      <c r="G514" s="13" t="s">
        <v>346</v>
      </c>
      <c r="H514" s="13" t="s">
        <v>2771</v>
      </c>
      <c r="I514" s="14" t="s">
        <v>18</v>
      </c>
      <c r="J514" s="1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22.5" hidden="1" customHeight="1">
      <c r="A515" s="35">
        <v>513.0</v>
      </c>
      <c r="B515" s="20">
        <v>75.0</v>
      </c>
      <c r="C515" s="36" t="s">
        <v>1163</v>
      </c>
      <c r="D515" s="13" t="s">
        <v>2772</v>
      </c>
      <c r="E515" s="13" t="s">
        <v>2773</v>
      </c>
      <c r="F515" s="13" t="s">
        <v>1386</v>
      </c>
      <c r="G515" s="13" t="s">
        <v>1387</v>
      </c>
      <c r="H515" s="13" t="s">
        <v>2774</v>
      </c>
      <c r="I515" s="14" t="s">
        <v>18</v>
      </c>
      <c r="J515" s="1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22.5" customHeight="1">
      <c r="A516" s="35">
        <v>514.0</v>
      </c>
      <c r="B516" s="20">
        <v>75.0</v>
      </c>
      <c r="C516" s="36" t="s">
        <v>1168</v>
      </c>
      <c r="D516" s="13" t="s">
        <v>2404</v>
      </c>
      <c r="E516" s="13" t="s">
        <v>2775</v>
      </c>
      <c r="F516" s="13" t="s">
        <v>2406</v>
      </c>
      <c r="G516" s="13" t="s">
        <v>2407</v>
      </c>
      <c r="H516" s="13" t="s">
        <v>1201</v>
      </c>
      <c r="I516" s="15"/>
      <c r="J516" s="1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22.5" customHeight="1">
      <c r="A517" s="35">
        <v>515.0</v>
      </c>
      <c r="B517" s="20">
        <v>75.0</v>
      </c>
      <c r="C517" s="36" t="s">
        <v>1218</v>
      </c>
      <c r="D517" s="13" t="s">
        <v>1270</v>
      </c>
      <c r="E517" s="13" t="s">
        <v>2776</v>
      </c>
      <c r="F517" s="13" t="s">
        <v>1272</v>
      </c>
      <c r="G517" s="13" t="s">
        <v>2553</v>
      </c>
      <c r="H517" s="13" t="s">
        <v>1274</v>
      </c>
      <c r="I517" s="15"/>
      <c r="J517" s="1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22.5" customHeight="1">
      <c r="A518" s="35">
        <v>516.0</v>
      </c>
      <c r="B518" s="20">
        <v>75.0</v>
      </c>
      <c r="C518" s="36" t="s">
        <v>1168</v>
      </c>
      <c r="D518" s="13" t="s">
        <v>1476</v>
      </c>
      <c r="E518" s="13" t="s">
        <v>2777</v>
      </c>
      <c r="F518" s="13" t="s">
        <v>435</v>
      </c>
      <c r="G518" s="13" t="s">
        <v>436</v>
      </c>
      <c r="H518" s="13" t="s">
        <v>1283</v>
      </c>
      <c r="I518" s="14" t="s">
        <v>18</v>
      </c>
      <c r="J518" s="1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22.5" customHeight="1">
      <c r="A519" s="35">
        <v>517.0</v>
      </c>
      <c r="B519" s="20">
        <v>75.0</v>
      </c>
      <c r="C519" s="36" t="s">
        <v>1168</v>
      </c>
      <c r="D519" s="13" t="s">
        <v>2778</v>
      </c>
      <c r="E519" s="13" t="s">
        <v>1883</v>
      </c>
      <c r="F519" s="13" t="s">
        <v>2779</v>
      </c>
      <c r="G519" s="13" t="s">
        <v>883</v>
      </c>
      <c r="H519" s="13" t="s">
        <v>1886</v>
      </c>
      <c r="I519" s="15"/>
      <c r="J519" s="1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22.5" hidden="1" customHeight="1">
      <c r="A520" s="35">
        <v>518.0</v>
      </c>
      <c r="B520" s="20">
        <v>75.0</v>
      </c>
      <c r="C520" s="36" t="s">
        <v>1163</v>
      </c>
      <c r="D520" s="13" t="s">
        <v>2780</v>
      </c>
      <c r="E520" s="13" t="s">
        <v>2781</v>
      </c>
      <c r="F520" s="13" t="s">
        <v>2782</v>
      </c>
      <c r="G520" s="13" t="s">
        <v>2783</v>
      </c>
      <c r="H520" s="13" t="s">
        <v>1881</v>
      </c>
      <c r="I520" s="15"/>
      <c r="J520" s="1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22.5" hidden="1" customHeight="1">
      <c r="A521" s="35">
        <v>519.0</v>
      </c>
      <c r="B521" s="20">
        <v>75.0</v>
      </c>
      <c r="C521" s="36" t="s">
        <v>1163</v>
      </c>
      <c r="D521" s="13" t="s">
        <v>2784</v>
      </c>
      <c r="E521" s="13" t="s">
        <v>2785</v>
      </c>
      <c r="F521" s="13" t="s">
        <v>876</v>
      </c>
      <c r="G521" s="13" t="s">
        <v>877</v>
      </c>
      <c r="H521" s="13" t="s">
        <v>2786</v>
      </c>
      <c r="I521" s="15"/>
      <c r="J521" s="1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22.5" customHeight="1">
      <c r="A522" s="35">
        <v>520.0</v>
      </c>
      <c r="B522" s="20">
        <v>74.0</v>
      </c>
      <c r="C522" s="36" t="s">
        <v>1218</v>
      </c>
      <c r="D522" s="13" t="s">
        <v>2540</v>
      </c>
      <c r="E522" s="13" t="s">
        <v>2541</v>
      </c>
      <c r="F522" s="13" t="s">
        <v>1682</v>
      </c>
      <c r="G522" s="13" t="s">
        <v>2787</v>
      </c>
      <c r="H522" s="13" t="s">
        <v>2543</v>
      </c>
      <c r="I522" s="14" t="s">
        <v>18</v>
      </c>
      <c r="J522" s="1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22.5" hidden="1" customHeight="1">
      <c r="A523" s="35">
        <v>521.0</v>
      </c>
      <c r="B523" s="20">
        <v>74.0</v>
      </c>
      <c r="C523" s="36" t="s">
        <v>1163</v>
      </c>
      <c r="D523" s="13" t="s">
        <v>2788</v>
      </c>
      <c r="E523" s="13" t="s">
        <v>2789</v>
      </c>
      <c r="F523" s="13" t="s">
        <v>2790</v>
      </c>
      <c r="G523" s="13" t="s">
        <v>2791</v>
      </c>
      <c r="H523" s="13" t="s">
        <v>2792</v>
      </c>
      <c r="I523" s="14" t="s">
        <v>18</v>
      </c>
      <c r="J523" s="1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22.5" hidden="1" customHeight="1">
      <c r="A524" s="35">
        <v>522.0</v>
      </c>
      <c r="B524" s="20">
        <v>74.0</v>
      </c>
      <c r="C524" s="36" t="s">
        <v>1163</v>
      </c>
      <c r="D524" s="13" t="s">
        <v>2793</v>
      </c>
      <c r="E524" s="13" t="s">
        <v>2794</v>
      </c>
      <c r="F524" s="13" t="s">
        <v>2795</v>
      </c>
      <c r="G524" s="13" t="s">
        <v>2796</v>
      </c>
      <c r="H524" s="13" t="s">
        <v>2797</v>
      </c>
      <c r="I524" s="14" t="s">
        <v>18</v>
      </c>
      <c r="J524" s="1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22.5" hidden="1" customHeight="1">
      <c r="A525" s="35">
        <v>523.0</v>
      </c>
      <c r="B525" s="20">
        <v>74.0</v>
      </c>
      <c r="C525" s="36" t="s">
        <v>1163</v>
      </c>
      <c r="D525" s="13" t="s">
        <v>2798</v>
      </c>
      <c r="E525" s="13" t="s">
        <v>2799</v>
      </c>
      <c r="F525" s="13" t="s">
        <v>397</v>
      </c>
      <c r="G525" s="13" t="s">
        <v>398</v>
      </c>
      <c r="H525" s="13" t="s">
        <v>2800</v>
      </c>
      <c r="I525" s="14" t="s">
        <v>18</v>
      </c>
      <c r="J525" s="1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22.5" customHeight="1">
      <c r="A526" s="35">
        <v>524.0</v>
      </c>
      <c r="B526" s="20">
        <v>74.0</v>
      </c>
      <c r="C526" s="36" t="s">
        <v>1218</v>
      </c>
      <c r="D526" s="13" t="s">
        <v>1454</v>
      </c>
      <c r="E526" s="13" t="s">
        <v>1609</v>
      </c>
      <c r="F526" s="13" t="s">
        <v>1610</v>
      </c>
      <c r="G526" s="13" t="s">
        <v>2593</v>
      </c>
      <c r="H526" s="13" t="s">
        <v>1612</v>
      </c>
      <c r="I526" s="15"/>
      <c r="J526" s="1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22.5" hidden="1" customHeight="1">
      <c r="A527" s="35">
        <v>525.0</v>
      </c>
      <c r="B527" s="20">
        <v>74.0</v>
      </c>
      <c r="C527" s="36" t="s">
        <v>1163</v>
      </c>
      <c r="D527" s="13" t="s">
        <v>2801</v>
      </c>
      <c r="E527" s="13" t="s">
        <v>2802</v>
      </c>
      <c r="F527" s="13" t="s">
        <v>2803</v>
      </c>
      <c r="G527" s="13" t="s">
        <v>2804</v>
      </c>
      <c r="H527" s="13" t="s">
        <v>1645</v>
      </c>
      <c r="I527" s="14" t="s">
        <v>18</v>
      </c>
      <c r="J527" s="1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22.5" customHeight="1">
      <c r="A528" s="35">
        <v>526.0</v>
      </c>
      <c r="B528" s="20">
        <v>74.0</v>
      </c>
      <c r="C528" s="36" t="s">
        <v>1168</v>
      </c>
      <c r="D528" s="13" t="s">
        <v>1242</v>
      </c>
      <c r="E528" s="13" t="s">
        <v>2805</v>
      </c>
      <c r="F528" s="13" t="s">
        <v>1244</v>
      </c>
      <c r="G528" s="13" t="s">
        <v>1914</v>
      </c>
      <c r="H528" s="13" t="s">
        <v>1246</v>
      </c>
      <c r="I528" s="14" t="s">
        <v>18</v>
      </c>
      <c r="J528" s="1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22.5" customHeight="1">
      <c r="A529" s="35">
        <v>527.0</v>
      </c>
      <c r="B529" s="20">
        <v>74.0</v>
      </c>
      <c r="C529" s="36" t="s">
        <v>1168</v>
      </c>
      <c r="D529" s="13" t="s">
        <v>1379</v>
      </c>
      <c r="E529" s="13" t="s">
        <v>2806</v>
      </c>
      <c r="F529" s="13" t="s">
        <v>1381</v>
      </c>
      <c r="G529" s="13" t="s">
        <v>1382</v>
      </c>
      <c r="H529" s="13" t="s">
        <v>1383</v>
      </c>
      <c r="I529" s="15"/>
      <c r="J529" s="1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22.5" customHeight="1">
      <c r="A530" s="35">
        <v>528.0</v>
      </c>
      <c r="B530" s="20">
        <v>74.0</v>
      </c>
      <c r="C530" s="36" t="s">
        <v>1168</v>
      </c>
      <c r="D530" s="13" t="s">
        <v>1519</v>
      </c>
      <c r="E530" s="13" t="s">
        <v>1520</v>
      </c>
      <c r="F530" s="13" t="s">
        <v>1521</v>
      </c>
      <c r="G530" s="13" t="s">
        <v>1522</v>
      </c>
      <c r="H530" s="13" t="s">
        <v>1523</v>
      </c>
      <c r="I530" s="15"/>
      <c r="J530" s="1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22.5" customHeight="1">
      <c r="A531" s="35">
        <v>529.0</v>
      </c>
      <c r="B531" s="20">
        <v>74.0</v>
      </c>
      <c r="C531" s="36" t="s">
        <v>1218</v>
      </c>
      <c r="D531" s="13" t="s">
        <v>1389</v>
      </c>
      <c r="E531" s="13" t="s">
        <v>2807</v>
      </c>
      <c r="F531" s="13" t="s">
        <v>1391</v>
      </c>
      <c r="G531" s="13" t="s">
        <v>2808</v>
      </c>
      <c r="H531" s="11" t="s">
        <v>1393</v>
      </c>
      <c r="I531" s="15"/>
      <c r="J531" s="1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22.5" customHeight="1">
      <c r="A532" s="35">
        <v>530.0</v>
      </c>
      <c r="B532" s="20">
        <v>74.0</v>
      </c>
      <c r="C532" s="36" t="s">
        <v>1168</v>
      </c>
      <c r="D532" s="13" t="s">
        <v>1555</v>
      </c>
      <c r="E532" s="13" t="s">
        <v>1556</v>
      </c>
      <c r="F532" s="13" t="s">
        <v>1557</v>
      </c>
      <c r="G532" s="13" t="s">
        <v>462</v>
      </c>
      <c r="H532" s="13" t="s">
        <v>1558</v>
      </c>
      <c r="I532" s="14" t="s">
        <v>18</v>
      </c>
      <c r="J532" s="14" t="s">
        <v>18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22.5" customHeight="1">
      <c r="A533" s="35">
        <v>531.0</v>
      </c>
      <c r="B533" s="20">
        <v>74.0</v>
      </c>
      <c r="C533" s="36" t="s">
        <v>1218</v>
      </c>
      <c r="D533" s="13" t="s">
        <v>1625</v>
      </c>
      <c r="E533" s="13" t="s">
        <v>2809</v>
      </c>
      <c r="F533" s="13" t="s">
        <v>1627</v>
      </c>
      <c r="G533" s="13" t="s">
        <v>2810</v>
      </c>
      <c r="H533" s="13" t="s">
        <v>1629</v>
      </c>
      <c r="I533" s="15"/>
      <c r="J533" s="1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22.5" customHeight="1">
      <c r="A534" s="35">
        <v>532.0</v>
      </c>
      <c r="B534" s="20">
        <v>74.0</v>
      </c>
      <c r="C534" s="36" t="s">
        <v>1218</v>
      </c>
      <c r="D534" s="13" t="s">
        <v>1484</v>
      </c>
      <c r="E534" s="13" t="s">
        <v>2811</v>
      </c>
      <c r="F534" s="13" t="s">
        <v>1486</v>
      </c>
      <c r="G534" s="13" t="s">
        <v>2812</v>
      </c>
      <c r="H534" s="13" t="s">
        <v>1488</v>
      </c>
      <c r="I534" s="14" t="s">
        <v>18</v>
      </c>
      <c r="J534" s="1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22.5" customHeight="1">
      <c r="A535" s="35">
        <v>533.0</v>
      </c>
      <c r="B535" s="20">
        <v>74.0</v>
      </c>
      <c r="C535" s="36" t="s">
        <v>1218</v>
      </c>
      <c r="D535" s="13" t="s">
        <v>1489</v>
      </c>
      <c r="E535" s="13" t="s">
        <v>2813</v>
      </c>
      <c r="F535" s="13" t="s">
        <v>1491</v>
      </c>
      <c r="G535" s="13" t="s">
        <v>2814</v>
      </c>
      <c r="H535" s="13" t="s">
        <v>1493</v>
      </c>
      <c r="I535" s="15"/>
      <c r="J535" s="1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22.5" hidden="1" customHeight="1">
      <c r="A536" s="35">
        <v>534.0</v>
      </c>
      <c r="B536" s="20">
        <v>74.0</v>
      </c>
      <c r="C536" s="36" t="s">
        <v>1163</v>
      </c>
      <c r="D536" s="13" t="s">
        <v>2815</v>
      </c>
      <c r="E536" s="13" t="s">
        <v>2816</v>
      </c>
      <c r="F536" s="13" t="s">
        <v>2817</v>
      </c>
      <c r="G536" s="13" t="s">
        <v>2818</v>
      </c>
      <c r="H536" s="13" t="s">
        <v>2819</v>
      </c>
      <c r="I536" s="14" t="s">
        <v>18</v>
      </c>
      <c r="J536" s="1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22.5" customHeight="1">
      <c r="A537" s="35">
        <v>535.0</v>
      </c>
      <c r="B537" s="20">
        <v>73.0</v>
      </c>
      <c r="C537" s="36" t="s">
        <v>1218</v>
      </c>
      <c r="D537" s="13" t="s">
        <v>2355</v>
      </c>
      <c r="E537" s="13" t="s">
        <v>2820</v>
      </c>
      <c r="F537" s="13" t="s">
        <v>1229</v>
      </c>
      <c r="G537" s="13" t="s">
        <v>2821</v>
      </c>
      <c r="H537" s="13" t="s">
        <v>1231</v>
      </c>
      <c r="I537" s="15"/>
      <c r="J537" s="1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22.5" customHeight="1">
      <c r="A538" s="35">
        <v>536.0</v>
      </c>
      <c r="B538" s="20">
        <v>73.0</v>
      </c>
      <c r="C538" s="36" t="s">
        <v>1218</v>
      </c>
      <c r="D538" s="13" t="s">
        <v>1993</v>
      </c>
      <c r="E538" s="13" t="s">
        <v>1994</v>
      </c>
      <c r="F538" s="13" t="s">
        <v>1995</v>
      </c>
      <c r="G538" s="13" t="s">
        <v>1996</v>
      </c>
      <c r="H538" s="13" t="s">
        <v>1997</v>
      </c>
      <c r="I538" s="15"/>
      <c r="J538" s="1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22.5" hidden="1" customHeight="1">
      <c r="A539" s="35">
        <v>537.0</v>
      </c>
      <c r="B539" s="20">
        <v>73.0</v>
      </c>
      <c r="C539" s="36" t="s">
        <v>1163</v>
      </c>
      <c r="D539" s="13" t="s">
        <v>2822</v>
      </c>
      <c r="E539" s="13" t="s">
        <v>2823</v>
      </c>
      <c r="F539" s="13" t="s">
        <v>2824</v>
      </c>
      <c r="G539" s="13" t="s">
        <v>2825</v>
      </c>
      <c r="H539" s="13" t="s">
        <v>2826</v>
      </c>
      <c r="I539" s="15"/>
      <c r="J539" s="1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22.5" hidden="1" customHeight="1">
      <c r="A540" s="35">
        <v>538.0</v>
      </c>
      <c r="B540" s="20">
        <v>73.0</v>
      </c>
      <c r="C540" s="36" t="s">
        <v>1163</v>
      </c>
      <c r="D540" s="13" t="s">
        <v>2827</v>
      </c>
      <c r="E540" s="13" t="s">
        <v>2828</v>
      </c>
      <c r="F540" s="13" t="s">
        <v>1958</v>
      </c>
      <c r="G540" s="13" t="s">
        <v>1959</v>
      </c>
      <c r="H540" s="13" t="s">
        <v>1960</v>
      </c>
      <c r="I540" s="15"/>
      <c r="J540" s="1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22.5" customHeight="1">
      <c r="A541" s="35">
        <v>539.0</v>
      </c>
      <c r="B541" s="20">
        <v>73.0</v>
      </c>
      <c r="C541" s="36" t="s">
        <v>1168</v>
      </c>
      <c r="D541" s="13" t="s">
        <v>2228</v>
      </c>
      <c r="E541" s="13" t="s">
        <v>2229</v>
      </c>
      <c r="F541" s="13" t="s">
        <v>2230</v>
      </c>
      <c r="G541" s="13" t="s">
        <v>2231</v>
      </c>
      <c r="H541" s="21" t="s">
        <v>2232</v>
      </c>
      <c r="I541" s="14" t="s">
        <v>18</v>
      </c>
      <c r="J541" s="1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22.5" customHeight="1">
      <c r="A542" s="35">
        <v>540.0</v>
      </c>
      <c r="B542" s="20">
        <v>73.0</v>
      </c>
      <c r="C542" s="36" t="s">
        <v>1168</v>
      </c>
      <c r="D542" s="13" t="s">
        <v>1728</v>
      </c>
      <c r="E542" s="13" t="s">
        <v>2829</v>
      </c>
      <c r="F542" s="13" t="s">
        <v>1730</v>
      </c>
      <c r="G542" s="13" t="s">
        <v>2830</v>
      </c>
      <c r="H542" s="13" t="s">
        <v>1732</v>
      </c>
      <c r="I542" s="14" t="s">
        <v>18</v>
      </c>
      <c r="J542" s="1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22.5" customHeight="1">
      <c r="A543" s="35">
        <v>541.0</v>
      </c>
      <c r="B543" s="20">
        <v>73.0</v>
      </c>
      <c r="C543" s="36" t="s">
        <v>1168</v>
      </c>
      <c r="D543" s="13" t="s">
        <v>2831</v>
      </c>
      <c r="E543" s="13" t="s">
        <v>2832</v>
      </c>
      <c r="F543" s="13" t="s">
        <v>2833</v>
      </c>
      <c r="G543" s="13" t="s">
        <v>2834</v>
      </c>
      <c r="H543" s="13" t="s">
        <v>2835</v>
      </c>
      <c r="I543" s="14" t="s">
        <v>18</v>
      </c>
      <c r="J543" s="1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22.5" hidden="1" customHeight="1">
      <c r="A544" s="35">
        <v>542.0</v>
      </c>
      <c r="B544" s="20">
        <v>73.0</v>
      </c>
      <c r="C544" s="36" t="s">
        <v>1163</v>
      </c>
      <c r="D544" s="13" t="s">
        <v>2836</v>
      </c>
      <c r="E544" s="13" t="s">
        <v>2837</v>
      </c>
      <c r="F544" s="13" t="s">
        <v>2838</v>
      </c>
      <c r="G544" s="13" t="s">
        <v>2839</v>
      </c>
      <c r="H544" s="13" t="s">
        <v>2840</v>
      </c>
      <c r="I544" s="14" t="s">
        <v>18</v>
      </c>
      <c r="J544" s="1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22.5" customHeight="1">
      <c r="A545" s="35">
        <v>543.0</v>
      </c>
      <c r="B545" s="20">
        <v>73.0</v>
      </c>
      <c r="C545" s="36" t="s">
        <v>1168</v>
      </c>
      <c r="D545" s="13" t="s">
        <v>1214</v>
      </c>
      <c r="E545" s="13" t="s">
        <v>2841</v>
      </c>
      <c r="F545" s="13" t="s">
        <v>1215</v>
      </c>
      <c r="G545" s="13" t="s">
        <v>2414</v>
      </c>
      <c r="H545" s="13" t="s">
        <v>1217</v>
      </c>
      <c r="I545" s="15"/>
      <c r="J545" s="1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22.5" customHeight="1">
      <c r="A546" s="35">
        <v>544.0</v>
      </c>
      <c r="B546" s="20">
        <v>73.0</v>
      </c>
      <c r="C546" s="36" t="s">
        <v>1168</v>
      </c>
      <c r="D546" s="13" t="s">
        <v>1265</v>
      </c>
      <c r="E546" s="13" t="s">
        <v>1266</v>
      </c>
      <c r="F546" s="13" t="s">
        <v>1267</v>
      </c>
      <c r="G546" s="13" t="s">
        <v>1268</v>
      </c>
      <c r="H546" s="13" t="s">
        <v>1269</v>
      </c>
      <c r="I546" s="15"/>
      <c r="J546" s="1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22.5" customHeight="1">
      <c r="A547" s="35">
        <v>545.0</v>
      </c>
      <c r="B547" s="20">
        <v>73.0</v>
      </c>
      <c r="C547" s="36" t="s">
        <v>1168</v>
      </c>
      <c r="D547" s="13" t="s">
        <v>2842</v>
      </c>
      <c r="E547" s="13" t="s">
        <v>2843</v>
      </c>
      <c r="F547" s="13" t="s">
        <v>695</v>
      </c>
      <c r="G547" s="13" t="s">
        <v>696</v>
      </c>
      <c r="H547" s="13" t="s">
        <v>2844</v>
      </c>
      <c r="I547" s="14" t="s">
        <v>18</v>
      </c>
      <c r="J547" s="1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22.5" customHeight="1">
      <c r="A548" s="35">
        <v>546.0</v>
      </c>
      <c r="B548" s="20">
        <v>73.0</v>
      </c>
      <c r="C548" s="36" t="s">
        <v>1168</v>
      </c>
      <c r="D548" s="13" t="s">
        <v>1988</v>
      </c>
      <c r="E548" s="13" t="s">
        <v>2845</v>
      </c>
      <c r="F548" s="13" t="s">
        <v>1990</v>
      </c>
      <c r="G548" s="13" t="s">
        <v>1991</v>
      </c>
      <c r="H548" s="13" t="s">
        <v>1992</v>
      </c>
      <c r="I548" s="14" t="s">
        <v>18</v>
      </c>
      <c r="J548" s="14" t="s">
        <v>18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22.5" hidden="1" customHeight="1">
      <c r="A549" s="35">
        <v>547.0</v>
      </c>
      <c r="B549" s="20">
        <v>73.0</v>
      </c>
      <c r="C549" s="36" t="s">
        <v>1163</v>
      </c>
      <c r="D549" s="13" t="s">
        <v>1630</v>
      </c>
      <c r="E549" s="13" t="s">
        <v>2846</v>
      </c>
      <c r="F549" s="13" t="s">
        <v>1632</v>
      </c>
      <c r="G549" s="13" t="s">
        <v>1633</v>
      </c>
      <c r="H549" s="13" t="s">
        <v>1634</v>
      </c>
      <c r="I549" s="14" t="s">
        <v>18</v>
      </c>
      <c r="J549" s="1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22.5" hidden="1" customHeight="1">
      <c r="A550" s="35">
        <v>548.0</v>
      </c>
      <c r="B550" s="20">
        <v>73.0</v>
      </c>
      <c r="C550" s="36" t="s">
        <v>1163</v>
      </c>
      <c r="D550" s="13" t="s">
        <v>2702</v>
      </c>
      <c r="E550" s="13" t="s">
        <v>2847</v>
      </c>
      <c r="F550" s="13" t="s">
        <v>539</v>
      </c>
      <c r="G550" s="13" t="s">
        <v>540</v>
      </c>
      <c r="H550" s="13" t="s">
        <v>2706</v>
      </c>
      <c r="I550" s="15"/>
      <c r="J550" s="1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22.5" customHeight="1">
      <c r="A551" s="35">
        <v>549.0</v>
      </c>
      <c r="B551" s="20">
        <v>73.0</v>
      </c>
      <c r="C551" s="36" t="s">
        <v>1218</v>
      </c>
      <c r="D551" s="13" t="s">
        <v>2848</v>
      </c>
      <c r="E551" s="13" t="s">
        <v>2849</v>
      </c>
      <c r="F551" s="13" t="s">
        <v>2850</v>
      </c>
      <c r="G551" s="13" t="s">
        <v>2851</v>
      </c>
      <c r="H551" s="13" t="s">
        <v>2852</v>
      </c>
      <c r="I551" s="15"/>
      <c r="J551" s="1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22.5" customHeight="1">
      <c r="A552" s="35">
        <v>550.0</v>
      </c>
      <c r="B552" s="20">
        <v>72.0</v>
      </c>
      <c r="C552" s="36" t="s">
        <v>1218</v>
      </c>
      <c r="D552" s="13" t="s">
        <v>1714</v>
      </c>
      <c r="E552" s="13" t="s">
        <v>2853</v>
      </c>
      <c r="F552" s="13" t="s">
        <v>1716</v>
      </c>
      <c r="G552" s="13" t="s">
        <v>1946</v>
      </c>
      <c r="H552" s="13" t="s">
        <v>1718</v>
      </c>
      <c r="I552" s="14" t="s">
        <v>18</v>
      </c>
      <c r="J552" s="1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22.5" customHeight="1">
      <c r="A553" s="35">
        <v>551.0</v>
      </c>
      <c r="B553" s="20">
        <v>72.0</v>
      </c>
      <c r="C553" s="36" t="s">
        <v>1168</v>
      </c>
      <c r="D553" s="13" t="s">
        <v>2504</v>
      </c>
      <c r="E553" s="13" t="s">
        <v>2854</v>
      </c>
      <c r="F553" s="13" t="s">
        <v>2506</v>
      </c>
      <c r="G553" s="13" t="s">
        <v>2714</v>
      </c>
      <c r="H553" s="13" t="s">
        <v>2508</v>
      </c>
      <c r="I553" s="15"/>
      <c r="J553" s="1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22.5" customHeight="1">
      <c r="A554" s="35">
        <v>552.0</v>
      </c>
      <c r="B554" s="20">
        <v>72.0</v>
      </c>
      <c r="C554" s="36" t="s">
        <v>1218</v>
      </c>
      <c r="D554" s="13" t="s">
        <v>1993</v>
      </c>
      <c r="E554" s="13" t="s">
        <v>1994</v>
      </c>
      <c r="F554" s="13" t="s">
        <v>1995</v>
      </c>
      <c r="G554" s="13" t="s">
        <v>1996</v>
      </c>
      <c r="H554" s="13" t="s">
        <v>1997</v>
      </c>
      <c r="I554" s="14" t="s">
        <v>18</v>
      </c>
      <c r="J554" s="1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22.5" customHeight="1">
      <c r="A555" s="35">
        <v>553.0</v>
      </c>
      <c r="B555" s="20">
        <v>72.0</v>
      </c>
      <c r="C555" s="36" t="s">
        <v>1168</v>
      </c>
      <c r="D555" s="13" t="s">
        <v>1839</v>
      </c>
      <c r="E555" s="13" t="s">
        <v>1445</v>
      </c>
      <c r="F555" s="13" t="s">
        <v>1840</v>
      </c>
      <c r="G555" s="13" t="s">
        <v>1841</v>
      </c>
      <c r="H555" s="13" t="s">
        <v>1448</v>
      </c>
      <c r="I555" s="15"/>
      <c r="J555" s="1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22.5" hidden="1" customHeight="1">
      <c r="A556" s="35">
        <v>554.0</v>
      </c>
      <c r="B556" s="20">
        <v>72.0</v>
      </c>
      <c r="C556" s="36" t="s">
        <v>1163</v>
      </c>
      <c r="D556" s="13" t="s">
        <v>2855</v>
      </c>
      <c r="E556" s="13" t="s">
        <v>2856</v>
      </c>
      <c r="F556" s="13" t="s">
        <v>2857</v>
      </c>
      <c r="G556" s="13" t="s">
        <v>2858</v>
      </c>
      <c r="H556" s="13" t="s">
        <v>2859</v>
      </c>
      <c r="I556" s="14" t="s">
        <v>18</v>
      </c>
      <c r="J556" s="1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22.5" customHeight="1">
      <c r="A557" s="35">
        <v>555.0</v>
      </c>
      <c r="B557" s="20">
        <v>72.0</v>
      </c>
      <c r="C557" s="36" t="s">
        <v>1218</v>
      </c>
      <c r="D557" s="13" t="s">
        <v>2860</v>
      </c>
      <c r="E557" s="13" t="s">
        <v>2861</v>
      </c>
      <c r="F557" s="13" t="s">
        <v>2862</v>
      </c>
      <c r="G557" s="13" t="s">
        <v>2863</v>
      </c>
      <c r="H557" s="13" t="s">
        <v>2864</v>
      </c>
      <c r="I557" s="14" t="s">
        <v>18</v>
      </c>
      <c r="J557" s="1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22.5" customHeight="1">
      <c r="A558" s="35">
        <v>556.0</v>
      </c>
      <c r="B558" s="20">
        <v>72.0</v>
      </c>
      <c r="C558" s="36" t="s">
        <v>1168</v>
      </c>
      <c r="D558" s="13" t="s">
        <v>1725</v>
      </c>
      <c r="E558" s="13" t="s">
        <v>2865</v>
      </c>
      <c r="F558" s="13" t="s">
        <v>1726</v>
      </c>
      <c r="G558" s="13" t="s">
        <v>1727</v>
      </c>
      <c r="H558" s="13" t="s">
        <v>1383</v>
      </c>
      <c r="I558" s="14" t="s">
        <v>18</v>
      </c>
      <c r="J558" s="14" t="s">
        <v>18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22.5" customHeight="1">
      <c r="A559" s="35">
        <v>557.0</v>
      </c>
      <c r="B559" s="20">
        <v>72.0</v>
      </c>
      <c r="C559" s="36" t="s">
        <v>1168</v>
      </c>
      <c r="D559" s="13" t="s">
        <v>2866</v>
      </c>
      <c r="E559" s="13" t="s">
        <v>2867</v>
      </c>
      <c r="F559" s="13" t="s">
        <v>2868</v>
      </c>
      <c r="G559" s="13" t="s">
        <v>2869</v>
      </c>
      <c r="H559" s="13" t="s">
        <v>1861</v>
      </c>
      <c r="I559" s="14" t="s">
        <v>18</v>
      </c>
      <c r="J559" s="1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22.5" customHeight="1">
      <c r="A560" s="35">
        <v>558.0</v>
      </c>
      <c r="B560" s="20">
        <v>72.0</v>
      </c>
      <c r="C560" s="36" t="s">
        <v>1168</v>
      </c>
      <c r="D560" s="13" t="s">
        <v>2568</v>
      </c>
      <c r="E560" s="13" t="s">
        <v>2289</v>
      </c>
      <c r="F560" s="13" t="s">
        <v>2570</v>
      </c>
      <c r="G560" s="13" t="s">
        <v>2571</v>
      </c>
      <c r="H560" s="13" t="s">
        <v>1340</v>
      </c>
      <c r="I560" s="14" t="s">
        <v>18</v>
      </c>
      <c r="J560" s="1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22.5" customHeight="1">
      <c r="A561" s="35">
        <v>559.0</v>
      </c>
      <c r="B561" s="20">
        <v>72.0</v>
      </c>
      <c r="C561" s="36" t="s">
        <v>1168</v>
      </c>
      <c r="D561" s="13" t="s">
        <v>2575</v>
      </c>
      <c r="E561" s="13" t="s">
        <v>2064</v>
      </c>
      <c r="F561" s="13" t="s">
        <v>2576</v>
      </c>
      <c r="G561" s="13" t="s">
        <v>2577</v>
      </c>
      <c r="H561" s="13" t="s">
        <v>1528</v>
      </c>
      <c r="I561" s="14" t="s">
        <v>18</v>
      </c>
      <c r="J561" s="1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22.5" customHeight="1">
      <c r="A562" s="35">
        <v>560.0</v>
      </c>
      <c r="B562" s="20">
        <v>72.0</v>
      </c>
      <c r="C562" s="36" t="s">
        <v>1168</v>
      </c>
      <c r="D562" s="13" t="s">
        <v>2452</v>
      </c>
      <c r="E562" s="13" t="s">
        <v>2870</v>
      </c>
      <c r="F562" s="13" t="s">
        <v>2454</v>
      </c>
      <c r="G562" s="13" t="s">
        <v>2455</v>
      </c>
      <c r="H562" s="13" t="s">
        <v>2456</v>
      </c>
      <c r="I562" s="15"/>
      <c r="J562" s="1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22.5" hidden="1" customHeight="1">
      <c r="A563" s="35">
        <v>561.0</v>
      </c>
      <c r="B563" s="20">
        <v>72.0</v>
      </c>
      <c r="C563" s="36" t="s">
        <v>1163</v>
      </c>
      <c r="D563" s="13" t="s">
        <v>2871</v>
      </c>
      <c r="E563" s="13" t="s">
        <v>2872</v>
      </c>
      <c r="F563" s="13" t="s">
        <v>2873</v>
      </c>
      <c r="G563" s="13" t="s">
        <v>2874</v>
      </c>
      <c r="H563" s="13" t="s">
        <v>2875</v>
      </c>
      <c r="I563" s="14" t="s">
        <v>18</v>
      </c>
      <c r="J563" s="1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22.5" hidden="1" customHeight="1">
      <c r="A564" s="35">
        <v>562.0</v>
      </c>
      <c r="B564" s="20">
        <v>72.0</v>
      </c>
      <c r="C564" s="36" t="s">
        <v>1163</v>
      </c>
      <c r="D564" s="13" t="s">
        <v>2876</v>
      </c>
      <c r="E564" s="13" t="s">
        <v>2877</v>
      </c>
      <c r="F564" s="13" t="s">
        <v>1090</v>
      </c>
      <c r="G564" s="13" t="s">
        <v>1091</v>
      </c>
      <c r="H564" s="13" t="s">
        <v>2376</v>
      </c>
      <c r="I564" s="15"/>
      <c r="J564" s="1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22.5" hidden="1" customHeight="1">
      <c r="A565" s="35">
        <v>563.0</v>
      </c>
      <c r="B565" s="20">
        <v>72.0</v>
      </c>
      <c r="C565" s="36" t="s">
        <v>1163</v>
      </c>
      <c r="D565" s="13" t="s">
        <v>2295</v>
      </c>
      <c r="E565" s="13" t="s">
        <v>2878</v>
      </c>
      <c r="F565" s="13" t="s">
        <v>405</v>
      </c>
      <c r="G565" s="13" t="s">
        <v>406</v>
      </c>
      <c r="H565" s="21" t="s">
        <v>2297</v>
      </c>
      <c r="I565" s="15"/>
      <c r="J565" s="1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22.5" hidden="1" customHeight="1">
      <c r="A566" s="35">
        <v>564.0</v>
      </c>
      <c r="B566" s="20">
        <v>72.0</v>
      </c>
      <c r="C566" s="36" t="s">
        <v>1163</v>
      </c>
      <c r="D566" s="13" t="s">
        <v>2298</v>
      </c>
      <c r="E566" s="13" t="s">
        <v>2879</v>
      </c>
      <c r="F566" s="13" t="s">
        <v>2300</v>
      </c>
      <c r="G566" s="13" t="s">
        <v>2301</v>
      </c>
      <c r="H566" s="13" t="s">
        <v>2302</v>
      </c>
      <c r="I566" s="15"/>
      <c r="J566" s="1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22.5" hidden="1" customHeight="1">
      <c r="A567" s="35">
        <v>565.0</v>
      </c>
      <c r="B567" s="20">
        <v>71.0</v>
      </c>
      <c r="C567" s="36" t="s">
        <v>1163</v>
      </c>
      <c r="D567" s="13" t="s">
        <v>2880</v>
      </c>
      <c r="E567" s="13" t="s">
        <v>2881</v>
      </c>
      <c r="F567" s="13" t="s">
        <v>2882</v>
      </c>
      <c r="G567" s="13" t="s">
        <v>2883</v>
      </c>
      <c r="H567" s="13" t="s">
        <v>2884</v>
      </c>
      <c r="I567" s="15"/>
      <c r="J567" s="1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22.5" customHeight="1">
      <c r="A568" s="35">
        <v>566.0</v>
      </c>
      <c r="B568" s="20">
        <v>71.0</v>
      </c>
      <c r="C568" s="36" t="s">
        <v>1168</v>
      </c>
      <c r="D568" s="13" t="s">
        <v>1232</v>
      </c>
      <c r="E568" s="13" t="s">
        <v>2754</v>
      </c>
      <c r="F568" s="13" t="s">
        <v>1234</v>
      </c>
      <c r="G568" s="13" t="s">
        <v>1235</v>
      </c>
      <c r="H568" s="13" t="s">
        <v>1236</v>
      </c>
      <c r="I568" s="14" t="s">
        <v>18</v>
      </c>
      <c r="J568" s="1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22.5" customHeight="1">
      <c r="A569" s="35">
        <v>567.0</v>
      </c>
      <c r="B569" s="20">
        <v>71.0</v>
      </c>
      <c r="C569" s="36" t="s">
        <v>1218</v>
      </c>
      <c r="D569" s="13" t="s">
        <v>1373</v>
      </c>
      <c r="E569" s="13" t="s">
        <v>2885</v>
      </c>
      <c r="F569" s="13" t="s">
        <v>1375</v>
      </c>
      <c r="G569" s="13" t="s">
        <v>2675</v>
      </c>
      <c r="H569" s="9" t="s">
        <v>1377</v>
      </c>
      <c r="I569" s="14" t="s">
        <v>18</v>
      </c>
      <c r="J569" s="14" t="s">
        <v>18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22.5" customHeight="1">
      <c r="A570" s="35">
        <v>568.0</v>
      </c>
      <c r="B570" s="20">
        <v>71.0</v>
      </c>
      <c r="C570" s="36" t="s">
        <v>1168</v>
      </c>
      <c r="D570" s="13" t="s">
        <v>2886</v>
      </c>
      <c r="E570" s="13" t="s">
        <v>1170</v>
      </c>
      <c r="F570" s="13" t="s">
        <v>2887</v>
      </c>
      <c r="G570" s="13" t="s">
        <v>2888</v>
      </c>
      <c r="H570" s="13" t="s">
        <v>1173</v>
      </c>
      <c r="I570" s="14" t="s">
        <v>18</v>
      </c>
      <c r="J570" s="1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22.5" customHeight="1">
      <c r="A571" s="35">
        <v>569.0</v>
      </c>
      <c r="B571" s="20">
        <v>71.0</v>
      </c>
      <c r="C571" s="36" t="s">
        <v>1168</v>
      </c>
      <c r="D571" s="13" t="s">
        <v>1808</v>
      </c>
      <c r="E571" s="13" t="s">
        <v>1556</v>
      </c>
      <c r="F571" s="13" t="s">
        <v>1809</v>
      </c>
      <c r="G571" s="13" t="s">
        <v>1810</v>
      </c>
      <c r="H571" s="13" t="s">
        <v>1558</v>
      </c>
      <c r="I571" s="15"/>
      <c r="J571" s="1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22.5" customHeight="1">
      <c r="A572" s="35">
        <v>570.0</v>
      </c>
      <c r="B572" s="20">
        <v>71.0</v>
      </c>
      <c r="C572" s="36" t="s">
        <v>1218</v>
      </c>
      <c r="D572" s="13" t="s">
        <v>2889</v>
      </c>
      <c r="E572" s="13" t="s">
        <v>2890</v>
      </c>
      <c r="F572" s="13" t="s">
        <v>2891</v>
      </c>
      <c r="G572" s="13" t="s">
        <v>2892</v>
      </c>
      <c r="H572" s="13" t="s">
        <v>2893</v>
      </c>
      <c r="I572" s="14" t="s">
        <v>18</v>
      </c>
      <c r="J572" s="1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22.5" customHeight="1">
      <c r="A573" s="35">
        <v>571.0</v>
      </c>
      <c r="B573" s="20">
        <v>71.0</v>
      </c>
      <c r="C573" s="36" t="s">
        <v>1168</v>
      </c>
      <c r="D573" s="13" t="s">
        <v>2894</v>
      </c>
      <c r="E573" s="13" t="s">
        <v>2895</v>
      </c>
      <c r="F573" s="13" t="s">
        <v>2896</v>
      </c>
      <c r="G573" s="13" t="s">
        <v>2897</v>
      </c>
      <c r="H573" s="13" t="s">
        <v>2898</v>
      </c>
      <c r="I573" s="14" t="s">
        <v>18</v>
      </c>
      <c r="J573" s="1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22.5" hidden="1" customHeight="1">
      <c r="A574" s="35">
        <v>572.0</v>
      </c>
      <c r="B574" s="20">
        <v>71.0</v>
      </c>
      <c r="C574" s="36" t="s">
        <v>1163</v>
      </c>
      <c r="D574" s="13" t="s">
        <v>2737</v>
      </c>
      <c r="E574" s="13" t="s">
        <v>2899</v>
      </c>
      <c r="F574" s="13" t="s">
        <v>2739</v>
      </c>
      <c r="G574" s="13" t="s">
        <v>2740</v>
      </c>
      <c r="H574" s="13" t="s">
        <v>2523</v>
      </c>
      <c r="I574" s="15"/>
      <c r="J574" s="1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22.5" customHeight="1">
      <c r="A575" s="35">
        <v>573.0</v>
      </c>
      <c r="B575" s="20">
        <v>71.0</v>
      </c>
      <c r="C575" s="36" t="s">
        <v>1218</v>
      </c>
      <c r="D575" s="13" t="s">
        <v>1981</v>
      </c>
      <c r="E575" s="13" t="s">
        <v>2900</v>
      </c>
      <c r="F575" s="13" t="s">
        <v>1983</v>
      </c>
      <c r="G575" s="13" t="s">
        <v>1984</v>
      </c>
      <c r="H575" s="13" t="s">
        <v>1985</v>
      </c>
      <c r="I575" s="14" t="s">
        <v>18</v>
      </c>
      <c r="J575" s="1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22.5" customHeight="1">
      <c r="A576" s="35">
        <v>574.0</v>
      </c>
      <c r="B576" s="20">
        <v>71.0</v>
      </c>
      <c r="C576" s="36" t="s">
        <v>1168</v>
      </c>
      <c r="D576" s="13" t="s">
        <v>1776</v>
      </c>
      <c r="E576" s="13" t="s">
        <v>1777</v>
      </c>
      <c r="F576" s="13" t="s">
        <v>1778</v>
      </c>
      <c r="G576" s="13" t="s">
        <v>1779</v>
      </c>
      <c r="H576" s="13" t="s">
        <v>1780</v>
      </c>
      <c r="I576" s="15"/>
      <c r="J576" s="1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22.5" customHeight="1">
      <c r="A577" s="35">
        <v>575.0</v>
      </c>
      <c r="B577" s="20">
        <v>71.0</v>
      </c>
      <c r="C577" s="36" t="s">
        <v>1168</v>
      </c>
      <c r="D577" s="13" t="s">
        <v>2028</v>
      </c>
      <c r="E577" s="13" t="s">
        <v>2029</v>
      </c>
      <c r="F577" s="13" t="s">
        <v>2030</v>
      </c>
      <c r="G577" s="13" t="s">
        <v>2901</v>
      </c>
      <c r="H577" s="13" t="s">
        <v>2032</v>
      </c>
      <c r="I577" s="14" t="s">
        <v>18</v>
      </c>
      <c r="J577" s="1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22.5" hidden="1" customHeight="1">
      <c r="A578" s="35">
        <v>576.0</v>
      </c>
      <c r="B578" s="20">
        <v>71.0</v>
      </c>
      <c r="C578" s="36" t="s">
        <v>1163</v>
      </c>
      <c r="D578" s="13" t="s">
        <v>2780</v>
      </c>
      <c r="E578" s="13" t="s">
        <v>2902</v>
      </c>
      <c r="F578" s="13" t="s">
        <v>2782</v>
      </c>
      <c r="G578" s="13" t="s">
        <v>2783</v>
      </c>
      <c r="H578" s="13" t="s">
        <v>1881</v>
      </c>
      <c r="I578" s="14" t="s">
        <v>18</v>
      </c>
      <c r="J578" s="1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22.5" hidden="1" customHeight="1">
      <c r="A579" s="35">
        <v>577.0</v>
      </c>
      <c r="B579" s="20">
        <v>71.0</v>
      </c>
      <c r="C579" s="36" t="s">
        <v>1163</v>
      </c>
      <c r="D579" s="13" t="s">
        <v>2903</v>
      </c>
      <c r="E579" s="13" t="s">
        <v>2904</v>
      </c>
      <c r="F579" s="13" t="s">
        <v>1355</v>
      </c>
      <c r="G579" s="13" t="s">
        <v>1356</v>
      </c>
      <c r="H579" s="13" t="s">
        <v>2905</v>
      </c>
      <c r="I579" s="14" t="s">
        <v>18</v>
      </c>
      <c r="J579" s="1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22.5" customHeight="1">
      <c r="A580" s="35">
        <v>578.0</v>
      </c>
      <c r="B580" s="20">
        <v>71.0</v>
      </c>
      <c r="C580" s="36" t="s">
        <v>1218</v>
      </c>
      <c r="D580" s="13" t="s">
        <v>2906</v>
      </c>
      <c r="E580" s="13" t="s">
        <v>2907</v>
      </c>
      <c r="F580" s="13" t="s">
        <v>2699</v>
      </c>
      <c r="G580" s="13" t="s">
        <v>2700</v>
      </c>
      <c r="H580" s="13" t="s">
        <v>2701</v>
      </c>
      <c r="I580" s="15"/>
      <c r="J580" s="1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22.5" hidden="1" customHeight="1">
      <c r="A581" s="35">
        <v>579.0</v>
      </c>
      <c r="B581" s="20">
        <v>71.0</v>
      </c>
      <c r="C581" s="36" t="s">
        <v>1163</v>
      </c>
      <c r="D581" s="13" t="s">
        <v>2908</v>
      </c>
      <c r="E581" s="13" t="s">
        <v>2909</v>
      </c>
      <c r="F581" s="13" t="s">
        <v>512</v>
      </c>
      <c r="G581" s="13" t="s">
        <v>2910</v>
      </c>
      <c r="H581" s="13" t="s">
        <v>2589</v>
      </c>
      <c r="I581" s="15"/>
      <c r="J581" s="1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22.5" customHeight="1">
      <c r="A582" s="35">
        <v>580.0</v>
      </c>
      <c r="B582" s="20">
        <v>70.0</v>
      </c>
      <c r="C582" s="36" t="s">
        <v>1218</v>
      </c>
      <c r="D582" s="13" t="s">
        <v>1495</v>
      </c>
      <c r="E582" s="13" t="s">
        <v>2911</v>
      </c>
      <c r="F582" s="13" t="s">
        <v>1078</v>
      </c>
      <c r="G582" s="13" t="s">
        <v>1079</v>
      </c>
      <c r="H582" s="13" t="s">
        <v>2912</v>
      </c>
      <c r="I582" s="14" t="s">
        <v>18</v>
      </c>
      <c r="J582" s="1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22.5" customHeight="1">
      <c r="A583" s="35">
        <v>581.0</v>
      </c>
      <c r="B583" s="20">
        <v>70.0</v>
      </c>
      <c r="C583" s="36" t="s">
        <v>1218</v>
      </c>
      <c r="D583" s="13" t="s">
        <v>2913</v>
      </c>
      <c r="E583" s="13" t="s">
        <v>2914</v>
      </c>
      <c r="F583" s="13" t="s">
        <v>2915</v>
      </c>
      <c r="G583" s="13" t="s">
        <v>2916</v>
      </c>
      <c r="H583" s="13" t="s">
        <v>2917</v>
      </c>
      <c r="I583" s="14" t="s">
        <v>18</v>
      </c>
      <c r="J583" s="1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22.5" customHeight="1">
      <c r="A584" s="35">
        <v>582.0</v>
      </c>
      <c r="B584" s="20">
        <v>70.0</v>
      </c>
      <c r="C584" s="36" t="s">
        <v>1218</v>
      </c>
      <c r="D584" s="13" t="s">
        <v>2052</v>
      </c>
      <c r="E584" s="13" t="s">
        <v>2053</v>
      </c>
      <c r="F584" s="13" t="s">
        <v>2054</v>
      </c>
      <c r="G584" s="13" t="s">
        <v>2918</v>
      </c>
      <c r="H584" s="13" t="s">
        <v>2056</v>
      </c>
      <c r="I584" s="15"/>
      <c r="J584" s="1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22.5" customHeight="1">
      <c r="A585" s="35">
        <v>583.0</v>
      </c>
      <c r="B585" s="20">
        <v>70.0</v>
      </c>
      <c r="C585" s="36" t="s">
        <v>1218</v>
      </c>
      <c r="D585" s="13" t="s">
        <v>2540</v>
      </c>
      <c r="E585" s="13" t="s">
        <v>2919</v>
      </c>
      <c r="F585" s="13" t="s">
        <v>1682</v>
      </c>
      <c r="G585" s="13" t="s">
        <v>2787</v>
      </c>
      <c r="H585" s="13" t="s">
        <v>2543</v>
      </c>
      <c r="I585" s="15"/>
      <c r="J585" s="1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22.5" customHeight="1">
      <c r="A586" s="35">
        <v>584.0</v>
      </c>
      <c r="B586" s="20">
        <v>70.0</v>
      </c>
      <c r="C586" s="36" t="s">
        <v>1218</v>
      </c>
      <c r="D586" s="13" t="s">
        <v>1454</v>
      </c>
      <c r="E586" s="13" t="s">
        <v>1609</v>
      </c>
      <c r="F586" s="13" t="s">
        <v>1610</v>
      </c>
      <c r="G586" s="13" t="s">
        <v>1611</v>
      </c>
      <c r="H586" s="13" t="s">
        <v>1612</v>
      </c>
      <c r="I586" s="15"/>
      <c r="J586" s="1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22.5" customHeight="1">
      <c r="A587" s="35">
        <v>585.0</v>
      </c>
      <c r="B587" s="20">
        <v>70.0</v>
      </c>
      <c r="C587" s="36" t="s">
        <v>1168</v>
      </c>
      <c r="D587" s="13" t="s">
        <v>2757</v>
      </c>
      <c r="E587" s="13" t="s">
        <v>2920</v>
      </c>
      <c r="F587" s="13" t="s">
        <v>2759</v>
      </c>
      <c r="G587" s="13" t="s">
        <v>2921</v>
      </c>
      <c r="H587" s="13" t="s">
        <v>2761</v>
      </c>
      <c r="I587" s="15"/>
      <c r="J587" s="1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22.5" customHeight="1">
      <c r="A588" s="35">
        <v>586.0</v>
      </c>
      <c r="B588" s="20">
        <v>70.0</v>
      </c>
      <c r="C588" s="36" t="s">
        <v>1168</v>
      </c>
      <c r="D588" s="13" t="s">
        <v>2922</v>
      </c>
      <c r="E588" s="13" t="s">
        <v>2923</v>
      </c>
      <c r="F588" s="13" t="s">
        <v>2924</v>
      </c>
      <c r="G588" s="13" t="s">
        <v>2925</v>
      </c>
      <c r="H588" s="13" t="s">
        <v>2926</v>
      </c>
      <c r="I588" s="14" t="s">
        <v>18</v>
      </c>
      <c r="J588" s="1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22.5" hidden="1" customHeight="1">
      <c r="A589" s="35">
        <v>587.0</v>
      </c>
      <c r="B589" s="20">
        <v>70.0</v>
      </c>
      <c r="C589" s="36" t="s">
        <v>1163</v>
      </c>
      <c r="D589" s="13" t="s">
        <v>2769</v>
      </c>
      <c r="E589" s="13" t="s">
        <v>2927</v>
      </c>
      <c r="F589" s="13" t="s">
        <v>345</v>
      </c>
      <c r="G589" s="13" t="s">
        <v>346</v>
      </c>
      <c r="H589" s="13" t="s">
        <v>2771</v>
      </c>
      <c r="I589" s="15"/>
      <c r="J589" s="1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22.5" customHeight="1">
      <c r="A590" s="35">
        <v>588.0</v>
      </c>
      <c r="B590" s="20">
        <v>70.0</v>
      </c>
      <c r="C590" s="36" t="s">
        <v>1218</v>
      </c>
      <c r="D590" s="13" t="s">
        <v>1673</v>
      </c>
      <c r="E590" s="13" t="s">
        <v>2928</v>
      </c>
      <c r="F590" s="13" t="s">
        <v>1675</v>
      </c>
      <c r="G590" s="13" t="s">
        <v>2929</v>
      </c>
      <c r="H590" s="13" t="s">
        <v>1677</v>
      </c>
      <c r="I590" s="15"/>
      <c r="J590" s="1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22.5" hidden="1" customHeight="1">
      <c r="A591" s="35">
        <v>589.0</v>
      </c>
      <c r="B591" s="20">
        <v>70.0</v>
      </c>
      <c r="C591" s="36" t="s">
        <v>1163</v>
      </c>
      <c r="D591" s="13" t="s">
        <v>2930</v>
      </c>
      <c r="E591" s="13" t="s">
        <v>2931</v>
      </c>
      <c r="F591" s="13" t="s">
        <v>2932</v>
      </c>
      <c r="G591" s="13" t="s">
        <v>2933</v>
      </c>
      <c r="H591" s="13" t="s">
        <v>2934</v>
      </c>
      <c r="I591" s="14" t="s">
        <v>18</v>
      </c>
      <c r="J591" s="1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22.5" customHeight="1">
      <c r="A592" s="35">
        <v>590.0</v>
      </c>
      <c r="B592" s="20">
        <v>70.0</v>
      </c>
      <c r="C592" s="36" t="s">
        <v>1168</v>
      </c>
      <c r="D592" s="13" t="s">
        <v>2188</v>
      </c>
      <c r="E592" s="13" t="s">
        <v>2935</v>
      </c>
      <c r="F592" s="13" t="s">
        <v>2190</v>
      </c>
      <c r="G592" s="13" t="s">
        <v>2191</v>
      </c>
      <c r="H592" s="13" t="s">
        <v>2192</v>
      </c>
      <c r="I592" s="15"/>
      <c r="J592" s="1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22.5" customHeight="1">
      <c r="A593" s="35">
        <v>591.0</v>
      </c>
      <c r="B593" s="20">
        <v>70.0</v>
      </c>
      <c r="C593" s="36" t="s">
        <v>1218</v>
      </c>
      <c r="D593" s="13" t="s">
        <v>2421</v>
      </c>
      <c r="E593" s="13" t="s">
        <v>2936</v>
      </c>
      <c r="F593" s="13" t="s">
        <v>2423</v>
      </c>
      <c r="G593" s="13" t="s">
        <v>2937</v>
      </c>
      <c r="H593" s="13" t="s">
        <v>2425</v>
      </c>
      <c r="I593" s="15"/>
      <c r="J593" s="1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22.5" hidden="1" customHeight="1">
      <c r="A594" s="35">
        <v>592.0</v>
      </c>
      <c r="B594" s="20">
        <v>70.0</v>
      </c>
      <c r="C594" s="36" t="s">
        <v>1163</v>
      </c>
      <c r="D594" s="13" t="s">
        <v>2938</v>
      </c>
      <c r="E594" s="13" t="s">
        <v>2939</v>
      </c>
      <c r="F594" s="13" t="s">
        <v>1028</v>
      </c>
      <c r="G594" s="13" t="s">
        <v>1052</v>
      </c>
      <c r="H594" s="13" t="s">
        <v>2940</v>
      </c>
      <c r="I594" s="14" t="s">
        <v>18</v>
      </c>
      <c r="J594" s="1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22.5" hidden="1" customHeight="1">
      <c r="A595" s="35">
        <v>593.0</v>
      </c>
      <c r="B595" s="20">
        <v>70.0</v>
      </c>
      <c r="C595" s="36" t="s">
        <v>1163</v>
      </c>
      <c r="D595" s="13" t="s">
        <v>2702</v>
      </c>
      <c r="E595" s="13" t="s">
        <v>2941</v>
      </c>
      <c r="F595" s="13" t="s">
        <v>539</v>
      </c>
      <c r="G595" s="13" t="s">
        <v>540</v>
      </c>
      <c r="H595" s="13" t="s">
        <v>2706</v>
      </c>
      <c r="I595" s="15"/>
      <c r="J595" s="1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22.5" hidden="1" customHeight="1">
      <c r="A596" s="35">
        <v>594.0</v>
      </c>
      <c r="B596" s="20">
        <v>70.0</v>
      </c>
      <c r="C596" s="36" t="s">
        <v>1163</v>
      </c>
      <c r="D596" s="13" t="s">
        <v>2942</v>
      </c>
      <c r="E596" s="13" t="s">
        <v>2943</v>
      </c>
      <c r="F596" s="13" t="s">
        <v>2944</v>
      </c>
      <c r="G596" s="13" t="s">
        <v>2945</v>
      </c>
      <c r="H596" s="13" t="s">
        <v>2391</v>
      </c>
      <c r="I596" s="15"/>
      <c r="J596" s="1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22.5" hidden="1" customHeight="1">
      <c r="A597" s="35">
        <v>595.0</v>
      </c>
      <c r="B597" s="20">
        <v>69.0</v>
      </c>
      <c r="C597" s="36" t="s">
        <v>1163</v>
      </c>
      <c r="D597" s="13" t="s">
        <v>2048</v>
      </c>
      <c r="E597" s="13" t="s">
        <v>2946</v>
      </c>
      <c r="F597" s="13" t="s">
        <v>2050</v>
      </c>
      <c r="G597" s="13" t="s">
        <v>2051</v>
      </c>
      <c r="H597" s="13" t="s">
        <v>1902</v>
      </c>
      <c r="I597" s="15"/>
      <c r="J597" s="1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22.5" customHeight="1">
      <c r="A598" s="35">
        <v>596.0</v>
      </c>
      <c r="B598" s="20">
        <v>69.0</v>
      </c>
      <c r="C598" s="36" t="s">
        <v>1218</v>
      </c>
      <c r="D598" s="13" t="s">
        <v>2947</v>
      </c>
      <c r="E598" s="13" t="s">
        <v>2948</v>
      </c>
      <c r="F598" s="13" t="s">
        <v>2949</v>
      </c>
      <c r="G598" s="13" t="s">
        <v>2950</v>
      </c>
      <c r="H598" s="13" t="s">
        <v>2951</v>
      </c>
      <c r="I598" s="14" t="s">
        <v>18</v>
      </c>
      <c r="J598" s="1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22.5" customHeight="1">
      <c r="A599" s="35">
        <v>597.0</v>
      </c>
      <c r="B599" s="20">
        <v>69.0</v>
      </c>
      <c r="C599" s="36" t="s">
        <v>1168</v>
      </c>
      <c r="D599" s="13" t="s">
        <v>2952</v>
      </c>
      <c r="E599" s="13" t="s">
        <v>2953</v>
      </c>
      <c r="F599" s="13" t="s">
        <v>2954</v>
      </c>
      <c r="G599" s="13" t="s">
        <v>2955</v>
      </c>
      <c r="H599" s="13" t="s">
        <v>2956</v>
      </c>
      <c r="I599" s="14" t="s">
        <v>18</v>
      </c>
      <c r="J599" s="1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22.5" hidden="1" customHeight="1">
      <c r="A600" s="35">
        <v>598.0</v>
      </c>
      <c r="B600" s="20">
        <v>69.0</v>
      </c>
      <c r="C600" s="36" t="s">
        <v>1163</v>
      </c>
      <c r="D600" s="13" t="s">
        <v>2957</v>
      </c>
      <c r="E600" s="13" t="s">
        <v>2958</v>
      </c>
      <c r="F600" s="13" t="s">
        <v>2857</v>
      </c>
      <c r="G600" s="13" t="s">
        <v>2959</v>
      </c>
      <c r="H600" s="13" t="s">
        <v>2960</v>
      </c>
      <c r="I600" s="14" t="s">
        <v>18</v>
      </c>
      <c r="J600" s="1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22.5" customHeight="1">
      <c r="A601" s="35">
        <v>599.0</v>
      </c>
      <c r="B601" s="20">
        <v>69.0</v>
      </c>
      <c r="C601" s="36" t="s">
        <v>1218</v>
      </c>
      <c r="D601" s="13" t="s">
        <v>2961</v>
      </c>
      <c r="E601" s="13" t="s">
        <v>2962</v>
      </c>
      <c r="F601" s="13" t="s">
        <v>2963</v>
      </c>
      <c r="G601" s="13" t="s">
        <v>2964</v>
      </c>
      <c r="H601" s="13" t="s">
        <v>2965</v>
      </c>
      <c r="I601" s="14" t="s">
        <v>18</v>
      </c>
      <c r="J601" s="1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22.5" customHeight="1">
      <c r="A602" s="35">
        <v>600.0</v>
      </c>
      <c r="B602" s="20">
        <v>69.0</v>
      </c>
      <c r="C602" s="36" t="s">
        <v>1218</v>
      </c>
      <c r="D602" s="13" t="s">
        <v>2966</v>
      </c>
      <c r="E602" s="13" t="s">
        <v>2967</v>
      </c>
      <c r="F602" s="13" t="s">
        <v>2968</v>
      </c>
      <c r="G602" s="13" t="s">
        <v>2969</v>
      </c>
      <c r="H602" s="13" t="s">
        <v>2970</v>
      </c>
      <c r="I602" s="14" t="s">
        <v>18</v>
      </c>
      <c r="J602" s="1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22.5" customHeight="1">
      <c r="A603" s="35">
        <v>601.0</v>
      </c>
      <c r="B603" s="20">
        <v>69.0</v>
      </c>
      <c r="C603" s="36" t="s">
        <v>1168</v>
      </c>
      <c r="D603" s="13" t="s">
        <v>1524</v>
      </c>
      <c r="E603" s="13" t="s">
        <v>2064</v>
      </c>
      <c r="F603" s="13" t="s">
        <v>1526</v>
      </c>
      <c r="G603" s="13" t="s">
        <v>1527</v>
      </c>
      <c r="H603" s="13" t="s">
        <v>1528</v>
      </c>
      <c r="I603" s="15"/>
      <c r="J603" s="1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22.5" hidden="1" customHeight="1">
      <c r="A604" s="35">
        <v>602.0</v>
      </c>
      <c r="B604" s="20">
        <v>69.0</v>
      </c>
      <c r="C604" s="36" t="s">
        <v>1163</v>
      </c>
      <c r="D604" s="13" t="s">
        <v>2971</v>
      </c>
      <c r="E604" s="13" t="s">
        <v>2972</v>
      </c>
      <c r="F604" s="13" t="s">
        <v>2973</v>
      </c>
      <c r="G604" s="13" t="s">
        <v>2974</v>
      </c>
      <c r="H604" s="13" t="s">
        <v>2975</v>
      </c>
      <c r="I604" s="15"/>
      <c r="J604" s="1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22.5" customHeight="1">
      <c r="A605" s="35">
        <v>603.0</v>
      </c>
      <c r="B605" s="20">
        <v>69.0</v>
      </c>
      <c r="C605" s="36" t="s">
        <v>1218</v>
      </c>
      <c r="D605" s="13" t="s">
        <v>2976</v>
      </c>
      <c r="E605" s="13" t="s">
        <v>2977</v>
      </c>
      <c r="F605" s="13" t="s">
        <v>2978</v>
      </c>
      <c r="G605" s="13" t="s">
        <v>2979</v>
      </c>
      <c r="H605" s="13" t="s">
        <v>2980</v>
      </c>
      <c r="I605" s="14" t="s">
        <v>18</v>
      </c>
      <c r="J605" s="1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22.5" customHeight="1">
      <c r="A606" s="35">
        <v>604.0</v>
      </c>
      <c r="B606" s="20">
        <v>69.0</v>
      </c>
      <c r="C606" s="36" t="s">
        <v>1168</v>
      </c>
      <c r="D606" s="13" t="s">
        <v>2981</v>
      </c>
      <c r="E606" s="13" t="s">
        <v>2843</v>
      </c>
      <c r="F606" s="13" t="s">
        <v>2982</v>
      </c>
      <c r="G606" s="13" t="s">
        <v>2983</v>
      </c>
      <c r="H606" s="13" t="s">
        <v>2844</v>
      </c>
      <c r="I606" s="14" t="s">
        <v>18</v>
      </c>
      <c r="J606" s="1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22.5" hidden="1" customHeight="1">
      <c r="A607" s="35">
        <v>605.0</v>
      </c>
      <c r="B607" s="20">
        <v>69.0</v>
      </c>
      <c r="C607" s="36" t="s">
        <v>1163</v>
      </c>
      <c r="D607" s="13" t="s">
        <v>2984</v>
      </c>
      <c r="E607" s="13" t="s">
        <v>2985</v>
      </c>
      <c r="F607" s="13" t="s">
        <v>2986</v>
      </c>
      <c r="G607" s="13" t="s">
        <v>2987</v>
      </c>
      <c r="H607" s="13" t="s">
        <v>2988</v>
      </c>
      <c r="I607" s="14" t="s">
        <v>18</v>
      </c>
      <c r="J607" s="1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22.5" customHeight="1">
      <c r="A608" s="35">
        <v>606.0</v>
      </c>
      <c r="B608" s="20">
        <v>69.0</v>
      </c>
      <c r="C608" s="36" t="s">
        <v>1168</v>
      </c>
      <c r="D608" s="13" t="s">
        <v>2989</v>
      </c>
      <c r="E608" s="13" t="s">
        <v>2990</v>
      </c>
      <c r="F608" s="13" t="s">
        <v>2991</v>
      </c>
      <c r="G608" s="13" t="s">
        <v>2992</v>
      </c>
      <c r="H608" s="13" t="s">
        <v>2993</v>
      </c>
      <c r="I608" s="14" t="s">
        <v>18</v>
      </c>
      <c r="J608" s="1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22.5" customHeight="1">
      <c r="A609" s="35">
        <v>607.0</v>
      </c>
      <c r="B609" s="20">
        <v>69.0</v>
      </c>
      <c r="C609" s="36" t="s">
        <v>1168</v>
      </c>
      <c r="D609" s="13" t="s">
        <v>1532</v>
      </c>
      <c r="E609" s="13" t="s">
        <v>2145</v>
      </c>
      <c r="F609" s="13" t="s">
        <v>1534</v>
      </c>
      <c r="G609" s="13" t="s">
        <v>1535</v>
      </c>
      <c r="H609" s="13" t="s">
        <v>1536</v>
      </c>
      <c r="I609" s="15"/>
      <c r="J609" s="1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22.5" hidden="1" customHeight="1">
      <c r="A610" s="35">
        <v>608.0</v>
      </c>
      <c r="B610" s="20">
        <v>69.0</v>
      </c>
      <c r="C610" s="36" t="s">
        <v>1163</v>
      </c>
      <c r="D610" s="13" t="s">
        <v>1891</v>
      </c>
      <c r="E610" s="13" t="s">
        <v>2994</v>
      </c>
      <c r="F610" s="13" t="s">
        <v>516</v>
      </c>
      <c r="G610" s="13" t="s">
        <v>517</v>
      </c>
      <c r="H610" s="13" t="s">
        <v>1893</v>
      </c>
      <c r="I610" s="15"/>
      <c r="J610" s="1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22.5" customHeight="1">
      <c r="A611" s="35">
        <v>609.0</v>
      </c>
      <c r="B611" s="20">
        <v>69.0</v>
      </c>
      <c r="C611" s="36" t="s">
        <v>1218</v>
      </c>
      <c r="D611" s="13" t="s">
        <v>1537</v>
      </c>
      <c r="E611" s="13" t="s">
        <v>2995</v>
      </c>
      <c r="F611" s="13" t="s">
        <v>1539</v>
      </c>
      <c r="G611" s="13" t="s">
        <v>2354</v>
      </c>
      <c r="H611" s="13" t="s">
        <v>1541</v>
      </c>
      <c r="I611" s="15"/>
      <c r="J611" s="1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22.5" hidden="1" customHeight="1">
      <c r="A612" s="35">
        <v>610.0</v>
      </c>
      <c r="B612" s="20">
        <v>68.0</v>
      </c>
      <c r="C612" s="36" t="s">
        <v>1163</v>
      </c>
      <c r="D612" s="13" t="s">
        <v>1898</v>
      </c>
      <c r="E612" s="13" t="s">
        <v>1899</v>
      </c>
      <c r="F612" s="13" t="s">
        <v>1900</v>
      </c>
      <c r="G612" s="13" t="s">
        <v>1901</v>
      </c>
      <c r="H612" s="13" t="s">
        <v>1902</v>
      </c>
      <c r="I612" s="15"/>
      <c r="J612" s="1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22.5" hidden="1" customHeight="1">
      <c r="A613" s="35">
        <v>611.0</v>
      </c>
      <c r="B613" s="20">
        <v>68.0</v>
      </c>
      <c r="C613" s="36" t="s">
        <v>1163</v>
      </c>
      <c r="D613" s="13" t="s">
        <v>2482</v>
      </c>
      <c r="E613" s="13" t="s">
        <v>2996</v>
      </c>
      <c r="F613" s="13" t="s">
        <v>2484</v>
      </c>
      <c r="G613" s="13" t="s">
        <v>2485</v>
      </c>
      <c r="H613" s="13" t="s">
        <v>2486</v>
      </c>
      <c r="I613" s="15"/>
      <c r="J613" s="1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22.5" customHeight="1">
      <c r="A614" s="35">
        <v>612.0</v>
      </c>
      <c r="B614" s="20">
        <v>68.0</v>
      </c>
      <c r="C614" s="36" t="s">
        <v>1218</v>
      </c>
      <c r="D614" s="13" t="s">
        <v>1772</v>
      </c>
      <c r="E614" s="13" t="s">
        <v>2997</v>
      </c>
      <c r="F614" s="13" t="s">
        <v>2998</v>
      </c>
      <c r="G614" s="13" t="s">
        <v>2999</v>
      </c>
      <c r="H614" s="13" t="s">
        <v>3000</v>
      </c>
      <c r="I614" s="15"/>
      <c r="J614" s="1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22.5" customHeight="1">
      <c r="A615" s="35">
        <v>613.0</v>
      </c>
      <c r="B615" s="20">
        <v>68.0</v>
      </c>
      <c r="C615" s="36" t="s">
        <v>1218</v>
      </c>
      <c r="D615" s="13" t="s">
        <v>3001</v>
      </c>
      <c r="E615" s="13" t="s">
        <v>3002</v>
      </c>
      <c r="F615" s="13" t="s">
        <v>3003</v>
      </c>
      <c r="G615" s="13" t="s">
        <v>3004</v>
      </c>
      <c r="H615" s="13" t="s">
        <v>3005</v>
      </c>
      <c r="I615" s="14" t="s">
        <v>18</v>
      </c>
      <c r="J615" s="1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22.5" customHeight="1">
      <c r="A616" s="35">
        <v>614.0</v>
      </c>
      <c r="B616" s="20">
        <v>68.0</v>
      </c>
      <c r="C616" s="36" t="s">
        <v>1168</v>
      </c>
      <c r="D616" s="13" t="s">
        <v>1242</v>
      </c>
      <c r="E616" s="13" t="s">
        <v>2274</v>
      </c>
      <c r="F616" s="13" t="s">
        <v>1244</v>
      </c>
      <c r="G616" s="13" t="s">
        <v>1914</v>
      </c>
      <c r="H616" s="13" t="s">
        <v>1246</v>
      </c>
      <c r="I616" s="15"/>
      <c r="J616" s="1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22.5" customHeight="1">
      <c r="A617" s="35">
        <v>615.0</v>
      </c>
      <c r="B617" s="20">
        <v>68.0</v>
      </c>
      <c r="C617" s="36" t="s">
        <v>1218</v>
      </c>
      <c r="D617" s="13" t="s">
        <v>1700</v>
      </c>
      <c r="E617" s="13" t="s">
        <v>3006</v>
      </c>
      <c r="F617" s="13" t="s">
        <v>1702</v>
      </c>
      <c r="G617" s="13" t="s">
        <v>3007</v>
      </c>
      <c r="H617" s="13" t="s">
        <v>1704</v>
      </c>
      <c r="I617" s="15"/>
      <c r="J617" s="1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22.5" hidden="1" customHeight="1">
      <c r="A618" s="35">
        <v>616.0</v>
      </c>
      <c r="B618" s="20">
        <v>68.0</v>
      </c>
      <c r="C618" s="36" t="s">
        <v>1163</v>
      </c>
      <c r="D618" s="13" t="s">
        <v>1962</v>
      </c>
      <c r="E618" s="13" t="s">
        <v>1963</v>
      </c>
      <c r="F618" s="13" t="s">
        <v>1964</v>
      </c>
      <c r="G618" s="13" t="s">
        <v>1965</v>
      </c>
      <c r="H618" s="13" t="s">
        <v>1966</v>
      </c>
      <c r="I618" s="15"/>
      <c r="J618" s="1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22.5" hidden="1" customHeight="1">
      <c r="A619" s="35">
        <v>617.0</v>
      </c>
      <c r="B619" s="20">
        <v>68.0</v>
      </c>
      <c r="C619" s="36" t="s">
        <v>1163</v>
      </c>
      <c r="D619" s="13" t="s">
        <v>3008</v>
      </c>
      <c r="E619" s="13" t="s">
        <v>3009</v>
      </c>
      <c r="F619" s="13" t="s">
        <v>3010</v>
      </c>
      <c r="G619" s="13" t="s">
        <v>3011</v>
      </c>
      <c r="H619" s="13" t="s">
        <v>2875</v>
      </c>
      <c r="I619" s="14" t="s">
        <v>18</v>
      </c>
      <c r="J619" s="1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22.5" customHeight="1">
      <c r="A620" s="35">
        <v>618.0</v>
      </c>
      <c r="B620" s="20">
        <v>68.0</v>
      </c>
      <c r="C620" s="36" t="s">
        <v>1168</v>
      </c>
      <c r="D620" s="13" t="s">
        <v>1214</v>
      </c>
      <c r="E620" s="13" t="s">
        <v>2413</v>
      </c>
      <c r="F620" s="13" t="s">
        <v>1215</v>
      </c>
      <c r="G620" s="13" t="s">
        <v>2414</v>
      </c>
      <c r="H620" s="13" t="s">
        <v>1217</v>
      </c>
      <c r="I620" s="15"/>
      <c r="J620" s="1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22.5" customHeight="1">
      <c r="A621" s="35">
        <v>619.0</v>
      </c>
      <c r="B621" s="20">
        <v>68.0</v>
      </c>
      <c r="C621" s="36" t="s">
        <v>1168</v>
      </c>
      <c r="D621" s="13" t="s">
        <v>1265</v>
      </c>
      <c r="E621" s="13" t="s">
        <v>1266</v>
      </c>
      <c r="F621" s="13" t="s">
        <v>1267</v>
      </c>
      <c r="G621" s="13" t="s">
        <v>1268</v>
      </c>
      <c r="H621" s="13" t="s">
        <v>1269</v>
      </c>
      <c r="I621" s="15"/>
      <c r="J621" s="1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22.5" customHeight="1">
      <c r="A622" s="35">
        <v>620.0</v>
      </c>
      <c r="B622" s="20">
        <v>68.0</v>
      </c>
      <c r="C622" s="36" t="s">
        <v>1168</v>
      </c>
      <c r="D622" s="13" t="s">
        <v>1826</v>
      </c>
      <c r="E622" s="13" t="s">
        <v>1777</v>
      </c>
      <c r="F622" s="13" t="s">
        <v>1827</v>
      </c>
      <c r="G622" s="13" t="s">
        <v>1828</v>
      </c>
      <c r="H622" s="13" t="s">
        <v>1780</v>
      </c>
      <c r="I622" s="15"/>
      <c r="J622" s="1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22.5" customHeight="1">
      <c r="A623" s="35">
        <v>621.0</v>
      </c>
      <c r="B623" s="20">
        <v>68.0</v>
      </c>
      <c r="C623" s="36" t="s">
        <v>1168</v>
      </c>
      <c r="D623" s="13" t="s">
        <v>1532</v>
      </c>
      <c r="E623" s="13" t="s">
        <v>2145</v>
      </c>
      <c r="F623" s="13" t="s">
        <v>1534</v>
      </c>
      <c r="G623" s="13" t="s">
        <v>1535</v>
      </c>
      <c r="H623" s="13" t="s">
        <v>1536</v>
      </c>
      <c r="I623" s="15"/>
      <c r="J623" s="1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22.5" customHeight="1">
      <c r="A624" s="35">
        <v>622.0</v>
      </c>
      <c r="B624" s="20">
        <v>68.0</v>
      </c>
      <c r="C624" s="36" t="s">
        <v>1168</v>
      </c>
      <c r="D624" s="13" t="s">
        <v>1744</v>
      </c>
      <c r="E624" s="13" t="s">
        <v>3012</v>
      </c>
      <c r="F624" s="13" t="s">
        <v>1745</v>
      </c>
      <c r="G624" s="13" t="s">
        <v>1746</v>
      </c>
      <c r="H624" s="13" t="s">
        <v>1425</v>
      </c>
      <c r="I624" s="15"/>
      <c r="J624" s="1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22.5" customHeight="1">
      <c r="A625" s="35">
        <v>623.0</v>
      </c>
      <c r="B625" s="20">
        <v>68.0</v>
      </c>
      <c r="C625" s="36" t="s">
        <v>1168</v>
      </c>
      <c r="D625" s="13" t="s">
        <v>3013</v>
      </c>
      <c r="E625" s="13" t="s">
        <v>3014</v>
      </c>
      <c r="F625" s="13" t="s">
        <v>3015</v>
      </c>
      <c r="G625" s="13" t="s">
        <v>3016</v>
      </c>
      <c r="H625" s="13" t="s">
        <v>3017</v>
      </c>
      <c r="I625" s="15"/>
      <c r="J625" s="1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22.5" hidden="1" customHeight="1">
      <c r="A626" s="35">
        <v>624.0</v>
      </c>
      <c r="B626" s="20">
        <v>68.0</v>
      </c>
      <c r="C626" s="36" t="s">
        <v>1163</v>
      </c>
      <c r="D626" s="13" t="s">
        <v>2908</v>
      </c>
      <c r="E626" s="13" t="s">
        <v>3018</v>
      </c>
      <c r="F626" s="13" t="s">
        <v>512</v>
      </c>
      <c r="G626" s="13" t="s">
        <v>2910</v>
      </c>
      <c r="H626" s="13" t="s">
        <v>2589</v>
      </c>
      <c r="I626" s="15"/>
      <c r="J626" s="1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22.5" hidden="1" customHeight="1">
      <c r="A627" s="35">
        <v>625.0</v>
      </c>
      <c r="B627" s="20">
        <v>67.0</v>
      </c>
      <c r="C627" s="36" t="s">
        <v>1163</v>
      </c>
      <c r="D627" s="13" t="s">
        <v>3019</v>
      </c>
      <c r="E627" s="13" t="s">
        <v>3020</v>
      </c>
      <c r="F627" s="13" t="s">
        <v>3021</v>
      </c>
      <c r="G627" s="13" t="s">
        <v>3022</v>
      </c>
      <c r="H627" s="13" t="s">
        <v>3023</v>
      </c>
      <c r="I627" s="14" t="s">
        <v>18</v>
      </c>
      <c r="J627" s="1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22.5" customHeight="1">
      <c r="A628" s="35">
        <v>626.0</v>
      </c>
      <c r="B628" s="20">
        <v>67.0</v>
      </c>
      <c r="C628" s="36" t="s">
        <v>1168</v>
      </c>
      <c r="D628" s="13" t="s">
        <v>2092</v>
      </c>
      <c r="E628" s="13" t="s">
        <v>3024</v>
      </c>
      <c r="F628" s="13" t="s">
        <v>2094</v>
      </c>
      <c r="G628" s="13" t="s">
        <v>2095</v>
      </c>
      <c r="H628" s="13" t="s">
        <v>2096</v>
      </c>
      <c r="I628" s="15"/>
      <c r="J628" s="1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22.5" customHeight="1">
      <c r="A629" s="35">
        <v>627.0</v>
      </c>
      <c r="B629" s="20">
        <v>67.0</v>
      </c>
      <c r="C629" s="36" t="s">
        <v>1218</v>
      </c>
      <c r="D629" s="13" t="s">
        <v>1998</v>
      </c>
      <c r="E629" s="13" t="s">
        <v>3025</v>
      </c>
      <c r="F629" s="13" t="s">
        <v>2000</v>
      </c>
      <c r="G629" s="13" t="s">
        <v>2001</v>
      </c>
      <c r="H629" s="13" t="s">
        <v>2002</v>
      </c>
      <c r="I629" s="15"/>
      <c r="J629" s="1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22.5" hidden="1" customHeight="1">
      <c r="A630" s="35">
        <v>628.0</v>
      </c>
      <c r="B630" s="20">
        <v>67.0</v>
      </c>
      <c r="C630" s="36" t="s">
        <v>1163</v>
      </c>
      <c r="D630" s="13" t="s">
        <v>2275</v>
      </c>
      <c r="E630" s="13" t="s">
        <v>2563</v>
      </c>
      <c r="F630" s="13" t="s">
        <v>2277</v>
      </c>
      <c r="G630" s="13" t="s">
        <v>2278</v>
      </c>
      <c r="H630" s="13" t="s">
        <v>2279</v>
      </c>
      <c r="I630" s="15"/>
      <c r="J630" s="1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22.5" customHeight="1">
      <c r="A631" s="35">
        <v>629.0</v>
      </c>
      <c r="B631" s="20">
        <v>67.0</v>
      </c>
      <c r="C631" s="36" t="s">
        <v>1218</v>
      </c>
      <c r="D631" s="13" t="s">
        <v>2860</v>
      </c>
      <c r="E631" s="13" t="s">
        <v>3026</v>
      </c>
      <c r="F631" s="13" t="s">
        <v>2862</v>
      </c>
      <c r="G631" s="13" t="s">
        <v>2863</v>
      </c>
      <c r="H631" s="13" t="s">
        <v>2864</v>
      </c>
      <c r="I631" s="15"/>
      <c r="J631" s="1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22.5" hidden="1" customHeight="1">
      <c r="A632" s="35">
        <v>630.0</v>
      </c>
      <c r="B632" s="20">
        <v>67.0</v>
      </c>
      <c r="C632" s="36" t="s">
        <v>1163</v>
      </c>
      <c r="D632" s="13" t="s">
        <v>2682</v>
      </c>
      <c r="E632" s="13" t="s">
        <v>3027</v>
      </c>
      <c r="F632" s="13" t="s">
        <v>1333</v>
      </c>
      <c r="G632" s="13" t="s">
        <v>1334</v>
      </c>
      <c r="H632" s="13" t="s">
        <v>2684</v>
      </c>
      <c r="I632" s="14" t="s">
        <v>18</v>
      </c>
      <c r="J632" s="1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22.5" customHeight="1">
      <c r="A633" s="35">
        <v>631.0</v>
      </c>
      <c r="B633" s="20">
        <v>67.0</v>
      </c>
      <c r="C633" s="36" t="s">
        <v>1168</v>
      </c>
      <c r="D633" s="13" t="s">
        <v>3028</v>
      </c>
      <c r="E633" s="13" t="s">
        <v>3029</v>
      </c>
      <c r="F633" s="13" t="s">
        <v>3030</v>
      </c>
      <c r="G633" s="13" t="s">
        <v>3031</v>
      </c>
      <c r="H633" s="13" t="s">
        <v>3032</v>
      </c>
      <c r="I633" s="14" t="s">
        <v>18</v>
      </c>
      <c r="J633" s="1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22.5" customHeight="1">
      <c r="A634" s="35">
        <v>632.0</v>
      </c>
      <c r="B634" s="20">
        <v>67.0</v>
      </c>
      <c r="C634" s="36" t="s">
        <v>1218</v>
      </c>
      <c r="D634" s="13" t="s">
        <v>3033</v>
      </c>
      <c r="E634" s="13" t="s">
        <v>3034</v>
      </c>
      <c r="F634" s="13" t="s">
        <v>3035</v>
      </c>
      <c r="G634" s="13" t="s">
        <v>3036</v>
      </c>
      <c r="H634" s="13" t="s">
        <v>3037</v>
      </c>
      <c r="I634" s="14" t="s">
        <v>18</v>
      </c>
      <c r="J634" s="1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22.5" hidden="1" customHeight="1">
      <c r="A635" s="35">
        <v>633.0</v>
      </c>
      <c r="B635" s="20">
        <v>67.0</v>
      </c>
      <c r="C635" s="36" t="s">
        <v>1163</v>
      </c>
      <c r="D635" s="13" t="s">
        <v>3038</v>
      </c>
      <c r="E635" s="13" t="s">
        <v>3039</v>
      </c>
      <c r="F635" s="13" t="s">
        <v>3040</v>
      </c>
      <c r="G635" s="13" t="s">
        <v>781</v>
      </c>
      <c r="H635" s="13" t="s">
        <v>3041</v>
      </c>
      <c r="I635" s="14" t="s">
        <v>18</v>
      </c>
      <c r="J635" s="1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22.5" customHeight="1">
      <c r="A636" s="35">
        <v>634.0</v>
      </c>
      <c r="B636" s="20">
        <v>67.0</v>
      </c>
      <c r="C636" s="36" t="s">
        <v>1168</v>
      </c>
      <c r="D636" s="13" t="s">
        <v>1210</v>
      </c>
      <c r="E636" s="13" t="s">
        <v>3042</v>
      </c>
      <c r="F636" s="13" t="s">
        <v>89</v>
      </c>
      <c r="G636" s="13" t="s">
        <v>90</v>
      </c>
      <c r="H636" s="13" t="s">
        <v>1213</v>
      </c>
      <c r="I636" s="15"/>
      <c r="J636" s="1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22.5" hidden="1" customHeight="1">
      <c r="A637" s="35">
        <v>635.0</v>
      </c>
      <c r="B637" s="20">
        <v>67.0</v>
      </c>
      <c r="C637" s="36" t="s">
        <v>1163</v>
      </c>
      <c r="D637" s="13" t="s">
        <v>3043</v>
      </c>
      <c r="E637" s="13" t="s">
        <v>3044</v>
      </c>
      <c r="F637" s="13" t="s">
        <v>3045</v>
      </c>
      <c r="G637" s="13" t="s">
        <v>3046</v>
      </c>
      <c r="H637" s="13" t="s">
        <v>3047</v>
      </c>
      <c r="I637" s="14" t="s">
        <v>18</v>
      </c>
      <c r="J637" s="1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22.5" customHeight="1">
      <c r="A638" s="35">
        <v>636.0</v>
      </c>
      <c r="B638" s="20">
        <v>67.0</v>
      </c>
      <c r="C638" s="36" t="s">
        <v>1168</v>
      </c>
      <c r="D638" s="13" t="s">
        <v>2295</v>
      </c>
      <c r="E638" s="13" t="s">
        <v>3048</v>
      </c>
      <c r="F638" s="13" t="s">
        <v>2678</v>
      </c>
      <c r="G638" s="13" t="s">
        <v>2679</v>
      </c>
      <c r="H638" s="13" t="s">
        <v>3049</v>
      </c>
      <c r="I638" s="15"/>
      <c r="J638" s="1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22.5" customHeight="1">
      <c r="A639" s="35">
        <v>637.0</v>
      </c>
      <c r="B639" s="20">
        <v>67.0</v>
      </c>
      <c r="C639" s="36" t="s">
        <v>1168</v>
      </c>
      <c r="D639" s="13" t="s">
        <v>3050</v>
      </c>
      <c r="E639" s="13" t="s">
        <v>2380</v>
      </c>
      <c r="F639" s="13" t="s">
        <v>3051</v>
      </c>
      <c r="G639" s="13" t="s">
        <v>3052</v>
      </c>
      <c r="H639" s="13" t="s">
        <v>2381</v>
      </c>
      <c r="I639" s="14" t="s">
        <v>18</v>
      </c>
      <c r="J639" s="1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22.5" customHeight="1">
      <c r="A640" s="35">
        <v>638.0</v>
      </c>
      <c r="B640" s="20">
        <v>67.0</v>
      </c>
      <c r="C640" s="36" t="s">
        <v>1218</v>
      </c>
      <c r="D640" s="13" t="s">
        <v>3053</v>
      </c>
      <c r="E640" s="13" t="s">
        <v>3054</v>
      </c>
      <c r="F640" s="13" t="s">
        <v>3055</v>
      </c>
      <c r="G640" s="13" t="s">
        <v>3056</v>
      </c>
      <c r="H640" s="13" t="s">
        <v>3057</v>
      </c>
      <c r="I640" s="14" t="s">
        <v>18</v>
      </c>
      <c r="J640" s="1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22.5" customHeight="1">
      <c r="A641" s="35">
        <v>639.0</v>
      </c>
      <c r="B641" s="20">
        <v>67.0</v>
      </c>
      <c r="C641" s="36" t="s">
        <v>1168</v>
      </c>
      <c r="D641" s="13" t="s">
        <v>3058</v>
      </c>
      <c r="E641" s="13" t="s">
        <v>3059</v>
      </c>
      <c r="F641" s="13" t="s">
        <v>3060</v>
      </c>
      <c r="G641" s="13" t="s">
        <v>3061</v>
      </c>
      <c r="H641" s="13" t="s">
        <v>2396</v>
      </c>
      <c r="I641" s="14" t="s">
        <v>18</v>
      </c>
      <c r="J641" s="1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22.5" hidden="1" customHeight="1">
      <c r="A642" s="35">
        <v>640.0</v>
      </c>
      <c r="B642" s="20">
        <v>66.0</v>
      </c>
      <c r="C642" s="36" t="s">
        <v>1163</v>
      </c>
      <c r="D642" s="13" t="s">
        <v>2082</v>
      </c>
      <c r="E642" s="13" t="s">
        <v>3062</v>
      </c>
      <c r="F642" s="13" t="s">
        <v>2084</v>
      </c>
      <c r="G642" s="13" t="s">
        <v>2085</v>
      </c>
      <c r="H642" s="13" t="s">
        <v>2086</v>
      </c>
      <c r="I642" s="14" t="s">
        <v>18</v>
      </c>
      <c r="J642" s="1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22.5" customHeight="1">
      <c r="A643" s="35">
        <v>641.0</v>
      </c>
      <c r="B643" s="20">
        <v>66.0</v>
      </c>
      <c r="C643" s="36" t="s">
        <v>1218</v>
      </c>
      <c r="D643" s="13" t="s">
        <v>2669</v>
      </c>
      <c r="E643" s="13" t="s">
        <v>3063</v>
      </c>
      <c r="F643" s="13" t="s">
        <v>2671</v>
      </c>
      <c r="G643" s="13" t="s">
        <v>2672</v>
      </c>
      <c r="H643" s="13" t="s">
        <v>2673</v>
      </c>
      <c r="I643" s="15"/>
      <c r="J643" s="1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22.5" customHeight="1">
      <c r="A644" s="35">
        <v>642.0</v>
      </c>
      <c r="B644" s="20">
        <v>66.0</v>
      </c>
      <c r="C644" s="36" t="s">
        <v>1168</v>
      </c>
      <c r="D644" s="13" t="s">
        <v>1237</v>
      </c>
      <c r="E644" s="13" t="s">
        <v>3064</v>
      </c>
      <c r="F644" s="13" t="s">
        <v>1239</v>
      </c>
      <c r="G644" s="13" t="s">
        <v>1240</v>
      </c>
      <c r="H644" s="13" t="s">
        <v>1241</v>
      </c>
      <c r="I644" s="15"/>
      <c r="J644" s="1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22.5" customHeight="1">
      <c r="A645" s="35">
        <v>643.0</v>
      </c>
      <c r="B645" s="20">
        <v>66.0</v>
      </c>
      <c r="C645" s="36" t="s">
        <v>1168</v>
      </c>
      <c r="D645" s="13" t="s">
        <v>2217</v>
      </c>
      <c r="E645" s="13" t="s">
        <v>3065</v>
      </c>
      <c r="F645" s="13" t="s">
        <v>2219</v>
      </c>
      <c r="G645" s="13" t="s">
        <v>2220</v>
      </c>
      <c r="H645" s="13" t="s">
        <v>2221</v>
      </c>
      <c r="I645" s="14" t="s">
        <v>18</v>
      </c>
      <c r="J645" s="1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22.5" customHeight="1">
      <c r="A646" s="35">
        <v>644.0</v>
      </c>
      <c r="B646" s="20">
        <v>66.0</v>
      </c>
      <c r="C646" s="36" t="s">
        <v>1168</v>
      </c>
      <c r="D646" s="13" t="s">
        <v>2428</v>
      </c>
      <c r="E646" s="13" t="s">
        <v>3066</v>
      </c>
      <c r="F646" s="13" t="s">
        <v>2430</v>
      </c>
      <c r="G646" s="13" t="s">
        <v>2431</v>
      </c>
      <c r="H646" s="13" t="s">
        <v>2432</v>
      </c>
      <c r="I646" s="15"/>
      <c r="J646" s="1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22.5" hidden="1" customHeight="1">
      <c r="A647" s="35">
        <v>645.0</v>
      </c>
      <c r="B647" s="20">
        <v>66.0</v>
      </c>
      <c r="C647" s="36" t="s">
        <v>1163</v>
      </c>
      <c r="D647" s="13" t="s">
        <v>3067</v>
      </c>
      <c r="E647" s="13" t="s">
        <v>3068</v>
      </c>
      <c r="F647" s="13" t="s">
        <v>3069</v>
      </c>
      <c r="G647" s="13" t="s">
        <v>3070</v>
      </c>
      <c r="H647" s="13" t="s">
        <v>3071</v>
      </c>
      <c r="I647" s="15"/>
      <c r="J647" s="1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22.5" hidden="1" customHeight="1">
      <c r="A648" s="35">
        <v>646.0</v>
      </c>
      <c r="B648" s="20">
        <v>66.0</v>
      </c>
      <c r="C648" s="36" t="s">
        <v>1163</v>
      </c>
      <c r="D648" s="13" t="s">
        <v>1975</v>
      </c>
      <c r="E648" s="13" t="s">
        <v>3072</v>
      </c>
      <c r="F648" s="13" t="s">
        <v>1977</v>
      </c>
      <c r="G648" s="13" t="s">
        <v>1978</v>
      </c>
      <c r="H648" s="13" t="s">
        <v>3073</v>
      </c>
      <c r="I648" s="15"/>
      <c r="J648" s="1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22.5" customHeight="1">
      <c r="A649" s="35">
        <v>647.0</v>
      </c>
      <c r="B649" s="20">
        <v>66.0</v>
      </c>
      <c r="C649" s="36" t="s">
        <v>1168</v>
      </c>
      <c r="D649" s="13" t="s">
        <v>3074</v>
      </c>
      <c r="E649" s="13" t="s">
        <v>3075</v>
      </c>
      <c r="F649" s="13" t="s">
        <v>2833</v>
      </c>
      <c r="G649" s="13" t="s">
        <v>2834</v>
      </c>
      <c r="H649" s="13" t="s">
        <v>2835</v>
      </c>
      <c r="I649" s="14" t="s">
        <v>18</v>
      </c>
      <c r="J649" s="1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22.5" hidden="1" customHeight="1">
      <c r="A650" s="35">
        <v>648.0</v>
      </c>
      <c r="B650" s="20">
        <v>66.0</v>
      </c>
      <c r="C650" s="36" t="s">
        <v>1163</v>
      </c>
      <c r="D650" s="13" t="s">
        <v>3076</v>
      </c>
      <c r="E650" s="13" t="s">
        <v>3077</v>
      </c>
      <c r="F650" s="13" t="s">
        <v>3078</v>
      </c>
      <c r="G650" s="13" t="s">
        <v>3079</v>
      </c>
      <c r="H650" s="13" t="s">
        <v>3080</v>
      </c>
      <c r="I650" s="14" t="s">
        <v>18</v>
      </c>
      <c r="J650" s="1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22.5" hidden="1" customHeight="1">
      <c r="A651" s="35">
        <v>649.0</v>
      </c>
      <c r="B651" s="20">
        <v>66.0</v>
      </c>
      <c r="C651" s="36" t="s">
        <v>1163</v>
      </c>
      <c r="D651" s="13" t="s">
        <v>3081</v>
      </c>
      <c r="E651" s="13" t="s">
        <v>3082</v>
      </c>
      <c r="F651" s="13" t="s">
        <v>1562</v>
      </c>
      <c r="G651" s="13" t="s">
        <v>1563</v>
      </c>
      <c r="H651" s="13" t="s">
        <v>1564</v>
      </c>
      <c r="I651" s="15"/>
      <c r="J651" s="1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22.5" customHeight="1">
      <c r="A652" s="35">
        <v>650.0</v>
      </c>
      <c r="B652" s="20">
        <v>66.0</v>
      </c>
      <c r="C652" s="36" t="s">
        <v>1168</v>
      </c>
      <c r="D652" s="13" t="s">
        <v>3083</v>
      </c>
      <c r="E652" s="13" t="s">
        <v>3084</v>
      </c>
      <c r="F652" s="13" t="s">
        <v>3085</v>
      </c>
      <c r="G652" s="13" t="s">
        <v>3086</v>
      </c>
      <c r="H652" s="13" t="s">
        <v>3087</v>
      </c>
      <c r="I652" s="14" t="s">
        <v>18</v>
      </c>
      <c r="J652" s="1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22.5" customHeight="1">
      <c r="A653" s="35">
        <v>651.0</v>
      </c>
      <c r="B653" s="20">
        <v>66.0</v>
      </c>
      <c r="C653" s="36" t="s">
        <v>1168</v>
      </c>
      <c r="D653" s="13" t="s">
        <v>2842</v>
      </c>
      <c r="E653" s="13" t="s">
        <v>2843</v>
      </c>
      <c r="F653" s="13" t="s">
        <v>695</v>
      </c>
      <c r="G653" s="13" t="s">
        <v>696</v>
      </c>
      <c r="H653" s="13" t="s">
        <v>2844</v>
      </c>
      <c r="I653" s="14" t="s">
        <v>18</v>
      </c>
      <c r="J653" s="1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22.5" customHeight="1">
      <c r="A654" s="35">
        <v>652.0</v>
      </c>
      <c r="B654" s="20">
        <v>66.0</v>
      </c>
      <c r="C654" s="36" t="s">
        <v>1168</v>
      </c>
      <c r="D654" s="13" t="s">
        <v>2188</v>
      </c>
      <c r="E654" s="13" t="s">
        <v>2935</v>
      </c>
      <c r="F654" s="13" t="s">
        <v>2190</v>
      </c>
      <c r="G654" s="13" t="s">
        <v>2191</v>
      </c>
      <c r="H654" s="13" t="s">
        <v>2192</v>
      </c>
      <c r="I654" s="15"/>
      <c r="J654" s="1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22.5" customHeight="1">
      <c r="A655" s="35">
        <v>653.0</v>
      </c>
      <c r="B655" s="20">
        <v>66.0</v>
      </c>
      <c r="C655" s="36" t="s">
        <v>1168</v>
      </c>
      <c r="D655" s="13" t="s">
        <v>1476</v>
      </c>
      <c r="E655" s="13" t="s">
        <v>3088</v>
      </c>
      <c r="F655" s="13" t="s">
        <v>435</v>
      </c>
      <c r="G655" s="13" t="s">
        <v>436</v>
      </c>
      <c r="H655" s="13" t="s">
        <v>1283</v>
      </c>
      <c r="I655" s="15"/>
      <c r="J655" s="1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22.5" customHeight="1">
      <c r="A656" s="35">
        <v>654.0</v>
      </c>
      <c r="B656" s="20">
        <v>66.0</v>
      </c>
      <c r="C656" s="36" t="s">
        <v>1218</v>
      </c>
      <c r="D656" s="13" t="s">
        <v>3089</v>
      </c>
      <c r="E656" s="13" t="s">
        <v>3090</v>
      </c>
      <c r="F656" s="13" t="s">
        <v>3091</v>
      </c>
      <c r="G656" s="13" t="s">
        <v>3092</v>
      </c>
      <c r="H656" s="13" t="s">
        <v>3093</v>
      </c>
      <c r="I656" s="15"/>
      <c r="J656" s="1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22.5" hidden="1" customHeight="1">
      <c r="A657" s="35">
        <v>655.0</v>
      </c>
      <c r="B657" s="20">
        <v>65.0</v>
      </c>
      <c r="C657" s="36" t="s">
        <v>1163</v>
      </c>
      <c r="D657" s="13" t="s">
        <v>3094</v>
      </c>
      <c r="E657" s="13" t="s">
        <v>3095</v>
      </c>
      <c r="F657" s="13" t="s">
        <v>3096</v>
      </c>
      <c r="G657" s="13" t="s">
        <v>3097</v>
      </c>
      <c r="H657" s="13" t="s">
        <v>3098</v>
      </c>
      <c r="I657" s="15"/>
      <c r="J657" s="1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22.5" customHeight="1">
      <c r="A658" s="35">
        <v>656.0</v>
      </c>
      <c r="B658" s="20">
        <v>65.0</v>
      </c>
      <c r="C658" s="36" t="s">
        <v>1218</v>
      </c>
      <c r="D658" s="13" t="s">
        <v>3099</v>
      </c>
      <c r="E658" s="13" t="s">
        <v>3100</v>
      </c>
      <c r="F658" s="13" t="s">
        <v>3101</v>
      </c>
      <c r="G658" s="13" t="s">
        <v>3102</v>
      </c>
      <c r="H658" s="13" t="s">
        <v>3103</v>
      </c>
      <c r="I658" s="14" t="s">
        <v>18</v>
      </c>
      <c r="J658" s="1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22.5" customHeight="1">
      <c r="A659" s="35">
        <v>657.0</v>
      </c>
      <c r="B659" s="20">
        <v>65.0</v>
      </c>
      <c r="C659" s="36" t="s">
        <v>1168</v>
      </c>
      <c r="D659" s="13" t="s">
        <v>3104</v>
      </c>
      <c r="E659" s="13" t="s">
        <v>3105</v>
      </c>
      <c r="F659" s="13" t="s">
        <v>3106</v>
      </c>
      <c r="G659" s="13" t="s">
        <v>3107</v>
      </c>
      <c r="H659" s="13" t="s">
        <v>3108</v>
      </c>
      <c r="I659" s="14" t="s">
        <v>18</v>
      </c>
      <c r="J659" s="1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22.5" hidden="1" customHeight="1">
      <c r="A660" s="35">
        <v>658.0</v>
      </c>
      <c r="B660" s="20">
        <v>65.0</v>
      </c>
      <c r="C660" s="36" t="s">
        <v>1163</v>
      </c>
      <c r="D660" s="13" t="s">
        <v>3109</v>
      </c>
      <c r="E660" s="13" t="s">
        <v>3110</v>
      </c>
      <c r="F660" s="13" t="s">
        <v>891</v>
      </c>
      <c r="G660" s="13" t="s">
        <v>892</v>
      </c>
      <c r="H660" s="13" t="s">
        <v>3111</v>
      </c>
      <c r="I660" s="14" t="s">
        <v>18</v>
      </c>
      <c r="J660" s="1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22.5" customHeight="1">
      <c r="A661" s="35">
        <v>659.0</v>
      </c>
      <c r="B661" s="20">
        <v>65.0</v>
      </c>
      <c r="C661" s="36" t="s">
        <v>1218</v>
      </c>
      <c r="D661" s="13" t="s">
        <v>3001</v>
      </c>
      <c r="E661" s="13" t="s">
        <v>3112</v>
      </c>
      <c r="F661" s="13" t="s">
        <v>3003</v>
      </c>
      <c r="G661" s="13" t="s">
        <v>3004</v>
      </c>
      <c r="H661" s="13" t="s">
        <v>3005</v>
      </c>
      <c r="I661" s="14" t="s">
        <v>18</v>
      </c>
      <c r="J661" s="1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22.5" customHeight="1">
      <c r="A662" s="35">
        <v>660.0</v>
      </c>
      <c r="B662" s="20">
        <v>65.0</v>
      </c>
      <c r="C662" s="36" t="s">
        <v>1168</v>
      </c>
      <c r="D662" s="13" t="s">
        <v>3113</v>
      </c>
      <c r="E662" s="13" t="s">
        <v>3114</v>
      </c>
      <c r="F662" s="13" t="s">
        <v>3115</v>
      </c>
      <c r="G662" s="13" t="s">
        <v>3116</v>
      </c>
      <c r="H662" s="13" t="s">
        <v>3117</v>
      </c>
      <c r="I662" s="14" t="s">
        <v>18</v>
      </c>
      <c r="J662" s="14" t="s">
        <v>18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22.5" customHeight="1">
      <c r="A663" s="35">
        <v>661.0</v>
      </c>
      <c r="B663" s="20">
        <v>65.0</v>
      </c>
      <c r="C663" s="36" t="s">
        <v>1168</v>
      </c>
      <c r="D663" s="13" t="s">
        <v>1925</v>
      </c>
      <c r="E663" s="13" t="s">
        <v>3118</v>
      </c>
      <c r="F663" s="13" t="s">
        <v>1927</v>
      </c>
      <c r="G663" s="13" t="s">
        <v>1928</v>
      </c>
      <c r="H663" s="13" t="s">
        <v>1335</v>
      </c>
      <c r="I663" s="15"/>
      <c r="J663" s="1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22.5" customHeight="1">
      <c r="A664" s="35">
        <v>662.0</v>
      </c>
      <c r="B664" s="20">
        <v>65.0</v>
      </c>
      <c r="C664" s="36" t="s">
        <v>1168</v>
      </c>
      <c r="D664" s="13" t="s">
        <v>1519</v>
      </c>
      <c r="E664" s="13" t="s">
        <v>1520</v>
      </c>
      <c r="F664" s="13" t="s">
        <v>1521</v>
      </c>
      <c r="G664" s="13" t="s">
        <v>1522</v>
      </c>
      <c r="H664" s="13" t="s">
        <v>1523</v>
      </c>
      <c r="I664" s="15"/>
      <c r="J664" s="1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22.5" customHeight="1">
      <c r="A665" s="35">
        <v>663.0</v>
      </c>
      <c r="B665" s="20">
        <v>65.0</v>
      </c>
      <c r="C665" s="36" t="s">
        <v>1168</v>
      </c>
      <c r="D665" s="13" t="s">
        <v>1399</v>
      </c>
      <c r="E665" s="13" t="s">
        <v>1400</v>
      </c>
      <c r="F665" s="13" t="s">
        <v>1401</v>
      </c>
      <c r="G665" s="13" t="s">
        <v>1402</v>
      </c>
      <c r="H665" s="13" t="s">
        <v>1403</v>
      </c>
      <c r="I665" s="14" t="s">
        <v>18</v>
      </c>
      <c r="J665" s="14" t="s">
        <v>18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22.5" customHeight="1">
      <c r="A666" s="35">
        <v>664.0</v>
      </c>
      <c r="B666" s="20">
        <v>65.0</v>
      </c>
      <c r="C666" s="36" t="s">
        <v>1168</v>
      </c>
      <c r="D666" s="13" t="s">
        <v>1524</v>
      </c>
      <c r="E666" s="13" t="s">
        <v>3119</v>
      </c>
      <c r="F666" s="13" t="s">
        <v>1526</v>
      </c>
      <c r="G666" s="13" t="s">
        <v>1527</v>
      </c>
      <c r="H666" s="13" t="s">
        <v>1528</v>
      </c>
      <c r="I666" s="15"/>
      <c r="J666" s="1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22.5" customHeight="1">
      <c r="A667" s="35">
        <v>665.0</v>
      </c>
      <c r="B667" s="20">
        <v>65.0</v>
      </c>
      <c r="C667" s="36" t="s">
        <v>1218</v>
      </c>
      <c r="D667" s="13" t="s">
        <v>3120</v>
      </c>
      <c r="E667" s="13" t="s">
        <v>3121</v>
      </c>
      <c r="F667" s="13" t="s">
        <v>3122</v>
      </c>
      <c r="G667" s="13" t="s">
        <v>3123</v>
      </c>
      <c r="H667" s="13" t="s">
        <v>3124</v>
      </c>
      <c r="I667" s="14" t="s">
        <v>18</v>
      </c>
      <c r="J667" s="1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22.5" hidden="1" customHeight="1">
      <c r="A668" s="35">
        <v>666.0</v>
      </c>
      <c r="B668" s="20">
        <v>65.0</v>
      </c>
      <c r="C668" s="36" t="s">
        <v>1163</v>
      </c>
      <c r="D668" s="13" t="s">
        <v>3081</v>
      </c>
      <c r="E668" s="13" t="s">
        <v>3125</v>
      </c>
      <c r="F668" s="13" t="s">
        <v>1562</v>
      </c>
      <c r="G668" s="13" t="s">
        <v>1563</v>
      </c>
      <c r="H668" s="13" t="s">
        <v>1564</v>
      </c>
      <c r="I668" s="15"/>
      <c r="J668" s="1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22.5" customHeight="1">
      <c r="A669" s="35">
        <v>667.0</v>
      </c>
      <c r="B669" s="20">
        <v>65.0</v>
      </c>
      <c r="C669" s="36" t="s">
        <v>1168</v>
      </c>
      <c r="D669" s="13" t="s">
        <v>1407</v>
      </c>
      <c r="E669" s="13" t="s">
        <v>3126</v>
      </c>
      <c r="F669" s="13" t="s">
        <v>1409</v>
      </c>
      <c r="G669" s="13" t="s">
        <v>3127</v>
      </c>
      <c r="H669" s="13" t="s">
        <v>1411</v>
      </c>
      <c r="I669" s="15"/>
      <c r="J669" s="1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22.5" hidden="1" customHeight="1">
      <c r="A670" s="35">
        <v>668.0</v>
      </c>
      <c r="B670" s="20">
        <v>65.0</v>
      </c>
      <c r="C670" s="36" t="s">
        <v>1163</v>
      </c>
      <c r="D670" s="13" t="s">
        <v>2295</v>
      </c>
      <c r="E670" s="13" t="s">
        <v>3128</v>
      </c>
      <c r="F670" s="13" t="s">
        <v>405</v>
      </c>
      <c r="G670" s="13" t="s">
        <v>406</v>
      </c>
      <c r="H670" s="21" t="s">
        <v>2297</v>
      </c>
      <c r="I670" s="15"/>
      <c r="J670" s="1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22.5" hidden="1" customHeight="1">
      <c r="A671" s="35">
        <v>669.0</v>
      </c>
      <c r="B671" s="20">
        <v>65.0</v>
      </c>
      <c r="C671" s="36" t="s">
        <v>1163</v>
      </c>
      <c r="D671" s="13" t="s">
        <v>2942</v>
      </c>
      <c r="E671" s="13" t="s">
        <v>3129</v>
      </c>
      <c r="F671" s="13" t="s">
        <v>2944</v>
      </c>
      <c r="G671" s="13" t="s">
        <v>2945</v>
      </c>
      <c r="H671" s="13" t="s">
        <v>2391</v>
      </c>
      <c r="I671" s="14" t="s">
        <v>18</v>
      </c>
      <c r="J671" s="1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22.5" hidden="1" customHeight="1">
      <c r="A672" s="35">
        <v>670.0</v>
      </c>
      <c r="B672" s="20">
        <v>64.0</v>
      </c>
      <c r="C672" s="36" t="s">
        <v>1163</v>
      </c>
      <c r="D672" s="13" t="s">
        <v>2048</v>
      </c>
      <c r="E672" s="13" t="s">
        <v>3130</v>
      </c>
      <c r="F672" s="13" t="s">
        <v>2050</v>
      </c>
      <c r="G672" s="13" t="s">
        <v>2051</v>
      </c>
      <c r="H672" s="13" t="s">
        <v>1902</v>
      </c>
      <c r="I672" s="14" t="s">
        <v>18</v>
      </c>
      <c r="J672" s="14" t="s">
        <v>18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22.5" customHeight="1">
      <c r="A673" s="35">
        <v>671.0</v>
      </c>
      <c r="B673" s="20">
        <v>64.0</v>
      </c>
      <c r="C673" s="36" t="s">
        <v>1218</v>
      </c>
      <c r="D673" s="13" t="s">
        <v>1756</v>
      </c>
      <c r="E673" s="13" t="s">
        <v>3131</v>
      </c>
      <c r="F673" s="13" t="s">
        <v>1758</v>
      </c>
      <c r="G673" s="13" t="s">
        <v>3132</v>
      </c>
      <c r="H673" s="13" t="s">
        <v>1760</v>
      </c>
      <c r="I673" s="15"/>
      <c r="J673" s="1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22.5" customHeight="1">
      <c r="A674" s="35">
        <v>672.0</v>
      </c>
      <c r="B674" s="20">
        <v>64.0</v>
      </c>
      <c r="C674" s="36" t="s">
        <v>1218</v>
      </c>
      <c r="D674" s="13" t="s">
        <v>1646</v>
      </c>
      <c r="E674" s="13" t="s">
        <v>3133</v>
      </c>
      <c r="F674" s="13" t="s">
        <v>1648</v>
      </c>
      <c r="G674" s="13" t="s">
        <v>1649</v>
      </c>
      <c r="H674" s="13" t="s">
        <v>1650</v>
      </c>
      <c r="I674" s="14" t="s">
        <v>18</v>
      </c>
      <c r="J674" s="1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22.5" customHeight="1">
      <c r="A675" s="35">
        <v>673.0</v>
      </c>
      <c r="B675" s="20">
        <v>64.0</v>
      </c>
      <c r="C675" s="36" t="s">
        <v>1218</v>
      </c>
      <c r="D675" s="13" t="s">
        <v>3134</v>
      </c>
      <c r="E675" s="13" t="s">
        <v>3135</v>
      </c>
      <c r="F675" s="13" t="s">
        <v>3136</v>
      </c>
      <c r="G675" s="13" t="s">
        <v>3137</v>
      </c>
      <c r="H675" s="13" t="s">
        <v>3138</v>
      </c>
      <c r="I675" s="15"/>
      <c r="J675" s="1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22.5" customHeight="1">
      <c r="A676" s="35">
        <v>674.0</v>
      </c>
      <c r="B676" s="20">
        <v>64.0</v>
      </c>
      <c r="C676" s="36" t="s">
        <v>1218</v>
      </c>
      <c r="D676" s="13" t="s">
        <v>2280</v>
      </c>
      <c r="E676" s="13" t="s">
        <v>3139</v>
      </c>
      <c r="F676" s="13" t="s">
        <v>2282</v>
      </c>
      <c r="G676" s="13" t="s">
        <v>2283</v>
      </c>
      <c r="H676" s="13" t="s">
        <v>2284</v>
      </c>
      <c r="I676" s="14" t="s">
        <v>18</v>
      </c>
      <c r="J676" s="1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22.5" customHeight="1">
      <c r="A677" s="35">
        <v>675.0</v>
      </c>
      <c r="B677" s="20">
        <v>64.0</v>
      </c>
      <c r="C677" s="36" t="s">
        <v>1168</v>
      </c>
      <c r="D677" s="13" t="s">
        <v>2764</v>
      </c>
      <c r="E677" s="13" t="s">
        <v>3140</v>
      </c>
      <c r="F677" s="13" t="s">
        <v>2766</v>
      </c>
      <c r="G677" s="13" t="s">
        <v>2767</v>
      </c>
      <c r="H677" s="13" t="s">
        <v>2768</v>
      </c>
      <c r="I677" s="14" t="s">
        <v>18</v>
      </c>
      <c r="J677" s="1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22.5" hidden="1" customHeight="1">
      <c r="A678" s="35">
        <v>676.0</v>
      </c>
      <c r="B678" s="20">
        <v>64.0</v>
      </c>
      <c r="C678" s="36" t="s">
        <v>1163</v>
      </c>
      <c r="D678" s="13" t="s">
        <v>3141</v>
      </c>
      <c r="E678" s="13" t="s">
        <v>3142</v>
      </c>
      <c r="F678" s="13" t="s">
        <v>888</v>
      </c>
      <c r="G678" s="13" t="s">
        <v>889</v>
      </c>
      <c r="H678" s="13" t="s">
        <v>3143</v>
      </c>
      <c r="I678" s="14" t="s">
        <v>18</v>
      </c>
      <c r="J678" s="1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22.5" customHeight="1">
      <c r="A679" s="35">
        <v>677.0</v>
      </c>
      <c r="B679" s="20">
        <v>64.0</v>
      </c>
      <c r="C679" s="36" t="s">
        <v>1168</v>
      </c>
      <c r="D679" s="13" t="s">
        <v>3074</v>
      </c>
      <c r="E679" s="13" t="s">
        <v>3075</v>
      </c>
      <c r="F679" s="13" t="s">
        <v>2833</v>
      </c>
      <c r="G679" s="13" t="s">
        <v>2834</v>
      </c>
      <c r="H679" s="13" t="s">
        <v>2835</v>
      </c>
      <c r="I679" s="14" t="s">
        <v>18</v>
      </c>
      <c r="J679" s="1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22.5" hidden="1" customHeight="1">
      <c r="A680" s="35">
        <v>678.0</v>
      </c>
      <c r="B680" s="20">
        <v>64.0</v>
      </c>
      <c r="C680" s="36" t="s">
        <v>1163</v>
      </c>
      <c r="D680" s="13" t="s">
        <v>3144</v>
      </c>
      <c r="E680" s="13" t="s">
        <v>3145</v>
      </c>
      <c r="F680" s="13" t="s">
        <v>3146</v>
      </c>
      <c r="G680" s="13" t="s">
        <v>3147</v>
      </c>
      <c r="H680" s="13" t="s">
        <v>3148</v>
      </c>
      <c r="I680" s="15"/>
      <c r="J680" s="1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22.5" customHeight="1">
      <c r="A681" s="35">
        <v>679.0</v>
      </c>
      <c r="B681" s="20">
        <v>64.0</v>
      </c>
      <c r="C681" s="36" t="s">
        <v>1168</v>
      </c>
      <c r="D681" s="13" t="s">
        <v>1808</v>
      </c>
      <c r="E681" s="13" t="s">
        <v>3149</v>
      </c>
      <c r="F681" s="13" t="s">
        <v>1809</v>
      </c>
      <c r="G681" s="13" t="s">
        <v>1810</v>
      </c>
      <c r="H681" s="13" t="s">
        <v>1558</v>
      </c>
      <c r="I681" s="15"/>
      <c r="J681" s="1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22.5" customHeight="1">
      <c r="A682" s="35">
        <v>680.0</v>
      </c>
      <c r="B682" s="20">
        <v>64.0</v>
      </c>
      <c r="C682" s="36" t="s">
        <v>1168</v>
      </c>
      <c r="D682" s="13" t="s">
        <v>2188</v>
      </c>
      <c r="E682" s="13" t="s">
        <v>2935</v>
      </c>
      <c r="F682" s="13" t="s">
        <v>2190</v>
      </c>
      <c r="G682" s="13" t="s">
        <v>2191</v>
      </c>
      <c r="H682" s="13" t="s">
        <v>2192</v>
      </c>
      <c r="I682" s="15"/>
      <c r="J682" s="1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22.5" customHeight="1">
      <c r="A683" s="35">
        <v>681.0</v>
      </c>
      <c r="B683" s="20">
        <v>64.0</v>
      </c>
      <c r="C683" s="36" t="s">
        <v>1168</v>
      </c>
      <c r="D683" s="13" t="s">
        <v>1476</v>
      </c>
      <c r="E683" s="13" t="s">
        <v>3150</v>
      </c>
      <c r="F683" s="13" t="s">
        <v>435</v>
      </c>
      <c r="G683" s="13" t="s">
        <v>436</v>
      </c>
      <c r="H683" s="13" t="s">
        <v>1283</v>
      </c>
      <c r="I683" s="15"/>
      <c r="J683" s="1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22.5" customHeight="1">
      <c r="A684" s="35">
        <v>682.0</v>
      </c>
      <c r="B684" s="20">
        <v>64.0</v>
      </c>
      <c r="C684" s="36" t="s">
        <v>1168</v>
      </c>
      <c r="D684" s="13" t="s">
        <v>1532</v>
      </c>
      <c r="E684" s="13" t="s">
        <v>2145</v>
      </c>
      <c r="F684" s="13" t="s">
        <v>1534</v>
      </c>
      <c r="G684" s="13" t="s">
        <v>1535</v>
      </c>
      <c r="H684" s="13" t="s">
        <v>1536</v>
      </c>
      <c r="I684" s="14" t="s">
        <v>18</v>
      </c>
      <c r="J684" s="1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22.5" hidden="1" customHeight="1">
      <c r="A685" s="35">
        <v>683.0</v>
      </c>
      <c r="B685" s="20">
        <v>64.0</v>
      </c>
      <c r="C685" s="36" t="s">
        <v>1163</v>
      </c>
      <c r="D685" s="13" t="s">
        <v>3151</v>
      </c>
      <c r="E685" s="13" t="s">
        <v>3152</v>
      </c>
      <c r="F685" s="13" t="s">
        <v>3153</v>
      </c>
      <c r="G685" s="13" t="s">
        <v>3154</v>
      </c>
      <c r="H685" s="13" t="s">
        <v>3155</v>
      </c>
      <c r="I685" s="14" t="s">
        <v>18</v>
      </c>
      <c r="J685" s="14" t="s">
        <v>18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22.5" hidden="1" customHeight="1">
      <c r="A686" s="35">
        <v>684.0</v>
      </c>
      <c r="B686" s="20">
        <v>64.0</v>
      </c>
      <c r="C686" s="36" t="s">
        <v>1163</v>
      </c>
      <c r="D686" s="13" t="s">
        <v>3156</v>
      </c>
      <c r="E686" s="13" t="s">
        <v>3157</v>
      </c>
      <c r="F686" s="13" t="s">
        <v>3158</v>
      </c>
      <c r="G686" s="13" t="s">
        <v>3159</v>
      </c>
      <c r="H686" s="13" t="s">
        <v>3160</v>
      </c>
      <c r="I686" s="15"/>
      <c r="J686" s="1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22.5" customHeight="1">
      <c r="A687" s="35">
        <v>685.0</v>
      </c>
      <c r="B687" s="20">
        <v>63.0</v>
      </c>
      <c r="C687" s="36" t="s">
        <v>1168</v>
      </c>
      <c r="D687" s="13" t="s">
        <v>3161</v>
      </c>
      <c r="E687" s="13" t="s">
        <v>3162</v>
      </c>
      <c r="F687" s="13" t="s">
        <v>3163</v>
      </c>
      <c r="G687" s="13" t="s">
        <v>3164</v>
      </c>
      <c r="H687" s="13" t="s">
        <v>3165</v>
      </c>
      <c r="I687" s="14" t="s">
        <v>18</v>
      </c>
      <c r="J687" s="1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22.5" customHeight="1">
      <c r="A688" s="35">
        <v>686.0</v>
      </c>
      <c r="B688" s="20">
        <v>63.0</v>
      </c>
      <c r="C688" s="36" t="s">
        <v>1168</v>
      </c>
      <c r="D688" s="13" t="s">
        <v>1947</v>
      </c>
      <c r="E688" s="13" t="s">
        <v>3166</v>
      </c>
      <c r="F688" s="13" t="s">
        <v>1949</v>
      </c>
      <c r="G688" s="13" t="s">
        <v>1950</v>
      </c>
      <c r="H688" s="13" t="s">
        <v>1951</v>
      </c>
      <c r="I688" s="15"/>
      <c r="J688" s="1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22.5" hidden="1" customHeight="1">
      <c r="A689" s="35">
        <v>687.0</v>
      </c>
      <c r="B689" s="20">
        <v>63.0</v>
      </c>
      <c r="C689" s="36" t="s">
        <v>1163</v>
      </c>
      <c r="D689" s="13" t="s">
        <v>2540</v>
      </c>
      <c r="E689" s="13" t="s">
        <v>3167</v>
      </c>
      <c r="F689" s="13" t="s">
        <v>3168</v>
      </c>
      <c r="G689" s="13" t="s">
        <v>3169</v>
      </c>
      <c r="H689" s="13" t="s">
        <v>3170</v>
      </c>
      <c r="I689" s="15"/>
      <c r="J689" s="1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22.5" hidden="1" customHeight="1">
      <c r="A690" s="35">
        <v>688.0</v>
      </c>
      <c r="B690" s="20">
        <v>63.0</v>
      </c>
      <c r="C690" s="36" t="s">
        <v>1163</v>
      </c>
      <c r="D690" s="13" t="s">
        <v>2855</v>
      </c>
      <c r="E690" s="13" t="s">
        <v>3171</v>
      </c>
      <c r="F690" s="13" t="s">
        <v>2857</v>
      </c>
      <c r="G690" s="13" t="s">
        <v>2959</v>
      </c>
      <c r="H690" s="13" t="s">
        <v>2859</v>
      </c>
      <c r="I690" s="14" t="s">
        <v>18</v>
      </c>
      <c r="J690" s="1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22.5" customHeight="1">
      <c r="A691" s="35">
        <v>689.0</v>
      </c>
      <c r="B691" s="20">
        <v>63.0</v>
      </c>
      <c r="C691" s="36" t="s">
        <v>1218</v>
      </c>
      <c r="D691" s="13" t="s">
        <v>3172</v>
      </c>
      <c r="E691" s="13" t="s">
        <v>3173</v>
      </c>
      <c r="F691" s="13" t="s">
        <v>3174</v>
      </c>
      <c r="G691" s="13" t="s">
        <v>3175</v>
      </c>
      <c r="H691" s="13" t="s">
        <v>3176</v>
      </c>
      <c r="I691" s="14" t="s">
        <v>18</v>
      </c>
      <c r="J691" s="1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22.5" customHeight="1">
      <c r="A692" s="35">
        <v>690.0</v>
      </c>
      <c r="B692" s="20">
        <v>63.0</v>
      </c>
      <c r="C692" s="36" t="s">
        <v>1218</v>
      </c>
      <c r="D692" s="13" t="s">
        <v>3177</v>
      </c>
      <c r="E692" s="13" t="s">
        <v>3178</v>
      </c>
      <c r="F692" s="13" t="s">
        <v>3179</v>
      </c>
      <c r="G692" s="13" t="s">
        <v>3180</v>
      </c>
      <c r="H692" s="13" t="s">
        <v>3181</v>
      </c>
      <c r="I692" s="14" t="s">
        <v>18</v>
      </c>
      <c r="J692" s="1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22.5" hidden="1" customHeight="1">
      <c r="A693" s="35">
        <v>691.0</v>
      </c>
      <c r="B693" s="20">
        <v>63.0</v>
      </c>
      <c r="C693" s="36" t="s">
        <v>1163</v>
      </c>
      <c r="D693" s="13" t="s">
        <v>3182</v>
      </c>
      <c r="E693" s="13" t="s">
        <v>3183</v>
      </c>
      <c r="F693" s="13" t="s">
        <v>3184</v>
      </c>
      <c r="G693" s="13" t="s">
        <v>3185</v>
      </c>
      <c r="H693" s="13" t="s">
        <v>3186</v>
      </c>
      <c r="I693" s="14" t="s">
        <v>18</v>
      </c>
      <c r="J693" s="1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22.5" customHeight="1">
      <c r="A694" s="35">
        <v>692.0</v>
      </c>
      <c r="B694" s="20">
        <v>63.0</v>
      </c>
      <c r="C694" s="36" t="s">
        <v>1168</v>
      </c>
      <c r="D694" s="13" t="s">
        <v>3187</v>
      </c>
      <c r="E694" s="13" t="s">
        <v>1935</v>
      </c>
      <c r="F694" s="13" t="s">
        <v>3188</v>
      </c>
      <c r="G694" s="13" t="s">
        <v>3189</v>
      </c>
      <c r="H694" s="13" t="s">
        <v>3190</v>
      </c>
      <c r="I694" s="14" t="s">
        <v>18</v>
      </c>
      <c r="J694" s="1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22.5" customHeight="1">
      <c r="A695" s="35">
        <v>693.0</v>
      </c>
      <c r="B695" s="20">
        <v>63.0</v>
      </c>
      <c r="C695" s="36" t="s">
        <v>1168</v>
      </c>
      <c r="D695" s="13" t="s">
        <v>1210</v>
      </c>
      <c r="E695" s="13" t="s">
        <v>3042</v>
      </c>
      <c r="F695" s="13" t="s">
        <v>89</v>
      </c>
      <c r="G695" s="13" t="s">
        <v>90</v>
      </c>
      <c r="H695" s="13" t="s">
        <v>1213</v>
      </c>
      <c r="I695" s="15"/>
      <c r="J695" s="1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22.5" customHeight="1">
      <c r="A696" s="35">
        <v>694.0</v>
      </c>
      <c r="B696" s="20">
        <v>63.0</v>
      </c>
      <c r="C696" s="36" t="s">
        <v>1218</v>
      </c>
      <c r="D696" s="13" t="s">
        <v>3191</v>
      </c>
      <c r="E696" s="13" t="s">
        <v>3192</v>
      </c>
      <c r="F696" s="13" t="s">
        <v>3193</v>
      </c>
      <c r="G696" s="13" t="s">
        <v>3194</v>
      </c>
      <c r="H696" s="13" t="s">
        <v>3195</v>
      </c>
      <c r="I696" s="14" t="s">
        <v>18</v>
      </c>
      <c r="J696" s="1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22.5" customHeight="1">
      <c r="A697" s="35">
        <v>695.0</v>
      </c>
      <c r="B697" s="20">
        <v>63.0</v>
      </c>
      <c r="C697" s="36" t="s">
        <v>1168</v>
      </c>
      <c r="D697" s="13" t="s">
        <v>1776</v>
      </c>
      <c r="E697" s="13" t="s">
        <v>1777</v>
      </c>
      <c r="F697" s="13" t="s">
        <v>1778</v>
      </c>
      <c r="G697" s="13" t="s">
        <v>1779</v>
      </c>
      <c r="H697" s="13" t="s">
        <v>1780</v>
      </c>
      <c r="I697" s="15"/>
      <c r="J697" s="1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22.5" hidden="1" customHeight="1">
      <c r="A698" s="35">
        <v>696.0</v>
      </c>
      <c r="B698" s="20">
        <v>63.0</v>
      </c>
      <c r="C698" s="36" t="s">
        <v>1163</v>
      </c>
      <c r="D698" s="13" t="s">
        <v>3196</v>
      </c>
      <c r="E698" s="13" t="s">
        <v>3197</v>
      </c>
      <c r="F698" s="13" t="s">
        <v>816</v>
      </c>
      <c r="G698" s="13" t="s">
        <v>817</v>
      </c>
      <c r="H698" s="13" t="s">
        <v>2253</v>
      </c>
      <c r="I698" s="14" t="s">
        <v>18</v>
      </c>
      <c r="J698" s="1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22.5" customHeight="1">
      <c r="A699" s="35">
        <v>697.0</v>
      </c>
      <c r="B699" s="20">
        <v>63.0</v>
      </c>
      <c r="C699" s="36" t="s">
        <v>1218</v>
      </c>
      <c r="D699" s="13" t="s">
        <v>1270</v>
      </c>
      <c r="E699" s="13" t="s">
        <v>2776</v>
      </c>
      <c r="F699" s="13" t="s">
        <v>1272</v>
      </c>
      <c r="G699" s="13" t="s">
        <v>1987</v>
      </c>
      <c r="H699" s="13" t="s">
        <v>1274</v>
      </c>
      <c r="I699" s="15"/>
      <c r="J699" s="1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22.5" customHeight="1">
      <c r="A700" s="35">
        <v>698.0</v>
      </c>
      <c r="B700" s="20">
        <v>63.0</v>
      </c>
      <c r="C700" s="36" t="s">
        <v>1168</v>
      </c>
      <c r="D700" s="13" t="s">
        <v>1744</v>
      </c>
      <c r="E700" s="13" t="s">
        <v>3012</v>
      </c>
      <c r="F700" s="13" t="s">
        <v>1745</v>
      </c>
      <c r="G700" s="13" t="s">
        <v>1746</v>
      </c>
      <c r="H700" s="13" t="s">
        <v>1425</v>
      </c>
      <c r="I700" s="14" t="s">
        <v>18</v>
      </c>
      <c r="J700" s="1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22.5" hidden="1" customHeight="1">
      <c r="A701" s="35">
        <v>699.0</v>
      </c>
      <c r="B701" s="20">
        <v>63.0</v>
      </c>
      <c r="C701" s="36" t="s">
        <v>1163</v>
      </c>
      <c r="D701" s="13" t="s">
        <v>2585</v>
      </c>
      <c r="E701" s="13" t="s">
        <v>3198</v>
      </c>
      <c r="F701" s="13" t="s">
        <v>2587</v>
      </c>
      <c r="G701" s="13" t="s">
        <v>2588</v>
      </c>
      <c r="H701" s="13" t="s">
        <v>2589</v>
      </c>
      <c r="I701" s="14" t="s">
        <v>18</v>
      </c>
      <c r="J701" s="1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22.5" customHeight="1">
      <c r="A702" s="35">
        <v>700.0</v>
      </c>
      <c r="B702" s="20">
        <v>62.0</v>
      </c>
      <c r="C702" s="36" t="s">
        <v>1218</v>
      </c>
      <c r="D702" s="13" t="s">
        <v>1747</v>
      </c>
      <c r="E702" s="13" t="s">
        <v>3199</v>
      </c>
      <c r="F702" s="13" t="s">
        <v>1749</v>
      </c>
      <c r="G702" s="13" t="s">
        <v>2359</v>
      </c>
      <c r="H702" s="13" t="s">
        <v>1751</v>
      </c>
      <c r="I702" s="15"/>
      <c r="J702" s="1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22.5" customHeight="1">
      <c r="A703" s="35">
        <v>701.0</v>
      </c>
      <c r="B703" s="20">
        <v>62.0</v>
      </c>
      <c r="C703" s="36" t="s">
        <v>1168</v>
      </c>
      <c r="D703" s="13" t="s">
        <v>1232</v>
      </c>
      <c r="E703" s="13" t="s">
        <v>2754</v>
      </c>
      <c r="F703" s="13" t="s">
        <v>1234</v>
      </c>
      <c r="G703" s="13" t="s">
        <v>1235</v>
      </c>
      <c r="H703" s="13" t="s">
        <v>1236</v>
      </c>
      <c r="I703" s="15"/>
      <c r="J703" s="1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22.5" customHeight="1">
      <c r="A704" s="35">
        <v>702.0</v>
      </c>
      <c r="B704" s="20">
        <v>62.0</v>
      </c>
      <c r="C704" s="36" t="s">
        <v>1218</v>
      </c>
      <c r="D704" s="13" t="s">
        <v>3200</v>
      </c>
      <c r="E704" s="13" t="s">
        <v>3201</v>
      </c>
      <c r="F704" s="13" t="s">
        <v>2949</v>
      </c>
      <c r="G704" s="13" t="s">
        <v>2950</v>
      </c>
      <c r="H704" s="13" t="s">
        <v>2951</v>
      </c>
      <c r="I704" s="14" t="s">
        <v>18</v>
      </c>
      <c r="J704" s="1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22.5" hidden="1" customHeight="1">
      <c r="A705" s="35">
        <v>703.0</v>
      </c>
      <c r="B705" s="20">
        <v>62.0</v>
      </c>
      <c r="C705" s="36" t="s">
        <v>1163</v>
      </c>
      <c r="D705" s="13" t="s">
        <v>3202</v>
      </c>
      <c r="E705" s="13" t="s">
        <v>3203</v>
      </c>
      <c r="F705" s="13" t="s">
        <v>395</v>
      </c>
      <c r="G705" s="13" t="s">
        <v>3204</v>
      </c>
      <c r="H705" s="13" t="s">
        <v>3205</v>
      </c>
      <c r="I705" s="15"/>
      <c r="J705" s="1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22.5" customHeight="1">
      <c r="A706" s="35">
        <v>704.0</v>
      </c>
      <c r="B706" s="20">
        <v>62.0</v>
      </c>
      <c r="C706" s="36" t="s">
        <v>1168</v>
      </c>
      <c r="D706" s="13" t="s">
        <v>3206</v>
      </c>
      <c r="E706" s="13" t="s">
        <v>3207</v>
      </c>
      <c r="F706" s="13" t="s">
        <v>1286</v>
      </c>
      <c r="G706" s="13" t="s">
        <v>1287</v>
      </c>
      <c r="H706" s="13" t="s">
        <v>3208</v>
      </c>
      <c r="I706" s="15"/>
      <c r="J706" s="1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22.5" hidden="1" customHeight="1">
      <c r="A707" s="35">
        <v>705.0</v>
      </c>
      <c r="B707" s="20">
        <v>62.0</v>
      </c>
      <c r="C707" s="36" t="s">
        <v>1163</v>
      </c>
      <c r="D707" s="13" t="s">
        <v>2269</v>
      </c>
      <c r="E707" s="13" t="s">
        <v>3209</v>
      </c>
      <c r="F707" s="13" t="s">
        <v>1154</v>
      </c>
      <c r="G707" s="13" t="s">
        <v>1155</v>
      </c>
      <c r="H707" s="13" t="s">
        <v>3210</v>
      </c>
      <c r="I707" s="15"/>
      <c r="J707" s="1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22.5" customHeight="1">
      <c r="A708" s="35">
        <v>706.0</v>
      </c>
      <c r="B708" s="20">
        <v>62.0</v>
      </c>
      <c r="C708" s="36" t="s">
        <v>1218</v>
      </c>
      <c r="D708" s="13" t="s">
        <v>2961</v>
      </c>
      <c r="E708" s="13" t="s">
        <v>2962</v>
      </c>
      <c r="F708" s="13" t="s">
        <v>2963</v>
      </c>
      <c r="G708" s="13" t="s">
        <v>2964</v>
      </c>
      <c r="H708" s="13" t="s">
        <v>2965</v>
      </c>
      <c r="I708" s="14" t="s">
        <v>18</v>
      </c>
      <c r="J708" s="1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22.5" customHeight="1">
      <c r="A709" s="35">
        <v>707.0</v>
      </c>
      <c r="B709" s="20">
        <v>62.0</v>
      </c>
      <c r="C709" s="36" t="s">
        <v>1168</v>
      </c>
      <c r="D709" s="13" t="s">
        <v>1519</v>
      </c>
      <c r="E709" s="13" t="s">
        <v>1520</v>
      </c>
      <c r="F709" s="13" t="s">
        <v>1521</v>
      </c>
      <c r="G709" s="13" t="s">
        <v>1522</v>
      </c>
      <c r="H709" s="13" t="s">
        <v>1523</v>
      </c>
      <c r="I709" s="14" t="s">
        <v>18</v>
      </c>
      <c r="J709" s="1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22.5" hidden="1" customHeight="1">
      <c r="A710" s="35">
        <v>708.0</v>
      </c>
      <c r="B710" s="20">
        <v>62.0</v>
      </c>
      <c r="C710" s="36" t="s">
        <v>1163</v>
      </c>
      <c r="D710" s="13" t="s">
        <v>3211</v>
      </c>
      <c r="E710" s="13" t="s">
        <v>3212</v>
      </c>
      <c r="F710" s="13" t="s">
        <v>865</v>
      </c>
      <c r="G710" s="13" t="s">
        <v>907</v>
      </c>
      <c r="H710" s="13" t="s">
        <v>3213</v>
      </c>
      <c r="I710" s="15"/>
      <c r="J710" s="1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22.5" customHeight="1">
      <c r="A711" s="35">
        <v>709.0</v>
      </c>
      <c r="B711" s="20">
        <v>62.0</v>
      </c>
      <c r="C711" s="36" t="s">
        <v>1168</v>
      </c>
      <c r="D711" s="13" t="s">
        <v>2649</v>
      </c>
      <c r="E711" s="13" t="s">
        <v>3214</v>
      </c>
      <c r="F711" s="13" t="s">
        <v>2651</v>
      </c>
      <c r="G711" s="13" t="s">
        <v>2652</v>
      </c>
      <c r="H711" s="13" t="s">
        <v>2653</v>
      </c>
      <c r="I711" s="15"/>
      <c r="J711" s="1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22.5" customHeight="1">
      <c r="A712" s="35">
        <v>710.0</v>
      </c>
      <c r="B712" s="20">
        <v>62.0</v>
      </c>
      <c r="C712" s="36" t="s">
        <v>1168</v>
      </c>
      <c r="D712" s="13" t="s">
        <v>3215</v>
      </c>
      <c r="E712" s="13" t="s">
        <v>3216</v>
      </c>
      <c r="F712" s="13" t="s">
        <v>3217</v>
      </c>
      <c r="G712" s="13" t="s">
        <v>3218</v>
      </c>
      <c r="H712" s="13" t="s">
        <v>3219</v>
      </c>
      <c r="I712" s="14" t="s">
        <v>18</v>
      </c>
      <c r="J712" s="1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22.5" hidden="1" customHeight="1">
      <c r="A713" s="35">
        <v>711.0</v>
      </c>
      <c r="B713" s="20">
        <v>62.0</v>
      </c>
      <c r="C713" s="36" t="s">
        <v>1163</v>
      </c>
      <c r="D713" s="13" t="s">
        <v>3220</v>
      </c>
      <c r="E713" s="13" t="s">
        <v>3221</v>
      </c>
      <c r="F713" s="13" t="s">
        <v>1355</v>
      </c>
      <c r="G713" s="13" t="s">
        <v>1356</v>
      </c>
      <c r="H713" s="13" t="s">
        <v>3222</v>
      </c>
      <c r="I713" s="15"/>
      <c r="J713" s="1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22.5" hidden="1" customHeight="1">
      <c r="A714" s="35">
        <v>712.0</v>
      </c>
      <c r="B714" s="20">
        <v>62.0</v>
      </c>
      <c r="C714" s="36" t="s">
        <v>1163</v>
      </c>
      <c r="D714" s="13" t="s">
        <v>2416</v>
      </c>
      <c r="E714" s="13" t="s">
        <v>3223</v>
      </c>
      <c r="F714" s="13" t="s">
        <v>2418</v>
      </c>
      <c r="G714" s="13" t="s">
        <v>2419</v>
      </c>
      <c r="H714" s="13" t="s">
        <v>2420</v>
      </c>
      <c r="I714" s="15"/>
      <c r="J714" s="1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22.5" customHeight="1">
      <c r="A715" s="35">
        <v>713.0</v>
      </c>
      <c r="B715" s="20">
        <v>62.0</v>
      </c>
      <c r="C715" s="36" t="s">
        <v>1218</v>
      </c>
      <c r="D715" s="13" t="s">
        <v>1685</v>
      </c>
      <c r="E715" s="13" t="s">
        <v>1686</v>
      </c>
      <c r="F715" s="13" t="s">
        <v>1687</v>
      </c>
      <c r="G715" s="13" t="s">
        <v>3224</v>
      </c>
      <c r="H715" s="13" t="s">
        <v>1689</v>
      </c>
      <c r="I715" s="14" t="s">
        <v>18</v>
      </c>
      <c r="J715" s="1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22.5" customHeight="1">
      <c r="A716" s="35">
        <v>714.0</v>
      </c>
      <c r="B716" s="20">
        <v>62.0</v>
      </c>
      <c r="C716" s="36" t="s">
        <v>1168</v>
      </c>
      <c r="D716" s="13" t="s">
        <v>3058</v>
      </c>
      <c r="E716" s="13" t="s">
        <v>3059</v>
      </c>
      <c r="F716" s="13" t="s">
        <v>3060</v>
      </c>
      <c r="G716" s="13" t="s">
        <v>3061</v>
      </c>
      <c r="H716" s="13" t="s">
        <v>2396</v>
      </c>
      <c r="I716" s="15"/>
      <c r="J716" s="1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22.5" customHeight="1">
      <c r="A717" s="35">
        <v>715.0</v>
      </c>
      <c r="B717" s="20">
        <v>61.0</v>
      </c>
      <c r="C717" s="36" t="s">
        <v>1168</v>
      </c>
      <c r="D717" s="13" t="s">
        <v>3225</v>
      </c>
      <c r="E717" s="13" t="s">
        <v>2029</v>
      </c>
      <c r="F717" s="13" t="s">
        <v>3226</v>
      </c>
      <c r="G717" s="13" t="s">
        <v>3227</v>
      </c>
      <c r="H717" s="13" t="s">
        <v>3228</v>
      </c>
      <c r="I717" s="14" t="s">
        <v>18</v>
      </c>
      <c r="J717" s="1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22.5" customHeight="1">
      <c r="A718" s="35">
        <v>716.0</v>
      </c>
      <c r="B718" s="20">
        <v>61.0</v>
      </c>
      <c r="C718" s="36" t="s">
        <v>1218</v>
      </c>
      <c r="D718" s="13" t="s">
        <v>2355</v>
      </c>
      <c r="E718" s="13" t="s">
        <v>3229</v>
      </c>
      <c r="F718" s="13" t="s">
        <v>3230</v>
      </c>
      <c r="G718" s="13" t="s">
        <v>2357</v>
      </c>
      <c r="H718" s="13" t="s">
        <v>1231</v>
      </c>
      <c r="I718" s="14" t="s">
        <v>18</v>
      </c>
      <c r="J718" s="1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22.5" customHeight="1">
      <c r="A719" s="35">
        <v>717.0</v>
      </c>
      <c r="B719" s="20">
        <v>61.0</v>
      </c>
      <c r="C719" s="36" t="s">
        <v>1168</v>
      </c>
      <c r="D719" s="13" t="s">
        <v>2092</v>
      </c>
      <c r="E719" s="13" t="s">
        <v>3231</v>
      </c>
      <c r="F719" s="13" t="s">
        <v>2094</v>
      </c>
      <c r="G719" s="13" t="s">
        <v>2095</v>
      </c>
      <c r="H719" s="13" t="s">
        <v>2096</v>
      </c>
      <c r="I719" s="14" t="s">
        <v>18</v>
      </c>
      <c r="J719" s="1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22.5" customHeight="1">
      <c r="A720" s="35">
        <v>718.0</v>
      </c>
      <c r="B720" s="20">
        <v>61.0</v>
      </c>
      <c r="C720" s="36" t="s">
        <v>1168</v>
      </c>
      <c r="D720" s="13" t="s">
        <v>3232</v>
      </c>
      <c r="E720" s="13" t="s">
        <v>3207</v>
      </c>
      <c r="F720" s="13" t="s">
        <v>3233</v>
      </c>
      <c r="G720" s="13" t="s">
        <v>3234</v>
      </c>
      <c r="H720" s="13" t="s">
        <v>3208</v>
      </c>
      <c r="I720" s="15"/>
      <c r="J720" s="1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22.5" hidden="1" customHeight="1">
      <c r="A721" s="35">
        <v>719.0</v>
      </c>
      <c r="B721" s="20">
        <v>61.0</v>
      </c>
      <c r="C721" s="36" t="s">
        <v>1163</v>
      </c>
      <c r="D721" s="13" t="s">
        <v>3235</v>
      </c>
      <c r="E721" s="13" t="s">
        <v>3236</v>
      </c>
      <c r="F721" s="13" t="s">
        <v>3237</v>
      </c>
      <c r="G721" s="13" t="s">
        <v>3238</v>
      </c>
      <c r="H721" s="13" t="s">
        <v>3239</v>
      </c>
      <c r="I721" s="15"/>
      <c r="J721" s="1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22.5" customHeight="1">
      <c r="A722" s="35">
        <v>720.0</v>
      </c>
      <c r="B722" s="20">
        <v>61.0</v>
      </c>
      <c r="C722" s="36" t="s">
        <v>1218</v>
      </c>
      <c r="D722" s="13" t="s">
        <v>1542</v>
      </c>
      <c r="E722" s="13" t="s">
        <v>3240</v>
      </c>
      <c r="F722" s="13" t="s">
        <v>1544</v>
      </c>
      <c r="G722" s="13" t="s">
        <v>3241</v>
      </c>
      <c r="H722" s="13" t="s">
        <v>1546</v>
      </c>
      <c r="I722" s="15"/>
      <c r="J722" s="1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22.5" hidden="1" customHeight="1">
      <c r="A723" s="35">
        <v>721.0</v>
      </c>
      <c r="B723" s="20">
        <v>61.0</v>
      </c>
      <c r="C723" s="36" t="s">
        <v>1163</v>
      </c>
      <c r="D723" s="13" t="s">
        <v>2547</v>
      </c>
      <c r="E723" s="13" t="s">
        <v>3242</v>
      </c>
      <c r="F723" s="13" t="s">
        <v>2549</v>
      </c>
      <c r="G723" s="13" t="s">
        <v>594</v>
      </c>
      <c r="H723" s="13" t="s">
        <v>3243</v>
      </c>
      <c r="I723" s="15"/>
      <c r="J723" s="1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22.5" customHeight="1">
      <c r="A724" s="35">
        <v>722.0</v>
      </c>
      <c r="B724" s="20">
        <v>61.0</v>
      </c>
      <c r="C724" s="36" t="s">
        <v>1168</v>
      </c>
      <c r="D724" s="13" t="s">
        <v>1519</v>
      </c>
      <c r="E724" s="13" t="s">
        <v>1520</v>
      </c>
      <c r="F724" s="13" t="s">
        <v>1521</v>
      </c>
      <c r="G724" s="13" t="s">
        <v>1522</v>
      </c>
      <c r="H724" s="13" t="s">
        <v>1523</v>
      </c>
      <c r="I724" s="15"/>
      <c r="J724" s="1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22.5" customHeight="1">
      <c r="A725" s="35">
        <v>723.0</v>
      </c>
      <c r="B725" s="20">
        <v>61.0</v>
      </c>
      <c r="C725" s="36" t="s">
        <v>1168</v>
      </c>
      <c r="D725" s="13" t="s">
        <v>2322</v>
      </c>
      <c r="E725" s="13" t="s">
        <v>3244</v>
      </c>
      <c r="F725" s="13" t="s">
        <v>2324</v>
      </c>
      <c r="G725" s="13" t="s">
        <v>3245</v>
      </c>
      <c r="H725" s="13" t="s">
        <v>2326</v>
      </c>
      <c r="I725" s="14" t="s">
        <v>18</v>
      </c>
      <c r="J725" s="1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22.5" hidden="1" customHeight="1">
      <c r="A726" s="35">
        <v>724.0</v>
      </c>
      <c r="B726" s="20">
        <v>61.0</v>
      </c>
      <c r="C726" s="36" t="s">
        <v>1163</v>
      </c>
      <c r="D726" s="13" t="s">
        <v>3038</v>
      </c>
      <c r="E726" s="13" t="s">
        <v>3246</v>
      </c>
      <c r="F726" s="13" t="s">
        <v>3040</v>
      </c>
      <c r="G726" s="13" t="s">
        <v>781</v>
      </c>
      <c r="H726" s="13" t="s">
        <v>3041</v>
      </c>
      <c r="I726" s="15"/>
      <c r="J726" s="1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22.5" hidden="1" customHeight="1">
      <c r="A727" s="35">
        <v>725.0</v>
      </c>
      <c r="B727" s="20">
        <v>61.0</v>
      </c>
      <c r="C727" s="36" t="s">
        <v>1163</v>
      </c>
      <c r="D727" s="13" t="s">
        <v>2871</v>
      </c>
      <c r="E727" s="13" t="s">
        <v>3247</v>
      </c>
      <c r="F727" s="13" t="s">
        <v>2873</v>
      </c>
      <c r="G727" s="13" t="s">
        <v>2874</v>
      </c>
      <c r="H727" s="13" t="s">
        <v>2875</v>
      </c>
      <c r="I727" s="14" t="s">
        <v>18</v>
      </c>
      <c r="J727" s="1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22.5" customHeight="1">
      <c r="A728" s="35">
        <v>726.0</v>
      </c>
      <c r="B728" s="20">
        <v>61.0</v>
      </c>
      <c r="C728" s="36" t="s">
        <v>1168</v>
      </c>
      <c r="D728" s="13" t="s">
        <v>1214</v>
      </c>
      <c r="E728" s="13" t="s">
        <v>3248</v>
      </c>
      <c r="F728" s="13" t="s">
        <v>1215</v>
      </c>
      <c r="G728" s="13" t="s">
        <v>2414</v>
      </c>
      <c r="H728" s="13" t="s">
        <v>1217</v>
      </c>
      <c r="I728" s="15"/>
      <c r="J728" s="1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22.5" customHeight="1">
      <c r="A729" s="35">
        <v>727.0</v>
      </c>
      <c r="B729" s="20">
        <v>61.0</v>
      </c>
      <c r="C729" s="36" t="s">
        <v>1168</v>
      </c>
      <c r="D729" s="13" t="s">
        <v>1279</v>
      </c>
      <c r="E729" s="13" t="s">
        <v>3249</v>
      </c>
      <c r="F729" s="13" t="s">
        <v>1281</v>
      </c>
      <c r="G729" s="13" t="s">
        <v>1282</v>
      </c>
      <c r="H729" s="13" t="s">
        <v>1283</v>
      </c>
      <c r="I729" s="14" t="s">
        <v>18</v>
      </c>
      <c r="J729" s="1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22.5" customHeight="1">
      <c r="A730" s="35">
        <v>728.0</v>
      </c>
      <c r="B730" s="20">
        <v>61.0</v>
      </c>
      <c r="C730" s="36" t="s">
        <v>1168</v>
      </c>
      <c r="D730" s="13" t="s">
        <v>2989</v>
      </c>
      <c r="E730" s="13" t="s">
        <v>2990</v>
      </c>
      <c r="F730" s="13" t="s">
        <v>2991</v>
      </c>
      <c r="G730" s="13" t="s">
        <v>2992</v>
      </c>
      <c r="H730" s="13" t="s">
        <v>2993</v>
      </c>
      <c r="I730" s="15"/>
      <c r="J730" s="1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22.5" hidden="1" customHeight="1">
      <c r="A731" s="35">
        <v>729.0</v>
      </c>
      <c r="B731" s="20">
        <v>61.0</v>
      </c>
      <c r="C731" s="36" t="s">
        <v>1163</v>
      </c>
      <c r="D731" s="13" t="s">
        <v>2702</v>
      </c>
      <c r="E731" s="13" t="s">
        <v>2941</v>
      </c>
      <c r="F731" s="13" t="s">
        <v>539</v>
      </c>
      <c r="G731" s="13" t="s">
        <v>540</v>
      </c>
      <c r="H731" s="13" t="s">
        <v>2706</v>
      </c>
      <c r="I731" s="15"/>
      <c r="J731" s="1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22.5" customHeight="1">
      <c r="A732" s="35">
        <v>730.0</v>
      </c>
      <c r="B732" s="20">
        <v>60.0</v>
      </c>
      <c r="C732" s="36" t="s">
        <v>1168</v>
      </c>
      <c r="D732" s="13" t="s">
        <v>3225</v>
      </c>
      <c r="E732" s="13" t="s">
        <v>2029</v>
      </c>
      <c r="F732" s="13" t="s">
        <v>3226</v>
      </c>
      <c r="G732" s="13" t="s">
        <v>3227</v>
      </c>
      <c r="H732" s="13" t="s">
        <v>3228</v>
      </c>
      <c r="I732" s="14" t="s">
        <v>18</v>
      </c>
      <c r="J732" s="1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22.5" customHeight="1">
      <c r="A733" s="35">
        <v>731.0</v>
      </c>
      <c r="B733" s="20">
        <v>60.0</v>
      </c>
      <c r="C733" s="36" t="s">
        <v>1168</v>
      </c>
      <c r="D733" s="13" t="s">
        <v>1947</v>
      </c>
      <c r="E733" s="13" t="s">
        <v>3250</v>
      </c>
      <c r="F733" s="13" t="s">
        <v>1949</v>
      </c>
      <c r="G733" s="13" t="s">
        <v>1950</v>
      </c>
      <c r="H733" s="13" t="s">
        <v>1951</v>
      </c>
      <c r="I733" s="15"/>
      <c r="J733" s="1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22.5" customHeight="1">
      <c r="A734" s="35">
        <v>732.0</v>
      </c>
      <c r="B734" s="20">
        <v>60.0</v>
      </c>
      <c r="C734" s="36" t="s">
        <v>1168</v>
      </c>
      <c r="D734" s="13" t="s">
        <v>1952</v>
      </c>
      <c r="E734" s="13" t="s">
        <v>3251</v>
      </c>
      <c r="F734" s="13" t="s">
        <v>1954</v>
      </c>
      <c r="G734" s="13" t="s">
        <v>1955</v>
      </c>
      <c r="H734" s="13" t="s">
        <v>1598</v>
      </c>
      <c r="I734" s="15"/>
      <c r="J734" s="1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22.5" customHeight="1">
      <c r="A735" s="35">
        <v>733.0</v>
      </c>
      <c r="B735" s="20">
        <v>60.0</v>
      </c>
      <c r="C735" s="36" t="s">
        <v>1218</v>
      </c>
      <c r="D735" s="13" t="s">
        <v>3252</v>
      </c>
      <c r="E735" s="13" t="s">
        <v>3253</v>
      </c>
      <c r="F735" s="13" t="s">
        <v>3254</v>
      </c>
      <c r="G735" s="13" t="s">
        <v>3255</v>
      </c>
      <c r="H735" s="13" t="s">
        <v>3256</v>
      </c>
      <c r="I735" s="14" t="s">
        <v>18</v>
      </c>
      <c r="J735" s="1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22.5" hidden="1" customHeight="1">
      <c r="A736" s="35">
        <v>734.0</v>
      </c>
      <c r="B736" s="20">
        <v>60.0</v>
      </c>
      <c r="C736" s="36" t="s">
        <v>1163</v>
      </c>
      <c r="D736" s="13" t="s">
        <v>3257</v>
      </c>
      <c r="E736" s="13" t="s">
        <v>3258</v>
      </c>
      <c r="F736" s="13" t="s">
        <v>3259</v>
      </c>
      <c r="G736" s="13" t="s">
        <v>3260</v>
      </c>
      <c r="H736" s="13" t="s">
        <v>3261</v>
      </c>
      <c r="I736" s="14" t="s">
        <v>18</v>
      </c>
      <c r="J736" s="1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22.5" customHeight="1">
      <c r="A737" s="35">
        <v>735.0</v>
      </c>
      <c r="B737" s="20">
        <v>60.0</v>
      </c>
      <c r="C737" s="36" t="s">
        <v>1218</v>
      </c>
      <c r="D737" s="13" t="s">
        <v>1769</v>
      </c>
      <c r="E737" s="13" t="s">
        <v>3262</v>
      </c>
      <c r="F737" s="13" t="s">
        <v>1702</v>
      </c>
      <c r="G737" s="13" t="s">
        <v>3007</v>
      </c>
      <c r="H737" s="13" t="s">
        <v>1704</v>
      </c>
      <c r="I737" s="15"/>
      <c r="J737" s="1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22.5" customHeight="1">
      <c r="A738" s="35">
        <v>736.0</v>
      </c>
      <c r="B738" s="20">
        <v>60.0</v>
      </c>
      <c r="C738" s="36" t="s">
        <v>1168</v>
      </c>
      <c r="D738" s="13" t="s">
        <v>1725</v>
      </c>
      <c r="E738" s="13" t="s">
        <v>3263</v>
      </c>
      <c r="F738" s="13" t="s">
        <v>1726</v>
      </c>
      <c r="G738" s="13" t="s">
        <v>1727</v>
      </c>
      <c r="H738" s="13" t="s">
        <v>1383</v>
      </c>
      <c r="I738" s="15"/>
      <c r="J738" s="1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22.5" customHeight="1">
      <c r="A739" s="35">
        <v>737.0</v>
      </c>
      <c r="B739" s="20">
        <v>60.0</v>
      </c>
      <c r="C739" s="36" t="s">
        <v>1168</v>
      </c>
      <c r="D739" s="13" t="s">
        <v>1728</v>
      </c>
      <c r="E739" s="13" t="s">
        <v>3264</v>
      </c>
      <c r="F739" s="13" t="s">
        <v>1730</v>
      </c>
      <c r="G739" s="13" t="s">
        <v>3265</v>
      </c>
      <c r="H739" s="13" t="s">
        <v>1732</v>
      </c>
      <c r="I739" s="14" t="s">
        <v>18</v>
      </c>
      <c r="J739" s="1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22.5" hidden="1" customHeight="1">
      <c r="A740" s="35">
        <v>738.0</v>
      </c>
      <c r="B740" s="20">
        <v>60.0</v>
      </c>
      <c r="C740" s="36" t="s">
        <v>1163</v>
      </c>
      <c r="D740" s="13" t="s">
        <v>3266</v>
      </c>
      <c r="E740" s="13" t="s">
        <v>3267</v>
      </c>
      <c r="F740" s="13" t="s">
        <v>3268</v>
      </c>
      <c r="G740" s="13" t="s">
        <v>3269</v>
      </c>
      <c r="H740" s="13" t="s">
        <v>3270</v>
      </c>
      <c r="I740" s="15"/>
      <c r="J740" s="1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22.5" customHeight="1">
      <c r="A741" s="35">
        <v>739.0</v>
      </c>
      <c r="B741" s="20">
        <v>60.0</v>
      </c>
      <c r="C741" s="36" t="s">
        <v>1168</v>
      </c>
      <c r="D741" s="13" t="s">
        <v>2408</v>
      </c>
      <c r="E741" s="13" t="s">
        <v>3271</v>
      </c>
      <c r="F741" s="13" t="s">
        <v>2410</v>
      </c>
      <c r="G741" s="13" t="s">
        <v>2411</v>
      </c>
      <c r="H741" s="13" t="s">
        <v>2412</v>
      </c>
      <c r="I741" s="15"/>
      <c r="J741" s="1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22.5" hidden="1" customHeight="1">
      <c r="A742" s="35">
        <v>740.0</v>
      </c>
      <c r="B742" s="20">
        <v>60.0</v>
      </c>
      <c r="C742" s="36" t="s">
        <v>1163</v>
      </c>
      <c r="D742" s="13" t="s">
        <v>3272</v>
      </c>
      <c r="E742" s="13" t="s">
        <v>3273</v>
      </c>
      <c r="F742" s="13" t="s">
        <v>3274</v>
      </c>
      <c r="G742" s="13" t="s">
        <v>3275</v>
      </c>
      <c r="H742" s="13" t="s">
        <v>3276</v>
      </c>
      <c r="I742" s="14" t="s">
        <v>18</v>
      </c>
      <c r="J742" s="1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22.5" customHeight="1">
      <c r="A743" s="35">
        <v>741.0</v>
      </c>
      <c r="B743" s="20">
        <v>60.0</v>
      </c>
      <c r="C743" s="36" t="s">
        <v>1218</v>
      </c>
      <c r="D743" s="13" t="s">
        <v>3277</v>
      </c>
      <c r="E743" s="13" t="s">
        <v>3278</v>
      </c>
      <c r="F743" s="13" t="s">
        <v>3279</v>
      </c>
      <c r="G743" s="13" t="s">
        <v>3280</v>
      </c>
      <c r="H743" s="13" t="s">
        <v>3281</v>
      </c>
      <c r="I743" s="14" t="s">
        <v>18</v>
      </c>
      <c r="J743" s="1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22.5" hidden="1" customHeight="1">
      <c r="A744" s="35">
        <v>742.0</v>
      </c>
      <c r="B744" s="20">
        <v>60.0</v>
      </c>
      <c r="C744" s="36" t="s">
        <v>1163</v>
      </c>
      <c r="D744" s="13" t="s">
        <v>3282</v>
      </c>
      <c r="E744" s="13" t="s">
        <v>3283</v>
      </c>
      <c r="F744" s="13" t="s">
        <v>1753</v>
      </c>
      <c r="G744" s="13" t="s">
        <v>1754</v>
      </c>
      <c r="H744" s="13" t="s">
        <v>3284</v>
      </c>
      <c r="I744" s="15"/>
      <c r="J744" s="1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22.5" hidden="1" customHeight="1">
      <c r="A745" s="35">
        <v>743.0</v>
      </c>
      <c r="B745" s="20">
        <v>60.0</v>
      </c>
      <c r="C745" s="36" t="s">
        <v>1163</v>
      </c>
      <c r="D745" s="13" t="s">
        <v>2159</v>
      </c>
      <c r="E745" s="13" t="s">
        <v>3285</v>
      </c>
      <c r="F745" s="13" t="s">
        <v>3286</v>
      </c>
      <c r="G745" s="13" t="s">
        <v>3287</v>
      </c>
      <c r="H745" s="13" t="s">
        <v>3288</v>
      </c>
      <c r="I745" s="14" t="s">
        <v>18</v>
      </c>
      <c r="J745" s="1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22.5" customHeight="1">
      <c r="A746" s="35">
        <v>744.0</v>
      </c>
      <c r="B746" s="20">
        <v>60.0</v>
      </c>
      <c r="C746" s="36" t="s">
        <v>1168</v>
      </c>
      <c r="D746" s="13" t="s">
        <v>3289</v>
      </c>
      <c r="E746" s="13" t="s">
        <v>3290</v>
      </c>
      <c r="F746" s="13" t="s">
        <v>3291</v>
      </c>
      <c r="G746" s="13" t="s">
        <v>3292</v>
      </c>
      <c r="H746" s="13" t="s">
        <v>3293</v>
      </c>
      <c r="I746" s="14" t="s">
        <v>18</v>
      </c>
      <c r="J746" s="1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22.5" customHeight="1">
      <c r="A747" s="35">
        <v>745.0</v>
      </c>
      <c r="B747" s="20">
        <v>59.0</v>
      </c>
      <c r="C747" s="36" t="s">
        <v>1218</v>
      </c>
      <c r="D747" s="13" t="s">
        <v>3294</v>
      </c>
      <c r="E747" s="13" t="s">
        <v>3295</v>
      </c>
      <c r="F747" s="13" t="s">
        <v>3296</v>
      </c>
      <c r="G747" s="13" t="s">
        <v>3297</v>
      </c>
      <c r="H747" s="13" t="s">
        <v>3298</v>
      </c>
      <c r="I747" s="14" t="s">
        <v>18</v>
      </c>
      <c r="J747" s="1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22.5" hidden="1" customHeight="1">
      <c r="A748" s="35">
        <v>746.0</v>
      </c>
      <c r="B748" s="20">
        <v>59.0</v>
      </c>
      <c r="C748" s="36" t="s">
        <v>1163</v>
      </c>
      <c r="D748" s="13" t="s">
        <v>3109</v>
      </c>
      <c r="E748" s="13" t="s">
        <v>3110</v>
      </c>
      <c r="F748" s="13" t="s">
        <v>891</v>
      </c>
      <c r="G748" s="13" t="s">
        <v>892</v>
      </c>
      <c r="H748" s="13" t="s">
        <v>3111</v>
      </c>
      <c r="I748" s="14" t="s">
        <v>18</v>
      </c>
      <c r="J748" s="1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22.5" hidden="1" customHeight="1">
      <c r="A749" s="35">
        <v>747.0</v>
      </c>
      <c r="B749" s="20">
        <v>59.0</v>
      </c>
      <c r="C749" s="36" t="s">
        <v>1163</v>
      </c>
      <c r="D749" s="13" t="s">
        <v>3299</v>
      </c>
      <c r="E749" s="13" t="s">
        <v>2563</v>
      </c>
      <c r="F749" s="13" t="s">
        <v>3300</v>
      </c>
      <c r="G749" s="13" t="s">
        <v>3301</v>
      </c>
      <c r="H749" s="13" t="s">
        <v>2279</v>
      </c>
      <c r="I749" s="15"/>
      <c r="J749" s="1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22.5" customHeight="1">
      <c r="A750" s="35">
        <v>748.0</v>
      </c>
      <c r="B750" s="20">
        <v>59.0</v>
      </c>
      <c r="C750" s="36" t="s">
        <v>1218</v>
      </c>
      <c r="D750" s="13" t="s">
        <v>1847</v>
      </c>
      <c r="E750" s="13" t="s">
        <v>3302</v>
      </c>
      <c r="F750" s="13" t="s">
        <v>1849</v>
      </c>
      <c r="G750" s="13" t="s">
        <v>3303</v>
      </c>
      <c r="H750" s="13" t="s">
        <v>1851</v>
      </c>
      <c r="I750" s="14" t="s">
        <v>18</v>
      </c>
      <c r="J750" s="1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22.5" customHeight="1">
      <c r="A751" s="35">
        <v>749.0</v>
      </c>
      <c r="B751" s="20">
        <v>59.0</v>
      </c>
      <c r="C751" s="36" t="s">
        <v>1168</v>
      </c>
      <c r="D751" s="13" t="s">
        <v>1384</v>
      </c>
      <c r="E751" s="13" t="s">
        <v>1961</v>
      </c>
      <c r="F751" s="13" t="s">
        <v>1386</v>
      </c>
      <c r="G751" s="13" t="s">
        <v>1387</v>
      </c>
      <c r="H751" s="13" t="s">
        <v>1388</v>
      </c>
      <c r="I751" s="15"/>
      <c r="J751" s="1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22.5" customHeight="1">
      <c r="A752" s="35">
        <v>750.0</v>
      </c>
      <c r="B752" s="20">
        <v>59.0</v>
      </c>
      <c r="C752" s="36" t="s">
        <v>1168</v>
      </c>
      <c r="D752" s="13" t="s">
        <v>1555</v>
      </c>
      <c r="E752" s="13" t="s">
        <v>3149</v>
      </c>
      <c r="F752" s="13" t="s">
        <v>1557</v>
      </c>
      <c r="G752" s="13" t="s">
        <v>462</v>
      </c>
      <c r="H752" s="13" t="s">
        <v>1558</v>
      </c>
      <c r="I752" s="15"/>
      <c r="J752" s="1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22.5" customHeight="1">
      <c r="A753" s="35">
        <v>751.0</v>
      </c>
      <c r="B753" s="20">
        <v>59.0</v>
      </c>
      <c r="C753" s="36" t="s">
        <v>1218</v>
      </c>
      <c r="D753" s="13" t="s">
        <v>1673</v>
      </c>
      <c r="E753" s="13" t="s">
        <v>3304</v>
      </c>
      <c r="F753" s="13" t="s">
        <v>1675</v>
      </c>
      <c r="G753" s="13" t="s">
        <v>3305</v>
      </c>
      <c r="H753" s="13" t="s">
        <v>1677</v>
      </c>
      <c r="I753" s="15"/>
      <c r="J753" s="1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22.5" customHeight="1">
      <c r="A754" s="35">
        <v>752.0</v>
      </c>
      <c r="B754" s="20">
        <v>59.0</v>
      </c>
      <c r="C754" s="36" t="s">
        <v>1168</v>
      </c>
      <c r="D754" s="13" t="s">
        <v>1210</v>
      </c>
      <c r="E754" s="13" t="s">
        <v>3042</v>
      </c>
      <c r="F754" s="13" t="s">
        <v>89</v>
      </c>
      <c r="G754" s="13" t="s">
        <v>90</v>
      </c>
      <c r="H754" s="13" t="s">
        <v>1213</v>
      </c>
      <c r="I754" s="15"/>
      <c r="J754" s="1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22.5" hidden="1" customHeight="1">
      <c r="A755" s="35">
        <v>753.0</v>
      </c>
      <c r="B755" s="20">
        <v>59.0</v>
      </c>
      <c r="C755" s="36" t="s">
        <v>1163</v>
      </c>
      <c r="D755" s="13" t="s">
        <v>2741</v>
      </c>
      <c r="E755" s="13" t="s">
        <v>3306</v>
      </c>
      <c r="F755" s="13" t="s">
        <v>1786</v>
      </c>
      <c r="G755" s="13" t="s">
        <v>1787</v>
      </c>
      <c r="H755" s="13" t="s">
        <v>2743</v>
      </c>
      <c r="I755" s="15"/>
      <c r="J755" s="1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22.5" customHeight="1">
      <c r="A756" s="35">
        <v>754.0</v>
      </c>
      <c r="B756" s="20">
        <v>59.0</v>
      </c>
      <c r="C756" s="36" t="s">
        <v>1168</v>
      </c>
      <c r="D756" s="13" t="s">
        <v>1265</v>
      </c>
      <c r="E756" s="13" t="s">
        <v>1266</v>
      </c>
      <c r="F756" s="13" t="s">
        <v>1267</v>
      </c>
      <c r="G756" s="13" t="s">
        <v>1268</v>
      </c>
      <c r="H756" s="13" t="s">
        <v>1269</v>
      </c>
      <c r="I756" s="15"/>
      <c r="J756" s="1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22.5" customHeight="1">
      <c r="A757" s="35">
        <v>755.0</v>
      </c>
      <c r="B757" s="20">
        <v>59.0</v>
      </c>
      <c r="C757" s="36" t="s">
        <v>1168</v>
      </c>
      <c r="D757" s="13" t="s">
        <v>1407</v>
      </c>
      <c r="E757" s="13" t="s">
        <v>3126</v>
      </c>
      <c r="F757" s="13" t="s">
        <v>1409</v>
      </c>
      <c r="G757" s="13" t="s">
        <v>3127</v>
      </c>
      <c r="H757" s="13" t="s">
        <v>1411</v>
      </c>
      <c r="I757" s="15"/>
      <c r="J757" s="1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22.5" hidden="1" customHeight="1">
      <c r="A758" s="35">
        <v>756.0</v>
      </c>
      <c r="B758" s="20">
        <v>59.0</v>
      </c>
      <c r="C758" s="36" t="s">
        <v>1163</v>
      </c>
      <c r="D758" s="13" t="s">
        <v>1630</v>
      </c>
      <c r="E758" s="13" t="s">
        <v>3307</v>
      </c>
      <c r="F758" s="13" t="s">
        <v>1632</v>
      </c>
      <c r="G758" s="13" t="s">
        <v>1633</v>
      </c>
      <c r="H758" s="13" t="s">
        <v>1634</v>
      </c>
      <c r="I758" s="15"/>
      <c r="J758" s="1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22.5" hidden="1" customHeight="1">
      <c r="A759" s="35">
        <v>757.0</v>
      </c>
      <c r="B759" s="20">
        <v>59.0</v>
      </c>
      <c r="C759" s="36" t="s">
        <v>1163</v>
      </c>
      <c r="D759" s="13" t="s">
        <v>3308</v>
      </c>
      <c r="E759" s="13" t="s">
        <v>3309</v>
      </c>
      <c r="F759" s="13" t="s">
        <v>2991</v>
      </c>
      <c r="G759" s="13" t="s">
        <v>2992</v>
      </c>
      <c r="H759" s="13" t="s">
        <v>2533</v>
      </c>
      <c r="I759" s="15"/>
      <c r="J759" s="1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22.5" customHeight="1">
      <c r="A760" s="35">
        <v>758.0</v>
      </c>
      <c r="B760" s="20">
        <v>59.0</v>
      </c>
      <c r="C760" s="36" t="s">
        <v>1168</v>
      </c>
      <c r="D760" s="13" t="s">
        <v>3013</v>
      </c>
      <c r="E760" s="13" t="s">
        <v>3014</v>
      </c>
      <c r="F760" s="13" t="s">
        <v>3015</v>
      </c>
      <c r="G760" s="13" t="s">
        <v>3016</v>
      </c>
      <c r="H760" s="13" t="s">
        <v>3017</v>
      </c>
      <c r="I760" s="14" t="s">
        <v>18</v>
      </c>
      <c r="J760" s="1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22.5" customHeight="1">
      <c r="A761" s="35">
        <v>759.0</v>
      </c>
      <c r="B761" s="20">
        <v>59.0</v>
      </c>
      <c r="C761" s="36" t="s">
        <v>1218</v>
      </c>
      <c r="D761" s="13" t="s">
        <v>1537</v>
      </c>
      <c r="E761" s="13" t="s">
        <v>3310</v>
      </c>
      <c r="F761" s="13" t="s">
        <v>1539</v>
      </c>
      <c r="G761" s="13" t="s">
        <v>2354</v>
      </c>
      <c r="H761" s="13" t="s">
        <v>1541</v>
      </c>
      <c r="I761" s="15"/>
      <c r="J761" s="1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22.5" customHeight="1">
      <c r="A762" s="35">
        <v>760.0</v>
      </c>
      <c r="B762" s="20">
        <v>58.0</v>
      </c>
      <c r="C762" s="36" t="s">
        <v>1218</v>
      </c>
      <c r="D762" s="13" t="s">
        <v>2203</v>
      </c>
      <c r="E762" s="13" t="s">
        <v>3311</v>
      </c>
      <c r="F762" s="13" t="s">
        <v>2205</v>
      </c>
      <c r="G762" s="13" t="s">
        <v>2206</v>
      </c>
      <c r="H762" s="13" t="s">
        <v>2207</v>
      </c>
      <c r="I762" s="15"/>
      <c r="J762" s="1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22.5" customHeight="1">
      <c r="A763" s="35">
        <v>761.0</v>
      </c>
      <c r="B763" s="20">
        <v>58.0</v>
      </c>
      <c r="C763" s="36" t="s">
        <v>1168</v>
      </c>
      <c r="D763" s="13" t="s">
        <v>2590</v>
      </c>
      <c r="E763" s="13" t="s">
        <v>2591</v>
      </c>
      <c r="F763" s="13" t="s">
        <v>1896</v>
      </c>
      <c r="G763" s="13" t="s">
        <v>2592</v>
      </c>
      <c r="H763" s="13" t="s">
        <v>1499</v>
      </c>
      <c r="I763" s="15"/>
      <c r="J763" s="1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22.5" hidden="1" customHeight="1">
      <c r="A764" s="35">
        <v>762.0</v>
      </c>
      <c r="B764" s="20">
        <v>58.0</v>
      </c>
      <c r="C764" s="36" t="s">
        <v>1163</v>
      </c>
      <c r="D764" s="13" t="s">
        <v>3312</v>
      </c>
      <c r="E764" s="13" t="s">
        <v>3313</v>
      </c>
      <c r="F764" s="13" t="s">
        <v>888</v>
      </c>
      <c r="G764" s="13" t="s">
        <v>889</v>
      </c>
      <c r="H764" s="13" t="s">
        <v>3314</v>
      </c>
      <c r="I764" s="14" t="s">
        <v>18</v>
      </c>
      <c r="J764" s="14" t="s">
        <v>18</v>
      </c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22.5" hidden="1" customHeight="1">
      <c r="A765" s="35">
        <v>763.0</v>
      </c>
      <c r="B765" s="20">
        <v>58.0</v>
      </c>
      <c r="C765" s="36" t="s">
        <v>1163</v>
      </c>
      <c r="D765" s="13" t="s">
        <v>3315</v>
      </c>
      <c r="E765" s="13" t="s">
        <v>3316</v>
      </c>
      <c r="F765" s="13" t="s">
        <v>566</v>
      </c>
      <c r="G765" s="13" t="s">
        <v>567</v>
      </c>
      <c r="H765" s="13" t="s">
        <v>3317</v>
      </c>
      <c r="I765" s="15"/>
      <c r="J765" s="1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22.5" hidden="1" customHeight="1">
      <c r="A766" s="35">
        <v>764.0</v>
      </c>
      <c r="B766" s="20">
        <v>58.0</v>
      </c>
      <c r="C766" s="36" t="s">
        <v>1163</v>
      </c>
      <c r="D766" s="13" t="s">
        <v>3318</v>
      </c>
      <c r="E766" s="13" t="s">
        <v>3319</v>
      </c>
      <c r="F766" s="13" t="s">
        <v>3320</v>
      </c>
      <c r="G766" s="13" t="s">
        <v>3321</v>
      </c>
      <c r="H766" s="13" t="s">
        <v>3322</v>
      </c>
      <c r="I766" s="15"/>
      <c r="J766" s="1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22.5" hidden="1" customHeight="1">
      <c r="A767" s="35">
        <v>765.0</v>
      </c>
      <c r="B767" s="20">
        <v>58.0</v>
      </c>
      <c r="C767" s="36" t="s">
        <v>1163</v>
      </c>
      <c r="D767" s="13" t="s">
        <v>1454</v>
      </c>
      <c r="E767" s="13" t="s">
        <v>3323</v>
      </c>
      <c r="F767" s="13" t="s">
        <v>1456</v>
      </c>
      <c r="G767" s="13" t="s">
        <v>1457</v>
      </c>
      <c r="H767" s="13" t="s">
        <v>1458</v>
      </c>
      <c r="I767" s="15"/>
      <c r="J767" s="1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22.5" customHeight="1">
      <c r="A768" s="35">
        <v>766.0</v>
      </c>
      <c r="B768" s="20">
        <v>58.0</v>
      </c>
      <c r="C768" s="36" t="s">
        <v>1218</v>
      </c>
      <c r="D768" s="13" t="s">
        <v>3324</v>
      </c>
      <c r="E768" s="13" t="s">
        <v>3325</v>
      </c>
      <c r="F768" s="13" t="s">
        <v>3326</v>
      </c>
      <c r="G768" s="13" t="s">
        <v>3327</v>
      </c>
      <c r="H768" s="13" t="s">
        <v>3328</v>
      </c>
      <c r="I768" s="14" t="s">
        <v>18</v>
      </c>
      <c r="J768" s="1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22.5" customHeight="1">
      <c r="A769" s="35">
        <v>767.0</v>
      </c>
      <c r="B769" s="20">
        <v>58.0</v>
      </c>
      <c r="C769" s="36" t="s">
        <v>1218</v>
      </c>
      <c r="D769" s="13" t="s">
        <v>1847</v>
      </c>
      <c r="E769" s="13" t="s">
        <v>3329</v>
      </c>
      <c r="F769" s="13" t="s">
        <v>1849</v>
      </c>
      <c r="G769" s="13" t="s">
        <v>2011</v>
      </c>
      <c r="H769" s="13" t="s">
        <v>1851</v>
      </c>
      <c r="I769" s="15"/>
      <c r="J769" s="1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22.5" customHeight="1">
      <c r="A770" s="35">
        <v>768.0</v>
      </c>
      <c r="B770" s="20">
        <v>58.0</v>
      </c>
      <c r="C770" s="36" t="s">
        <v>1168</v>
      </c>
      <c r="D770" s="13" t="s">
        <v>1719</v>
      </c>
      <c r="E770" s="13" t="s">
        <v>3330</v>
      </c>
      <c r="F770" s="13" t="s">
        <v>3331</v>
      </c>
      <c r="G770" s="13" t="s">
        <v>3332</v>
      </c>
      <c r="H770" s="13" t="s">
        <v>3333</v>
      </c>
      <c r="I770" s="14" t="s">
        <v>18</v>
      </c>
      <c r="J770" s="1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22.5" customHeight="1">
      <c r="A771" s="35">
        <v>769.0</v>
      </c>
      <c r="B771" s="20">
        <v>58.0</v>
      </c>
      <c r="C771" s="36" t="s">
        <v>1168</v>
      </c>
      <c r="D771" s="13" t="s">
        <v>1725</v>
      </c>
      <c r="E771" s="13" t="s">
        <v>2496</v>
      </c>
      <c r="F771" s="13" t="s">
        <v>1726</v>
      </c>
      <c r="G771" s="13" t="s">
        <v>1727</v>
      </c>
      <c r="H771" s="13" t="s">
        <v>1383</v>
      </c>
      <c r="I771" s="15"/>
      <c r="J771" s="1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22.5" customHeight="1">
      <c r="A772" s="35">
        <v>770.0</v>
      </c>
      <c r="B772" s="20">
        <v>58.0</v>
      </c>
      <c r="C772" s="36" t="s">
        <v>1168</v>
      </c>
      <c r="D772" s="13" t="s">
        <v>1384</v>
      </c>
      <c r="E772" s="13" t="s">
        <v>3334</v>
      </c>
      <c r="F772" s="13" t="s">
        <v>1386</v>
      </c>
      <c r="G772" s="13" t="s">
        <v>1387</v>
      </c>
      <c r="H772" s="13" t="s">
        <v>1388</v>
      </c>
      <c r="I772" s="15"/>
      <c r="J772" s="1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22.5" customHeight="1">
      <c r="A773" s="35">
        <v>771.0</v>
      </c>
      <c r="B773" s="20">
        <v>58.0</v>
      </c>
      <c r="C773" s="36" t="s">
        <v>1168</v>
      </c>
      <c r="D773" s="13" t="s">
        <v>2894</v>
      </c>
      <c r="E773" s="13" t="s">
        <v>3335</v>
      </c>
      <c r="F773" s="13" t="s">
        <v>2896</v>
      </c>
      <c r="G773" s="13" t="s">
        <v>2897</v>
      </c>
      <c r="H773" s="13" t="s">
        <v>2898</v>
      </c>
      <c r="I773" s="15"/>
      <c r="J773" s="1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22.5" hidden="1" customHeight="1">
      <c r="A774" s="35">
        <v>772.0</v>
      </c>
      <c r="B774" s="20">
        <v>58.0</v>
      </c>
      <c r="C774" s="36" t="s">
        <v>1163</v>
      </c>
      <c r="D774" s="13" t="s">
        <v>3336</v>
      </c>
      <c r="E774" s="13" t="s">
        <v>3337</v>
      </c>
      <c r="F774" s="13" t="s">
        <v>1081</v>
      </c>
      <c r="G774" s="13" t="s">
        <v>1082</v>
      </c>
      <c r="H774" s="13" t="s">
        <v>3338</v>
      </c>
      <c r="I774" s="15"/>
      <c r="J774" s="1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22.5" customHeight="1">
      <c r="A775" s="35">
        <v>773.0</v>
      </c>
      <c r="B775" s="20">
        <v>58.0</v>
      </c>
      <c r="C775" s="36" t="s">
        <v>1168</v>
      </c>
      <c r="D775" s="13" t="s">
        <v>2408</v>
      </c>
      <c r="E775" s="13" t="s">
        <v>3339</v>
      </c>
      <c r="F775" s="13" t="s">
        <v>2410</v>
      </c>
      <c r="G775" s="13" t="s">
        <v>3340</v>
      </c>
      <c r="H775" s="13" t="s">
        <v>2412</v>
      </c>
      <c r="I775" s="14" t="s">
        <v>18</v>
      </c>
      <c r="J775" s="1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22.5" customHeight="1">
      <c r="A776" s="35">
        <v>774.0</v>
      </c>
      <c r="B776" s="20">
        <v>58.0</v>
      </c>
      <c r="C776" s="36" t="s">
        <v>1168</v>
      </c>
      <c r="D776" s="13" t="s">
        <v>3289</v>
      </c>
      <c r="E776" s="13" t="s">
        <v>3290</v>
      </c>
      <c r="F776" s="13" t="s">
        <v>3291</v>
      </c>
      <c r="G776" s="13" t="s">
        <v>3292</v>
      </c>
      <c r="H776" s="13" t="s">
        <v>3293</v>
      </c>
      <c r="I776" s="15"/>
      <c r="J776" s="1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22.5" hidden="1" customHeight="1">
      <c r="A777" s="35">
        <v>775.0</v>
      </c>
      <c r="B777" s="20">
        <v>57.0</v>
      </c>
      <c r="C777" s="36" t="s">
        <v>1163</v>
      </c>
      <c r="D777" s="13" t="s">
        <v>3341</v>
      </c>
      <c r="E777" s="13" t="s">
        <v>3342</v>
      </c>
      <c r="F777" s="13" t="s">
        <v>3343</v>
      </c>
      <c r="G777" s="13" t="s">
        <v>3344</v>
      </c>
      <c r="H777" s="13" t="s">
        <v>3345</v>
      </c>
      <c r="I777" s="14" t="s">
        <v>18</v>
      </c>
      <c r="J777" s="1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22.5" customHeight="1">
      <c r="A778" s="35">
        <v>776.0</v>
      </c>
      <c r="B778" s="20">
        <v>57.0</v>
      </c>
      <c r="C778" s="36" t="s">
        <v>1218</v>
      </c>
      <c r="D778" s="13" t="s">
        <v>1303</v>
      </c>
      <c r="E778" s="13" t="s">
        <v>3346</v>
      </c>
      <c r="F778" s="13" t="s">
        <v>1305</v>
      </c>
      <c r="G778" s="13" t="s">
        <v>1306</v>
      </c>
      <c r="H778" s="13" t="s">
        <v>1307</v>
      </c>
      <c r="I778" s="15"/>
      <c r="J778" s="1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22.5" customHeight="1">
      <c r="A779" s="35">
        <v>777.0</v>
      </c>
      <c r="B779" s="20">
        <v>57.0</v>
      </c>
      <c r="C779" s="36" t="s">
        <v>1168</v>
      </c>
      <c r="D779" s="13" t="s">
        <v>2590</v>
      </c>
      <c r="E779" s="13" t="s">
        <v>2591</v>
      </c>
      <c r="F779" s="13" t="s">
        <v>1896</v>
      </c>
      <c r="G779" s="13" t="s">
        <v>2592</v>
      </c>
      <c r="H779" s="13" t="s">
        <v>1499</v>
      </c>
      <c r="I779" s="14" t="s">
        <v>18</v>
      </c>
      <c r="J779" s="1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22.5" hidden="1" customHeight="1">
      <c r="A780" s="35">
        <v>778.0</v>
      </c>
      <c r="B780" s="20">
        <v>57.0</v>
      </c>
      <c r="C780" s="36" t="s">
        <v>1163</v>
      </c>
      <c r="D780" s="13" t="s">
        <v>3347</v>
      </c>
      <c r="E780" s="13" t="s">
        <v>3348</v>
      </c>
      <c r="F780" s="13" t="s">
        <v>3349</v>
      </c>
      <c r="G780" s="13" t="s">
        <v>3350</v>
      </c>
      <c r="H780" s="13" t="s">
        <v>3351</v>
      </c>
      <c r="I780" s="14" t="s">
        <v>18</v>
      </c>
      <c r="J780" s="1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22.5" customHeight="1">
      <c r="A781" s="35">
        <v>779.0</v>
      </c>
      <c r="B781" s="20">
        <v>57.0</v>
      </c>
      <c r="C781" s="36" t="s">
        <v>1218</v>
      </c>
      <c r="D781" s="13" t="s">
        <v>2534</v>
      </c>
      <c r="E781" s="13" t="s">
        <v>3352</v>
      </c>
      <c r="F781" s="13" t="s">
        <v>2536</v>
      </c>
      <c r="G781" s="13" t="s">
        <v>2712</v>
      </c>
      <c r="H781" s="13" t="s">
        <v>2538</v>
      </c>
      <c r="I781" s="15"/>
      <c r="J781" s="1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22.5" hidden="1" customHeight="1">
      <c r="A782" s="35">
        <v>780.0</v>
      </c>
      <c r="B782" s="20">
        <v>57.0</v>
      </c>
      <c r="C782" s="36" t="s">
        <v>1163</v>
      </c>
      <c r="D782" s="13" t="s">
        <v>2559</v>
      </c>
      <c r="E782" s="13" t="s">
        <v>3353</v>
      </c>
      <c r="F782" s="13" t="s">
        <v>2561</v>
      </c>
      <c r="G782" s="13" t="s">
        <v>2562</v>
      </c>
      <c r="H782" s="13" t="s">
        <v>2486</v>
      </c>
      <c r="I782" s="15"/>
      <c r="J782" s="1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22.5" customHeight="1">
      <c r="A783" s="35">
        <v>781.0</v>
      </c>
      <c r="B783" s="20">
        <v>57.0</v>
      </c>
      <c r="C783" s="36" t="s">
        <v>1168</v>
      </c>
      <c r="D783" s="13" t="s">
        <v>3354</v>
      </c>
      <c r="E783" s="13" t="s">
        <v>3355</v>
      </c>
      <c r="F783" s="13" t="s">
        <v>3356</v>
      </c>
      <c r="G783" s="13" t="s">
        <v>3357</v>
      </c>
      <c r="H783" s="13" t="s">
        <v>3358</v>
      </c>
      <c r="I783" s="14" t="s">
        <v>18</v>
      </c>
      <c r="J783" s="1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22.5" customHeight="1">
      <c r="A784" s="35">
        <v>782.0</v>
      </c>
      <c r="B784" s="20">
        <v>57.0</v>
      </c>
      <c r="C784" s="36" t="s">
        <v>1218</v>
      </c>
      <c r="D784" s="13" t="s">
        <v>3359</v>
      </c>
      <c r="E784" s="13" t="s">
        <v>3360</v>
      </c>
      <c r="F784" s="13" t="s">
        <v>3361</v>
      </c>
      <c r="G784" s="13" t="s">
        <v>3362</v>
      </c>
      <c r="H784" s="13" t="s">
        <v>2543</v>
      </c>
      <c r="I784" s="15"/>
      <c r="J784" s="1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22.5" customHeight="1">
      <c r="A785" s="35">
        <v>783.0</v>
      </c>
      <c r="B785" s="20">
        <v>57.0</v>
      </c>
      <c r="C785" s="36" t="s">
        <v>1218</v>
      </c>
      <c r="D785" s="13" t="s">
        <v>1641</v>
      </c>
      <c r="E785" s="13" t="s">
        <v>3363</v>
      </c>
      <c r="F785" s="13" t="s">
        <v>1643</v>
      </c>
      <c r="G785" s="13" t="s">
        <v>3364</v>
      </c>
      <c r="H785" s="13" t="s">
        <v>1645</v>
      </c>
      <c r="I785" s="14" t="s">
        <v>18</v>
      </c>
      <c r="J785" s="1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22.5" hidden="1" customHeight="1">
      <c r="A786" s="35">
        <v>784.0</v>
      </c>
      <c r="B786" s="20">
        <v>57.0</v>
      </c>
      <c r="C786" s="36" t="s">
        <v>1163</v>
      </c>
      <c r="D786" s="13" t="s">
        <v>2275</v>
      </c>
      <c r="E786" s="13" t="s">
        <v>3365</v>
      </c>
      <c r="F786" s="13" t="s">
        <v>2277</v>
      </c>
      <c r="G786" s="13" t="s">
        <v>2278</v>
      </c>
      <c r="H786" s="13" t="s">
        <v>2279</v>
      </c>
      <c r="I786" s="15"/>
      <c r="J786" s="1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22.5" customHeight="1">
      <c r="A787" s="35">
        <v>785.0</v>
      </c>
      <c r="B787" s="20">
        <v>57.0</v>
      </c>
      <c r="C787" s="36" t="s">
        <v>1168</v>
      </c>
      <c r="D787" s="13" t="s">
        <v>1519</v>
      </c>
      <c r="E787" s="13" t="s">
        <v>1520</v>
      </c>
      <c r="F787" s="13" t="s">
        <v>1521</v>
      </c>
      <c r="G787" s="13" t="s">
        <v>1522</v>
      </c>
      <c r="H787" s="13" t="s">
        <v>1523</v>
      </c>
      <c r="I787" s="15"/>
      <c r="J787" s="1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22.5" customHeight="1">
      <c r="A788" s="35">
        <v>786.0</v>
      </c>
      <c r="B788" s="20">
        <v>57.0</v>
      </c>
      <c r="C788" s="36" t="s">
        <v>1168</v>
      </c>
      <c r="D788" s="13" t="s">
        <v>2188</v>
      </c>
      <c r="E788" s="13" t="s">
        <v>3366</v>
      </c>
      <c r="F788" s="13" t="s">
        <v>2190</v>
      </c>
      <c r="G788" s="13" t="s">
        <v>3367</v>
      </c>
      <c r="H788" s="13" t="s">
        <v>2192</v>
      </c>
      <c r="I788" s="14" t="s">
        <v>18</v>
      </c>
      <c r="J788" s="1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22.5" hidden="1" customHeight="1">
      <c r="A789" s="35">
        <v>787.0</v>
      </c>
      <c r="B789" s="20">
        <v>57.0</v>
      </c>
      <c r="C789" s="36" t="s">
        <v>1163</v>
      </c>
      <c r="D789" s="13" t="s">
        <v>2416</v>
      </c>
      <c r="E789" s="13" t="s">
        <v>3368</v>
      </c>
      <c r="F789" s="13" t="s">
        <v>2418</v>
      </c>
      <c r="G789" s="13" t="s">
        <v>2419</v>
      </c>
      <c r="H789" s="13" t="s">
        <v>2420</v>
      </c>
      <c r="I789" s="15"/>
      <c r="J789" s="1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22.5" customHeight="1">
      <c r="A790" s="35">
        <v>788.0</v>
      </c>
      <c r="B790" s="20">
        <v>57.0</v>
      </c>
      <c r="C790" s="36" t="s">
        <v>1218</v>
      </c>
      <c r="D790" s="13" t="s">
        <v>2038</v>
      </c>
      <c r="E790" s="13" t="s">
        <v>3369</v>
      </c>
      <c r="F790" s="13" t="s">
        <v>2040</v>
      </c>
      <c r="G790" s="13" t="s">
        <v>2041</v>
      </c>
      <c r="H790" s="13" t="s">
        <v>2042</v>
      </c>
      <c r="I790" s="15"/>
      <c r="J790" s="1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22.5" customHeight="1">
      <c r="A791" s="35">
        <v>789.0</v>
      </c>
      <c r="B791" s="20">
        <v>57.0</v>
      </c>
      <c r="C791" s="36" t="s">
        <v>1218</v>
      </c>
      <c r="D791" s="13" t="s">
        <v>3370</v>
      </c>
      <c r="E791" s="13" t="s">
        <v>3371</v>
      </c>
      <c r="F791" s="13" t="s">
        <v>3372</v>
      </c>
      <c r="G791" s="13" t="s">
        <v>3373</v>
      </c>
      <c r="H791" s="13" t="s">
        <v>3374</v>
      </c>
      <c r="I791" s="15"/>
      <c r="J791" s="1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22.5" hidden="1" customHeight="1">
      <c r="A792" s="35">
        <v>790.0</v>
      </c>
      <c r="B792" s="20">
        <v>56.0</v>
      </c>
      <c r="C792" s="36" t="s">
        <v>1163</v>
      </c>
      <c r="D792" s="13" t="s">
        <v>3375</v>
      </c>
      <c r="E792" s="13" t="s">
        <v>3376</v>
      </c>
      <c r="F792" s="13" t="s">
        <v>635</v>
      </c>
      <c r="G792" s="13" t="s">
        <v>636</v>
      </c>
      <c r="H792" s="13" t="s">
        <v>3377</v>
      </c>
      <c r="I792" s="14" t="s">
        <v>18</v>
      </c>
      <c r="J792" s="1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22.5" hidden="1" customHeight="1">
      <c r="A793" s="35">
        <v>791.0</v>
      </c>
      <c r="B793" s="20">
        <v>56.0</v>
      </c>
      <c r="C793" s="36" t="s">
        <v>1163</v>
      </c>
      <c r="D793" s="13" t="s">
        <v>3378</v>
      </c>
      <c r="E793" s="13" t="s">
        <v>3379</v>
      </c>
      <c r="F793" s="13" t="s">
        <v>3380</v>
      </c>
      <c r="G793" s="13" t="s">
        <v>3381</v>
      </c>
      <c r="H793" s="13" t="s">
        <v>3382</v>
      </c>
      <c r="I793" s="14" t="s">
        <v>18</v>
      </c>
      <c r="J793" s="1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22.5" customHeight="1">
      <c r="A794" s="35">
        <v>792.0</v>
      </c>
      <c r="B794" s="20">
        <v>56.0</v>
      </c>
      <c r="C794" s="36" t="s">
        <v>1218</v>
      </c>
      <c r="D794" s="13" t="s">
        <v>3383</v>
      </c>
      <c r="E794" s="13" t="s">
        <v>3384</v>
      </c>
      <c r="F794" s="13" t="s">
        <v>2094</v>
      </c>
      <c r="G794" s="13" t="s">
        <v>2095</v>
      </c>
      <c r="H794" s="13" t="s">
        <v>2096</v>
      </c>
      <c r="I794" s="14" t="s">
        <v>18</v>
      </c>
      <c r="J794" s="1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22.5" hidden="1" customHeight="1">
      <c r="A795" s="35">
        <v>793.0</v>
      </c>
      <c r="B795" s="20">
        <v>56.0</v>
      </c>
      <c r="C795" s="36" t="s">
        <v>1163</v>
      </c>
      <c r="D795" s="13" t="s">
        <v>3385</v>
      </c>
      <c r="E795" s="13" t="s">
        <v>3386</v>
      </c>
      <c r="F795" s="13" t="s">
        <v>3387</v>
      </c>
      <c r="G795" s="13" t="s">
        <v>3388</v>
      </c>
      <c r="H795" s="13" t="s">
        <v>3389</v>
      </c>
      <c r="I795" s="15"/>
      <c r="J795" s="1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22.5" customHeight="1">
      <c r="A796" s="35">
        <v>794.0</v>
      </c>
      <c r="B796" s="20">
        <v>56.0</v>
      </c>
      <c r="C796" s="36" t="s">
        <v>1168</v>
      </c>
      <c r="D796" s="13" t="s">
        <v>3390</v>
      </c>
      <c r="E796" s="13" t="s">
        <v>3391</v>
      </c>
      <c r="F796" s="13" t="s">
        <v>1254</v>
      </c>
      <c r="G796" s="13" t="s">
        <v>3392</v>
      </c>
      <c r="H796" s="13" t="s">
        <v>1256</v>
      </c>
      <c r="I796" s="14" t="s">
        <v>18</v>
      </c>
      <c r="J796" s="1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22.5" hidden="1" customHeight="1">
      <c r="A797" s="35">
        <v>795.0</v>
      </c>
      <c r="B797" s="20">
        <v>56.0</v>
      </c>
      <c r="C797" s="36" t="s">
        <v>1163</v>
      </c>
      <c r="D797" s="13" t="s">
        <v>3182</v>
      </c>
      <c r="E797" s="13" t="s">
        <v>3393</v>
      </c>
      <c r="F797" s="13" t="s">
        <v>3184</v>
      </c>
      <c r="G797" s="13" t="s">
        <v>3185</v>
      </c>
      <c r="H797" s="13" t="s">
        <v>3186</v>
      </c>
      <c r="I797" s="15"/>
      <c r="J797" s="1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22.5" hidden="1" customHeight="1">
      <c r="A798" s="35">
        <v>796.0</v>
      </c>
      <c r="B798" s="20">
        <v>56.0</v>
      </c>
      <c r="C798" s="36" t="s">
        <v>1163</v>
      </c>
      <c r="D798" s="13" t="s">
        <v>3394</v>
      </c>
      <c r="E798" s="13" t="s">
        <v>3395</v>
      </c>
      <c r="F798" s="13" t="s">
        <v>3396</v>
      </c>
      <c r="G798" s="13" t="s">
        <v>3397</v>
      </c>
      <c r="H798" s="13" t="s">
        <v>3398</v>
      </c>
      <c r="I798" s="14" t="s">
        <v>18</v>
      </c>
      <c r="J798" s="1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22.5" customHeight="1">
      <c r="A799" s="35">
        <v>797.0</v>
      </c>
      <c r="B799" s="20">
        <v>56.0</v>
      </c>
      <c r="C799" s="36" t="s">
        <v>1168</v>
      </c>
      <c r="D799" s="13" t="s">
        <v>1974</v>
      </c>
      <c r="E799" s="13" t="s">
        <v>1670</v>
      </c>
      <c r="F799" s="13" t="s">
        <v>1207</v>
      </c>
      <c r="G799" s="13" t="s">
        <v>1208</v>
      </c>
      <c r="H799" s="13" t="s">
        <v>1672</v>
      </c>
      <c r="I799" s="14" t="s">
        <v>18</v>
      </c>
      <c r="J799" s="1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22.5" customHeight="1">
      <c r="A800" s="35">
        <v>798.0</v>
      </c>
      <c r="B800" s="20">
        <v>56.0</v>
      </c>
      <c r="C800" s="36" t="s">
        <v>1168</v>
      </c>
      <c r="D800" s="13" t="s">
        <v>3399</v>
      </c>
      <c r="E800" s="13" t="s">
        <v>3400</v>
      </c>
      <c r="F800" s="13" t="s">
        <v>3401</v>
      </c>
      <c r="G800" s="13" t="s">
        <v>3402</v>
      </c>
      <c r="H800" s="13" t="s">
        <v>3403</v>
      </c>
      <c r="I800" s="14" t="s">
        <v>18</v>
      </c>
      <c r="J800" s="1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22.5" customHeight="1">
      <c r="A801" s="35">
        <v>799.0</v>
      </c>
      <c r="B801" s="20">
        <v>56.0</v>
      </c>
      <c r="C801" s="36" t="s">
        <v>1168</v>
      </c>
      <c r="D801" s="13" t="s">
        <v>3404</v>
      </c>
      <c r="E801" s="13" t="s">
        <v>3405</v>
      </c>
      <c r="F801" s="13" t="s">
        <v>2410</v>
      </c>
      <c r="G801" s="13" t="s">
        <v>3340</v>
      </c>
      <c r="H801" s="13" t="s">
        <v>2412</v>
      </c>
      <c r="I801" s="14" t="s">
        <v>18</v>
      </c>
      <c r="J801" s="1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22.5" customHeight="1">
      <c r="A802" s="35">
        <v>800.0</v>
      </c>
      <c r="B802" s="20">
        <v>56.0</v>
      </c>
      <c r="C802" s="36" t="s">
        <v>1168</v>
      </c>
      <c r="D802" s="13" t="s">
        <v>3406</v>
      </c>
      <c r="E802" s="13" t="s">
        <v>3407</v>
      </c>
      <c r="F802" s="13" t="s">
        <v>799</v>
      </c>
      <c r="G802" s="13" t="s">
        <v>800</v>
      </c>
      <c r="H802" s="13" t="s">
        <v>3408</v>
      </c>
      <c r="I802" s="14" t="s">
        <v>18</v>
      </c>
      <c r="J802" s="1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22.5" customHeight="1">
      <c r="A803" s="35">
        <v>801.0</v>
      </c>
      <c r="B803" s="20">
        <v>56.0</v>
      </c>
      <c r="C803" s="36" t="s">
        <v>1168</v>
      </c>
      <c r="D803" s="13" t="s">
        <v>3409</v>
      </c>
      <c r="E803" s="13" t="s">
        <v>3410</v>
      </c>
      <c r="F803" s="13" t="s">
        <v>3411</v>
      </c>
      <c r="G803" s="13" t="s">
        <v>3412</v>
      </c>
      <c r="H803" s="13" t="s">
        <v>3413</v>
      </c>
      <c r="I803" s="14" t="s">
        <v>18</v>
      </c>
      <c r="J803" s="1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22.5" customHeight="1">
      <c r="A804" s="35">
        <v>802.0</v>
      </c>
      <c r="B804" s="20">
        <v>56.0</v>
      </c>
      <c r="C804" s="36" t="s">
        <v>1168</v>
      </c>
      <c r="D804" s="13" t="s">
        <v>3414</v>
      </c>
      <c r="E804" s="13" t="s">
        <v>3366</v>
      </c>
      <c r="F804" s="13" t="s">
        <v>2190</v>
      </c>
      <c r="G804" s="13" t="s">
        <v>3367</v>
      </c>
      <c r="H804" s="13" t="s">
        <v>2192</v>
      </c>
      <c r="I804" s="15"/>
      <c r="J804" s="1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22.5" customHeight="1">
      <c r="A805" s="35">
        <v>803.0</v>
      </c>
      <c r="B805" s="20">
        <v>56.0</v>
      </c>
      <c r="C805" s="36" t="s">
        <v>1168</v>
      </c>
      <c r="D805" s="13" t="s">
        <v>3415</v>
      </c>
      <c r="E805" s="13" t="s">
        <v>3416</v>
      </c>
      <c r="F805" s="13" t="s">
        <v>3417</v>
      </c>
      <c r="G805" s="13" t="s">
        <v>3418</v>
      </c>
      <c r="H805" s="13" t="s">
        <v>3419</v>
      </c>
      <c r="I805" s="14" t="s">
        <v>18</v>
      </c>
      <c r="J805" s="1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22.5" customHeight="1">
      <c r="A806" s="35">
        <v>804.0</v>
      </c>
      <c r="B806" s="20">
        <v>56.0</v>
      </c>
      <c r="C806" s="36" t="s">
        <v>1168</v>
      </c>
      <c r="D806" s="13" t="s">
        <v>1279</v>
      </c>
      <c r="E806" s="13" t="s">
        <v>3420</v>
      </c>
      <c r="F806" s="13" t="s">
        <v>1281</v>
      </c>
      <c r="G806" s="13" t="s">
        <v>1282</v>
      </c>
      <c r="H806" s="13" t="s">
        <v>1283</v>
      </c>
      <c r="I806" s="15"/>
      <c r="J806" s="1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22.5" hidden="1" customHeight="1">
      <c r="A807" s="35">
        <v>805.0</v>
      </c>
      <c r="B807" s="20">
        <v>55.0</v>
      </c>
      <c r="C807" s="36" t="s">
        <v>1163</v>
      </c>
      <c r="D807" s="13" t="s">
        <v>3421</v>
      </c>
      <c r="E807" s="13" t="s">
        <v>3422</v>
      </c>
      <c r="F807" s="13" t="s">
        <v>3423</v>
      </c>
      <c r="G807" s="13" t="s">
        <v>3424</v>
      </c>
      <c r="H807" s="13" t="s">
        <v>3425</v>
      </c>
      <c r="I807" s="14" t="s">
        <v>18</v>
      </c>
      <c r="J807" s="1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22.5" customHeight="1">
      <c r="A808" s="35">
        <v>806.0</v>
      </c>
      <c r="B808" s="20">
        <v>55.0</v>
      </c>
      <c r="C808" s="36" t="s">
        <v>1168</v>
      </c>
      <c r="D808" s="13" t="s">
        <v>1839</v>
      </c>
      <c r="E808" s="13" t="s">
        <v>1445</v>
      </c>
      <c r="F808" s="13" t="s">
        <v>1840</v>
      </c>
      <c r="G808" s="13" t="s">
        <v>1841</v>
      </c>
      <c r="H808" s="13" t="s">
        <v>1448</v>
      </c>
      <c r="I808" s="15"/>
      <c r="J808" s="1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22.5" customHeight="1">
      <c r="A809" s="35">
        <v>807.0</v>
      </c>
      <c r="B809" s="20">
        <v>55.0</v>
      </c>
      <c r="C809" s="36" t="s">
        <v>1168</v>
      </c>
      <c r="D809" s="13" t="s">
        <v>3426</v>
      </c>
      <c r="E809" s="13" t="s">
        <v>3427</v>
      </c>
      <c r="F809" s="13" t="s">
        <v>3428</v>
      </c>
      <c r="G809" s="13" t="s">
        <v>3429</v>
      </c>
      <c r="H809" s="13" t="s">
        <v>3430</v>
      </c>
      <c r="I809" s="14" t="s">
        <v>18</v>
      </c>
      <c r="J809" s="1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22.5" hidden="1" customHeight="1">
      <c r="A810" s="35">
        <v>808.0</v>
      </c>
      <c r="B810" s="20">
        <v>55.0</v>
      </c>
      <c r="C810" s="36" t="s">
        <v>1163</v>
      </c>
      <c r="D810" s="13" t="s">
        <v>3431</v>
      </c>
      <c r="E810" s="13" t="s">
        <v>3432</v>
      </c>
      <c r="F810" s="13" t="s">
        <v>3433</v>
      </c>
      <c r="G810" s="13" t="s">
        <v>3434</v>
      </c>
      <c r="H810" s="13" t="s">
        <v>1960</v>
      </c>
      <c r="I810" s="15"/>
      <c r="J810" s="1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22.5" customHeight="1">
      <c r="A811" s="35">
        <v>809.0</v>
      </c>
      <c r="B811" s="20">
        <v>55.0</v>
      </c>
      <c r="C811" s="36" t="s">
        <v>1168</v>
      </c>
      <c r="D811" s="13" t="s">
        <v>1336</v>
      </c>
      <c r="E811" s="13" t="s">
        <v>2289</v>
      </c>
      <c r="F811" s="13" t="s">
        <v>1338</v>
      </c>
      <c r="G811" s="13" t="s">
        <v>1339</v>
      </c>
      <c r="H811" s="13" t="s">
        <v>1340</v>
      </c>
      <c r="I811" s="15"/>
      <c r="J811" s="1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22.5" customHeight="1">
      <c r="A812" s="35">
        <v>810.0</v>
      </c>
      <c r="B812" s="20">
        <v>55.0</v>
      </c>
      <c r="C812" s="36" t="s">
        <v>1168</v>
      </c>
      <c r="D812" s="13" t="s">
        <v>3435</v>
      </c>
      <c r="E812" s="13" t="s">
        <v>2721</v>
      </c>
      <c r="F812" s="13" t="s">
        <v>3436</v>
      </c>
      <c r="G812" s="13" t="s">
        <v>3437</v>
      </c>
      <c r="H812" s="13" t="s">
        <v>3438</v>
      </c>
      <c r="I812" s="14" t="s">
        <v>18</v>
      </c>
      <c r="J812" s="1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22.5" hidden="1" customHeight="1">
      <c r="A813" s="35">
        <v>811.0</v>
      </c>
      <c r="B813" s="20">
        <v>55.0</v>
      </c>
      <c r="C813" s="36" t="s">
        <v>1163</v>
      </c>
      <c r="D813" s="13" t="s">
        <v>3439</v>
      </c>
      <c r="E813" s="13" t="s">
        <v>3440</v>
      </c>
      <c r="F813" s="13" t="s">
        <v>3441</v>
      </c>
      <c r="G813" s="13" t="s">
        <v>3442</v>
      </c>
      <c r="H813" s="13" t="s">
        <v>3443</v>
      </c>
      <c r="I813" s="14" t="s">
        <v>18</v>
      </c>
      <c r="J813" s="1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22.5" customHeight="1">
      <c r="A814" s="35">
        <v>812.0</v>
      </c>
      <c r="B814" s="20">
        <v>55.0</v>
      </c>
      <c r="C814" s="36" t="s">
        <v>1168</v>
      </c>
      <c r="D814" s="13" t="s">
        <v>3074</v>
      </c>
      <c r="E814" s="13" t="s">
        <v>3444</v>
      </c>
      <c r="F814" s="13" t="s">
        <v>2833</v>
      </c>
      <c r="G814" s="13" t="s">
        <v>2834</v>
      </c>
      <c r="H814" s="13" t="s">
        <v>2835</v>
      </c>
      <c r="I814" s="15"/>
      <c r="J814" s="1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22.5" customHeight="1">
      <c r="A815" s="35">
        <v>813.0</v>
      </c>
      <c r="B815" s="20">
        <v>55.0</v>
      </c>
      <c r="C815" s="36" t="s">
        <v>1168</v>
      </c>
      <c r="D815" s="13" t="s">
        <v>1808</v>
      </c>
      <c r="E815" s="13" t="s">
        <v>1556</v>
      </c>
      <c r="F815" s="13" t="s">
        <v>1809</v>
      </c>
      <c r="G815" s="13" t="s">
        <v>1810</v>
      </c>
      <c r="H815" s="13" t="s">
        <v>1558</v>
      </c>
      <c r="I815" s="15"/>
      <c r="J815" s="1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22.5" hidden="1" customHeight="1">
      <c r="A816" s="35">
        <v>814.0</v>
      </c>
      <c r="B816" s="20">
        <v>55.0</v>
      </c>
      <c r="C816" s="36" t="s">
        <v>1163</v>
      </c>
      <c r="D816" s="13" t="s">
        <v>1664</v>
      </c>
      <c r="E816" s="13" t="s">
        <v>3445</v>
      </c>
      <c r="F816" s="13" t="s">
        <v>1666</v>
      </c>
      <c r="G816" s="13" t="s">
        <v>1667</v>
      </c>
      <c r="H816" s="13" t="s">
        <v>1668</v>
      </c>
      <c r="I816" s="15"/>
      <c r="J816" s="1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22.5" customHeight="1">
      <c r="A817" s="35">
        <v>815.0</v>
      </c>
      <c r="B817" s="20">
        <v>55.0</v>
      </c>
      <c r="C817" s="36" t="s">
        <v>1168</v>
      </c>
      <c r="D817" s="13" t="s">
        <v>3446</v>
      </c>
      <c r="E817" s="13" t="s">
        <v>2573</v>
      </c>
      <c r="F817" s="13" t="s">
        <v>3447</v>
      </c>
      <c r="G817" s="13" t="s">
        <v>3448</v>
      </c>
      <c r="H817" s="13" t="s">
        <v>2574</v>
      </c>
      <c r="I817" s="14" t="s">
        <v>18</v>
      </c>
      <c r="J817" s="1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22.5" customHeight="1">
      <c r="A818" s="35">
        <v>816.0</v>
      </c>
      <c r="B818" s="20">
        <v>55.0</v>
      </c>
      <c r="C818" s="36" t="s">
        <v>1168</v>
      </c>
      <c r="D818" s="13" t="s">
        <v>1198</v>
      </c>
      <c r="E818" s="13" t="s">
        <v>2608</v>
      </c>
      <c r="F818" s="13" t="s">
        <v>1199</v>
      </c>
      <c r="G818" s="13" t="s">
        <v>1200</v>
      </c>
      <c r="H818" s="13" t="s">
        <v>1201</v>
      </c>
      <c r="I818" s="15"/>
      <c r="J818" s="1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22.5" hidden="1" customHeight="1">
      <c r="A819" s="35">
        <v>817.0</v>
      </c>
      <c r="B819" s="20">
        <v>55.0</v>
      </c>
      <c r="C819" s="36" t="s">
        <v>1163</v>
      </c>
      <c r="D819" s="13" t="s">
        <v>2734</v>
      </c>
      <c r="E819" s="13" t="s">
        <v>3449</v>
      </c>
      <c r="F819" s="13" t="s">
        <v>1195</v>
      </c>
      <c r="G819" s="13" t="s">
        <v>1196</v>
      </c>
      <c r="H819" s="13" t="s">
        <v>3450</v>
      </c>
      <c r="I819" s="15"/>
      <c r="J819" s="1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22.5" customHeight="1">
      <c r="A820" s="35">
        <v>818.0</v>
      </c>
      <c r="B820" s="20">
        <v>55.0</v>
      </c>
      <c r="C820" s="36" t="s">
        <v>1168</v>
      </c>
      <c r="D820" s="13" t="s">
        <v>1524</v>
      </c>
      <c r="E820" s="13" t="s">
        <v>2733</v>
      </c>
      <c r="F820" s="13" t="s">
        <v>1526</v>
      </c>
      <c r="G820" s="13" t="s">
        <v>1527</v>
      </c>
      <c r="H820" s="13" t="s">
        <v>1528</v>
      </c>
      <c r="I820" s="15"/>
      <c r="J820" s="1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22.5" customHeight="1">
      <c r="A821" s="35">
        <v>819.0</v>
      </c>
      <c r="B821" s="20">
        <v>55.0</v>
      </c>
      <c r="C821" s="36" t="s">
        <v>1168</v>
      </c>
      <c r="D821" s="13" t="s">
        <v>1776</v>
      </c>
      <c r="E821" s="13" t="s">
        <v>1777</v>
      </c>
      <c r="F821" s="13" t="s">
        <v>1778</v>
      </c>
      <c r="G821" s="13" t="s">
        <v>1779</v>
      </c>
      <c r="H821" s="13" t="s">
        <v>1780</v>
      </c>
      <c r="I821" s="15"/>
      <c r="J821" s="1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22.5" customHeight="1">
      <c r="A822" s="35">
        <v>820.0</v>
      </c>
      <c r="B822" s="20">
        <v>54.0</v>
      </c>
      <c r="C822" s="36" t="s">
        <v>1168</v>
      </c>
      <c r="D822" s="13" t="s">
        <v>1947</v>
      </c>
      <c r="E822" s="13" t="s">
        <v>3451</v>
      </c>
      <c r="F822" s="13" t="s">
        <v>1949</v>
      </c>
      <c r="G822" s="13" t="s">
        <v>1950</v>
      </c>
      <c r="H822" s="13" t="s">
        <v>1951</v>
      </c>
      <c r="I822" s="15"/>
      <c r="J822" s="1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22.5" customHeight="1">
      <c r="A823" s="35">
        <v>821.0</v>
      </c>
      <c r="B823" s="20">
        <v>54.0</v>
      </c>
      <c r="C823" s="36" t="s">
        <v>1168</v>
      </c>
      <c r="D823" s="13" t="s">
        <v>1169</v>
      </c>
      <c r="E823" s="13" t="s">
        <v>1170</v>
      </c>
      <c r="F823" s="13" t="s">
        <v>1171</v>
      </c>
      <c r="G823" s="13" t="s">
        <v>1172</v>
      </c>
      <c r="H823" s="13" t="s">
        <v>1173</v>
      </c>
      <c r="I823" s="15"/>
      <c r="J823" s="1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22.5" hidden="1" customHeight="1">
      <c r="A824" s="35">
        <v>822.0</v>
      </c>
      <c r="B824" s="20">
        <v>54.0</v>
      </c>
      <c r="C824" s="36" t="s">
        <v>1163</v>
      </c>
      <c r="D824" s="13" t="s">
        <v>2801</v>
      </c>
      <c r="E824" s="13" t="s">
        <v>2802</v>
      </c>
      <c r="F824" s="13" t="s">
        <v>2803</v>
      </c>
      <c r="G824" s="13" t="s">
        <v>2804</v>
      </c>
      <c r="H824" s="13" t="s">
        <v>1645</v>
      </c>
      <c r="I824" s="14" t="s">
        <v>18</v>
      </c>
      <c r="J824" s="1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22.5" customHeight="1">
      <c r="A825" s="35">
        <v>823.0</v>
      </c>
      <c r="B825" s="20">
        <v>54.0</v>
      </c>
      <c r="C825" s="36" t="s">
        <v>1168</v>
      </c>
      <c r="D825" s="13" t="s">
        <v>1242</v>
      </c>
      <c r="E825" s="13" t="s">
        <v>3452</v>
      </c>
      <c r="F825" s="13" t="s">
        <v>1244</v>
      </c>
      <c r="G825" s="13" t="s">
        <v>1914</v>
      </c>
      <c r="H825" s="13" t="s">
        <v>1246</v>
      </c>
      <c r="I825" s="15"/>
      <c r="J825" s="1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22.5" customHeight="1">
      <c r="A826" s="35">
        <v>824.0</v>
      </c>
      <c r="B826" s="20">
        <v>54.0</v>
      </c>
      <c r="C826" s="36" t="s">
        <v>1218</v>
      </c>
      <c r="D826" s="13" t="s">
        <v>3453</v>
      </c>
      <c r="E826" s="13" t="s">
        <v>3454</v>
      </c>
      <c r="F826" s="13" t="s">
        <v>3455</v>
      </c>
      <c r="G826" s="13" t="s">
        <v>3456</v>
      </c>
      <c r="H826" s="13" t="s">
        <v>3457</v>
      </c>
      <c r="I826" s="14" t="s">
        <v>18</v>
      </c>
      <c r="J826" s="1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22.5" hidden="1" customHeight="1">
      <c r="A827" s="35">
        <v>825.0</v>
      </c>
      <c r="B827" s="20">
        <v>54.0</v>
      </c>
      <c r="C827" s="36" t="s">
        <v>1163</v>
      </c>
      <c r="D827" s="13" t="s">
        <v>3458</v>
      </c>
      <c r="E827" s="13" t="s">
        <v>3459</v>
      </c>
      <c r="F827" s="13" t="s">
        <v>3460</v>
      </c>
      <c r="G827" s="13" t="s">
        <v>3461</v>
      </c>
      <c r="H827" s="13" t="s">
        <v>3462</v>
      </c>
      <c r="I827" s="15"/>
      <c r="J827" s="1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22.5" hidden="1" customHeight="1">
      <c r="A828" s="35">
        <v>826.0</v>
      </c>
      <c r="B828" s="20">
        <v>54.0</v>
      </c>
      <c r="C828" s="36" t="s">
        <v>1163</v>
      </c>
      <c r="D828" s="13" t="s">
        <v>3463</v>
      </c>
      <c r="E828" s="13" t="s">
        <v>3464</v>
      </c>
      <c r="F828" s="13" t="s">
        <v>3465</v>
      </c>
      <c r="G828" s="13" t="s">
        <v>3466</v>
      </c>
      <c r="H828" s="13" t="s">
        <v>3467</v>
      </c>
      <c r="I828" s="15"/>
      <c r="J828" s="1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22.5" hidden="1" customHeight="1">
      <c r="A829" s="35">
        <v>827.0</v>
      </c>
      <c r="B829" s="20">
        <v>54.0</v>
      </c>
      <c r="C829" s="36" t="s">
        <v>1163</v>
      </c>
      <c r="D829" s="13" t="s">
        <v>1962</v>
      </c>
      <c r="E829" s="13" t="s">
        <v>3468</v>
      </c>
      <c r="F829" s="13" t="s">
        <v>1964</v>
      </c>
      <c r="G829" s="13" t="s">
        <v>1965</v>
      </c>
      <c r="H829" s="13" t="s">
        <v>1966</v>
      </c>
      <c r="I829" s="15"/>
      <c r="J829" s="1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22.5" customHeight="1">
      <c r="A830" s="35">
        <v>828.0</v>
      </c>
      <c r="B830" s="20">
        <v>54.0</v>
      </c>
      <c r="C830" s="36" t="s">
        <v>1168</v>
      </c>
      <c r="D830" s="13" t="s">
        <v>1555</v>
      </c>
      <c r="E830" s="13" t="s">
        <v>1556</v>
      </c>
      <c r="F830" s="13" t="s">
        <v>1557</v>
      </c>
      <c r="G830" s="13" t="s">
        <v>462</v>
      </c>
      <c r="H830" s="13" t="s">
        <v>1558</v>
      </c>
      <c r="I830" s="15"/>
      <c r="J830" s="1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22.5" customHeight="1">
      <c r="A831" s="35">
        <v>829.0</v>
      </c>
      <c r="B831" s="20">
        <v>54.0</v>
      </c>
      <c r="C831" s="36" t="s">
        <v>1168</v>
      </c>
      <c r="D831" s="13" t="s">
        <v>1265</v>
      </c>
      <c r="E831" s="13" t="s">
        <v>1266</v>
      </c>
      <c r="F831" s="13" t="s">
        <v>1267</v>
      </c>
      <c r="G831" s="13" t="s">
        <v>1268</v>
      </c>
      <c r="H831" s="13" t="s">
        <v>1269</v>
      </c>
      <c r="I831" s="15"/>
      <c r="J831" s="1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22.5" customHeight="1">
      <c r="A832" s="35">
        <v>830.0</v>
      </c>
      <c r="B832" s="20">
        <v>54.0</v>
      </c>
      <c r="C832" s="36" t="s">
        <v>1218</v>
      </c>
      <c r="D832" s="13" t="s">
        <v>1270</v>
      </c>
      <c r="E832" s="13" t="s">
        <v>2776</v>
      </c>
      <c r="F832" s="13" t="s">
        <v>1272</v>
      </c>
      <c r="G832" s="13" t="s">
        <v>2553</v>
      </c>
      <c r="H832" s="13" t="s">
        <v>1274</v>
      </c>
      <c r="I832" s="15"/>
      <c r="J832" s="1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22.5" customHeight="1">
      <c r="A833" s="35">
        <v>831.0</v>
      </c>
      <c r="B833" s="20">
        <v>54.0</v>
      </c>
      <c r="C833" s="36" t="s">
        <v>1168</v>
      </c>
      <c r="D833" s="13" t="s">
        <v>2989</v>
      </c>
      <c r="E833" s="13" t="s">
        <v>2990</v>
      </c>
      <c r="F833" s="13" t="s">
        <v>2991</v>
      </c>
      <c r="G833" s="13" t="s">
        <v>2992</v>
      </c>
      <c r="H833" s="13" t="s">
        <v>2993</v>
      </c>
      <c r="I833" s="15"/>
      <c r="J833" s="1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22.5" customHeight="1">
      <c r="A834" s="35">
        <v>832.0</v>
      </c>
      <c r="B834" s="20">
        <v>54.0</v>
      </c>
      <c r="C834" s="36" t="s">
        <v>1218</v>
      </c>
      <c r="D834" s="13" t="s">
        <v>3469</v>
      </c>
      <c r="E834" s="13" t="s">
        <v>3470</v>
      </c>
      <c r="F834" s="13" t="s">
        <v>3471</v>
      </c>
      <c r="G834" s="13" t="s">
        <v>3472</v>
      </c>
      <c r="H834" s="13" t="s">
        <v>3473</v>
      </c>
      <c r="I834" s="15"/>
      <c r="J834" s="1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22.5" hidden="1" customHeight="1">
      <c r="A835" s="35">
        <v>833.0</v>
      </c>
      <c r="B835" s="20">
        <v>54.0</v>
      </c>
      <c r="C835" s="36" t="s">
        <v>1163</v>
      </c>
      <c r="D835" s="13" t="s">
        <v>1877</v>
      </c>
      <c r="E835" s="13" t="s">
        <v>3474</v>
      </c>
      <c r="F835" s="13" t="s">
        <v>1879</v>
      </c>
      <c r="G835" s="13" t="s">
        <v>3475</v>
      </c>
      <c r="H835" s="13" t="s">
        <v>1881</v>
      </c>
      <c r="I835" s="15"/>
      <c r="J835" s="1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21.75" customHeight="1">
      <c r="A836" s="35">
        <v>834.0</v>
      </c>
      <c r="B836" s="20">
        <v>54.0</v>
      </c>
      <c r="C836" s="36" t="s">
        <v>1218</v>
      </c>
      <c r="D836" s="13" t="s">
        <v>3476</v>
      </c>
      <c r="E836" s="13" t="s">
        <v>1445</v>
      </c>
      <c r="F836" s="13" t="s">
        <v>3477</v>
      </c>
      <c r="G836" s="13" t="s">
        <v>3478</v>
      </c>
      <c r="H836" s="13" t="s">
        <v>3479</v>
      </c>
      <c r="I836" s="15"/>
      <c r="J836" s="1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22.5" customHeight="1">
      <c r="A837" s="35">
        <v>835.0</v>
      </c>
      <c r="B837" s="20">
        <v>53.0</v>
      </c>
      <c r="C837" s="36" t="s">
        <v>1218</v>
      </c>
      <c r="D837" s="13" t="s">
        <v>2669</v>
      </c>
      <c r="E837" s="13" t="s">
        <v>3480</v>
      </c>
      <c r="F837" s="13" t="s">
        <v>2671</v>
      </c>
      <c r="G837" s="13" t="s">
        <v>2672</v>
      </c>
      <c r="H837" s="13" t="s">
        <v>2673</v>
      </c>
      <c r="I837" s="15"/>
      <c r="J837" s="1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22.5" hidden="1" customHeight="1">
      <c r="A838" s="35">
        <v>836.0</v>
      </c>
      <c r="B838" s="20">
        <v>53.0</v>
      </c>
      <c r="C838" s="36" t="s">
        <v>1163</v>
      </c>
      <c r="D838" s="13" t="s">
        <v>3481</v>
      </c>
      <c r="E838" s="13" t="s">
        <v>3482</v>
      </c>
      <c r="F838" s="13" t="s">
        <v>3483</v>
      </c>
      <c r="G838" s="13" t="s">
        <v>3484</v>
      </c>
      <c r="H838" s="13" t="s">
        <v>3485</v>
      </c>
      <c r="I838" s="14" t="s">
        <v>18</v>
      </c>
      <c r="J838" s="1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22.5" hidden="1" customHeight="1">
      <c r="A839" s="35">
        <v>837.0</v>
      </c>
      <c r="B839" s="20">
        <v>53.0</v>
      </c>
      <c r="C839" s="36" t="s">
        <v>1163</v>
      </c>
      <c r="D839" s="13" t="s">
        <v>3486</v>
      </c>
      <c r="E839" s="13" t="s">
        <v>3487</v>
      </c>
      <c r="F839" s="13" t="s">
        <v>3488</v>
      </c>
      <c r="G839" s="13" t="s">
        <v>3489</v>
      </c>
      <c r="H839" s="13" t="s">
        <v>3490</v>
      </c>
      <c r="I839" s="14" t="s">
        <v>18</v>
      </c>
      <c r="J839" s="1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22.5" customHeight="1">
      <c r="A840" s="35">
        <v>838.0</v>
      </c>
      <c r="B840" s="20">
        <v>53.0</v>
      </c>
      <c r="C840" s="36" t="s">
        <v>1168</v>
      </c>
      <c r="D840" s="13" t="s">
        <v>1509</v>
      </c>
      <c r="E840" s="13" t="s">
        <v>3491</v>
      </c>
      <c r="F840" s="13" t="s">
        <v>1511</v>
      </c>
      <c r="G840" s="13" t="s">
        <v>3492</v>
      </c>
      <c r="H840" s="13" t="s">
        <v>1513</v>
      </c>
      <c r="I840" s="15"/>
      <c r="J840" s="1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22.5" customHeight="1">
      <c r="A841" s="35">
        <v>839.0</v>
      </c>
      <c r="B841" s="20">
        <v>53.0</v>
      </c>
      <c r="C841" s="36" t="s">
        <v>1218</v>
      </c>
      <c r="D841" s="13" t="s">
        <v>1542</v>
      </c>
      <c r="E841" s="13" t="s">
        <v>3493</v>
      </c>
      <c r="F841" s="13" t="s">
        <v>1544</v>
      </c>
      <c r="G841" s="13" t="s">
        <v>3241</v>
      </c>
      <c r="H841" s="13" t="s">
        <v>1546</v>
      </c>
      <c r="I841" s="15"/>
      <c r="J841" s="1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22.5" hidden="1" customHeight="1">
      <c r="A842" s="35">
        <v>840.0</v>
      </c>
      <c r="B842" s="20">
        <v>53.0</v>
      </c>
      <c r="C842" s="36" t="s">
        <v>1163</v>
      </c>
      <c r="D842" s="13" t="s">
        <v>3494</v>
      </c>
      <c r="E842" s="13" t="s">
        <v>3495</v>
      </c>
      <c r="F842" s="13" t="s">
        <v>3496</v>
      </c>
      <c r="G842" s="13" t="s">
        <v>3497</v>
      </c>
      <c r="H842" s="13" t="s">
        <v>3498</v>
      </c>
      <c r="I842" s="14" t="s">
        <v>18</v>
      </c>
      <c r="J842" s="1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22.5" customHeight="1">
      <c r="A843" s="35">
        <v>841.0</v>
      </c>
      <c r="B843" s="20">
        <v>53.0</v>
      </c>
      <c r="C843" s="36" t="s">
        <v>1218</v>
      </c>
      <c r="D843" s="13" t="s">
        <v>3499</v>
      </c>
      <c r="E843" s="13" t="s">
        <v>3500</v>
      </c>
      <c r="F843" s="13" t="s">
        <v>3501</v>
      </c>
      <c r="G843" s="13" t="s">
        <v>3502</v>
      </c>
      <c r="H843" s="13" t="s">
        <v>3503</v>
      </c>
      <c r="I843" s="14" t="s">
        <v>18</v>
      </c>
      <c r="J843" s="1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22.5" hidden="1" customHeight="1">
      <c r="A844" s="35">
        <v>842.0</v>
      </c>
      <c r="B844" s="20">
        <v>53.0</v>
      </c>
      <c r="C844" s="36" t="s">
        <v>1163</v>
      </c>
      <c r="D844" s="13" t="s">
        <v>3504</v>
      </c>
      <c r="E844" s="13" t="s">
        <v>3505</v>
      </c>
      <c r="F844" s="13" t="s">
        <v>3506</v>
      </c>
      <c r="G844" s="13" t="s">
        <v>3507</v>
      </c>
      <c r="H844" s="13" t="s">
        <v>3508</v>
      </c>
      <c r="I844" s="14" t="s">
        <v>18</v>
      </c>
      <c r="J844" s="1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22.5" hidden="1" customHeight="1">
      <c r="A845" s="35">
        <v>843.0</v>
      </c>
      <c r="B845" s="20">
        <v>53.0</v>
      </c>
      <c r="C845" s="36" t="s">
        <v>1163</v>
      </c>
      <c r="D845" s="13" t="s">
        <v>3509</v>
      </c>
      <c r="E845" s="13" t="s">
        <v>3510</v>
      </c>
      <c r="F845" s="13" t="s">
        <v>3511</v>
      </c>
      <c r="G845" s="13" t="s">
        <v>3512</v>
      </c>
      <c r="H845" s="13" t="s">
        <v>3513</v>
      </c>
      <c r="I845" s="15"/>
      <c r="J845" s="1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22.5" customHeight="1">
      <c r="A846" s="35">
        <v>844.0</v>
      </c>
      <c r="B846" s="20">
        <v>53.0</v>
      </c>
      <c r="C846" s="36" t="s">
        <v>1168</v>
      </c>
      <c r="D846" s="13" t="s">
        <v>2408</v>
      </c>
      <c r="E846" s="13" t="s">
        <v>3514</v>
      </c>
      <c r="F846" s="13" t="s">
        <v>2410</v>
      </c>
      <c r="G846" s="13" t="s">
        <v>2411</v>
      </c>
      <c r="H846" s="13" t="s">
        <v>2412</v>
      </c>
      <c r="I846" s="15"/>
      <c r="J846" s="1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22.5" customHeight="1">
      <c r="A847" s="35">
        <v>845.0</v>
      </c>
      <c r="B847" s="20">
        <v>53.0</v>
      </c>
      <c r="C847" s="36" t="s">
        <v>1218</v>
      </c>
      <c r="D847" s="13" t="s">
        <v>1981</v>
      </c>
      <c r="E847" s="13" t="s">
        <v>3515</v>
      </c>
      <c r="F847" s="13" t="s">
        <v>1983</v>
      </c>
      <c r="G847" s="13" t="s">
        <v>1984</v>
      </c>
      <c r="H847" s="13" t="s">
        <v>1985</v>
      </c>
      <c r="I847" s="15"/>
      <c r="J847" s="1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22.5" customHeight="1">
      <c r="A848" s="35">
        <v>846.0</v>
      </c>
      <c r="B848" s="20">
        <v>53.0</v>
      </c>
      <c r="C848" s="36" t="s">
        <v>1168</v>
      </c>
      <c r="D848" s="13" t="s">
        <v>1707</v>
      </c>
      <c r="E848" s="13" t="s">
        <v>3516</v>
      </c>
      <c r="F848" s="13" t="s">
        <v>1215</v>
      </c>
      <c r="G848" s="13" t="s">
        <v>2414</v>
      </c>
      <c r="H848" s="13" t="s">
        <v>1217</v>
      </c>
      <c r="I848" s="15"/>
      <c r="J848" s="1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22.5" customHeight="1">
      <c r="A849" s="35">
        <v>847.0</v>
      </c>
      <c r="B849" s="20">
        <v>53.0</v>
      </c>
      <c r="C849" s="36" t="s">
        <v>1168</v>
      </c>
      <c r="D849" s="13" t="s">
        <v>2188</v>
      </c>
      <c r="E849" s="13" t="s">
        <v>2935</v>
      </c>
      <c r="F849" s="13" t="s">
        <v>2190</v>
      </c>
      <c r="G849" s="13" t="s">
        <v>3517</v>
      </c>
      <c r="H849" s="13" t="s">
        <v>2192</v>
      </c>
      <c r="I849" s="15"/>
      <c r="J849" s="1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22.5" customHeight="1">
      <c r="A850" s="35">
        <v>848.0</v>
      </c>
      <c r="B850" s="20">
        <v>53.0</v>
      </c>
      <c r="C850" s="36" t="s">
        <v>1218</v>
      </c>
      <c r="D850" s="13" t="s">
        <v>3518</v>
      </c>
      <c r="E850" s="13" t="s">
        <v>3519</v>
      </c>
      <c r="F850" s="13" t="s">
        <v>3520</v>
      </c>
      <c r="G850" s="13" t="s">
        <v>3521</v>
      </c>
      <c r="H850" s="13" t="s">
        <v>3522</v>
      </c>
      <c r="I850" s="14" t="s">
        <v>18</v>
      </c>
      <c r="J850" s="1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22.5" customHeight="1">
      <c r="A851" s="35">
        <v>849.0</v>
      </c>
      <c r="B851" s="20">
        <v>53.0</v>
      </c>
      <c r="C851" s="36" t="s">
        <v>1218</v>
      </c>
      <c r="D851" s="13" t="s">
        <v>1537</v>
      </c>
      <c r="E851" s="13" t="s">
        <v>3523</v>
      </c>
      <c r="F851" s="13" t="s">
        <v>1539</v>
      </c>
      <c r="G851" s="13" t="s">
        <v>2354</v>
      </c>
      <c r="H851" s="13" t="s">
        <v>1541</v>
      </c>
      <c r="I851" s="14" t="s">
        <v>18</v>
      </c>
      <c r="J851" s="1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22.5" customHeight="1">
      <c r="A852" s="35">
        <v>850.0</v>
      </c>
      <c r="B852" s="20">
        <v>52.0</v>
      </c>
      <c r="C852" s="36" t="s">
        <v>1218</v>
      </c>
      <c r="D852" s="13" t="s">
        <v>1714</v>
      </c>
      <c r="E852" s="13" t="s">
        <v>3524</v>
      </c>
      <c r="F852" s="13" t="s">
        <v>1716</v>
      </c>
      <c r="G852" s="13" t="s">
        <v>1946</v>
      </c>
      <c r="H852" s="13" t="s">
        <v>1718</v>
      </c>
      <c r="I852" s="15"/>
      <c r="J852" s="1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22.5" customHeight="1">
      <c r="A853" s="35">
        <v>851.0</v>
      </c>
      <c r="B853" s="20">
        <v>52.0</v>
      </c>
      <c r="C853" s="36" t="s">
        <v>1218</v>
      </c>
      <c r="D853" s="13" t="s">
        <v>1747</v>
      </c>
      <c r="E853" s="13" t="s">
        <v>3525</v>
      </c>
      <c r="F853" s="13" t="s">
        <v>1749</v>
      </c>
      <c r="G853" s="13" t="s">
        <v>2359</v>
      </c>
      <c r="H853" s="13" t="s">
        <v>1751</v>
      </c>
      <c r="I853" s="14" t="s">
        <v>18</v>
      </c>
      <c r="J853" s="1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22.5" customHeight="1">
      <c r="A854" s="35">
        <v>852.0</v>
      </c>
      <c r="B854" s="20">
        <v>52.0</v>
      </c>
      <c r="C854" s="36" t="s">
        <v>1218</v>
      </c>
      <c r="D854" s="13" t="s">
        <v>2052</v>
      </c>
      <c r="E854" s="13" t="s">
        <v>3526</v>
      </c>
      <c r="F854" s="13" t="s">
        <v>2054</v>
      </c>
      <c r="G854" s="13" t="s">
        <v>2918</v>
      </c>
      <c r="H854" s="13" t="s">
        <v>2056</v>
      </c>
      <c r="I854" s="15"/>
      <c r="J854" s="1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22.5" customHeight="1">
      <c r="A855" s="35">
        <v>853.0</v>
      </c>
      <c r="B855" s="20">
        <v>52.0</v>
      </c>
      <c r="C855" s="36" t="s">
        <v>1218</v>
      </c>
      <c r="D855" s="13" t="s">
        <v>3527</v>
      </c>
      <c r="E855" s="13" t="s">
        <v>3528</v>
      </c>
      <c r="F855" s="13" t="s">
        <v>3529</v>
      </c>
      <c r="G855" s="13" t="s">
        <v>3530</v>
      </c>
      <c r="H855" s="13" t="s">
        <v>3531</v>
      </c>
      <c r="I855" s="14" t="s">
        <v>18</v>
      </c>
      <c r="J855" s="1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22.5" hidden="1" customHeight="1">
      <c r="A856" s="35">
        <v>854.0</v>
      </c>
      <c r="B856" s="20">
        <v>52.0</v>
      </c>
      <c r="C856" s="36" t="s">
        <v>1163</v>
      </c>
      <c r="D856" s="13" t="s">
        <v>3532</v>
      </c>
      <c r="E856" s="13" t="s">
        <v>3533</v>
      </c>
      <c r="F856" s="13" t="s">
        <v>3534</v>
      </c>
      <c r="G856" s="13" t="s">
        <v>3535</v>
      </c>
      <c r="H856" s="13" t="s">
        <v>1508</v>
      </c>
      <c r="I856" s="15"/>
      <c r="J856" s="1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22.5" hidden="1" customHeight="1">
      <c r="A857" s="35">
        <v>855.0</v>
      </c>
      <c r="B857" s="20">
        <v>52.0</v>
      </c>
      <c r="C857" s="36" t="s">
        <v>1163</v>
      </c>
      <c r="D857" s="13" t="s">
        <v>1454</v>
      </c>
      <c r="E857" s="13" t="s">
        <v>3536</v>
      </c>
      <c r="F857" s="13" t="s">
        <v>1456</v>
      </c>
      <c r="G857" s="13" t="s">
        <v>1457</v>
      </c>
      <c r="H857" s="13" t="s">
        <v>1458</v>
      </c>
      <c r="I857" s="15"/>
      <c r="J857" s="1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22.5" customHeight="1">
      <c r="A858" s="35">
        <v>856.0</v>
      </c>
      <c r="B858" s="20">
        <v>52.0</v>
      </c>
      <c r="C858" s="36" t="s">
        <v>1218</v>
      </c>
      <c r="D858" s="13" t="s">
        <v>1514</v>
      </c>
      <c r="E858" s="13" t="s">
        <v>3537</v>
      </c>
      <c r="F858" s="13" t="s">
        <v>1516</v>
      </c>
      <c r="G858" s="13" t="s">
        <v>3538</v>
      </c>
      <c r="H858" s="13" t="s">
        <v>1518</v>
      </c>
      <c r="I858" s="15"/>
      <c r="J858" s="1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22.5" customHeight="1">
      <c r="A859" s="35">
        <v>857.0</v>
      </c>
      <c r="B859" s="20">
        <v>52.0</v>
      </c>
      <c r="C859" s="36" t="s">
        <v>1218</v>
      </c>
      <c r="D859" s="13" t="s">
        <v>2961</v>
      </c>
      <c r="E859" s="13" t="s">
        <v>3539</v>
      </c>
      <c r="F859" s="13" t="s">
        <v>2963</v>
      </c>
      <c r="G859" s="13" t="s">
        <v>2964</v>
      </c>
      <c r="H859" s="13" t="s">
        <v>2965</v>
      </c>
      <c r="I859" s="14" t="s">
        <v>18</v>
      </c>
      <c r="J859" s="1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22.5" hidden="1" customHeight="1">
      <c r="A860" s="35">
        <v>858.0</v>
      </c>
      <c r="B860" s="20">
        <v>52.0</v>
      </c>
      <c r="C860" s="36" t="s">
        <v>1163</v>
      </c>
      <c r="D860" s="13" t="s">
        <v>3540</v>
      </c>
      <c r="E860" s="13" t="s">
        <v>3541</v>
      </c>
      <c r="F860" s="13" t="s">
        <v>3542</v>
      </c>
      <c r="G860" s="13" t="s">
        <v>3543</v>
      </c>
      <c r="H860" s="13" t="s">
        <v>3544</v>
      </c>
      <c r="I860" s="14" t="s">
        <v>18</v>
      </c>
      <c r="J860" s="1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22.5" hidden="1" customHeight="1">
      <c r="A861" s="35">
        <v>859.0</v>
      </c>
      <c r="B861" s="20">
        <v>52.0</v>
      </c>
      <c r="C861" s="36" t="s">
        <v>1163</v>
      </c>
      <c r="D861" s="13" t="s">
        <v>3545</v>
      </c>
      <c r="E861" s="13" t="s">
        <v>3546</v>
      </c>
      <c r="F861" s="13" t="s">
        <v>3547</v>
      </c>
      <c r="G861" s="13" t="s">
        <v>3548</v>
      </c>
      <c r="H861" s="13" t="s">
        <v>3549</v>
      </c>
      <c r="I861" s="15"/>
      <c r="J861" s="1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22.5" customHeight="1">
      <c r="A862" s="35">
        <v>860.0</v>
      </c>
      <c r="B862" s="20">
        <v>52.0</v>
      </c>
      <c r="C862" s="36" t="s">
        <v>1218</v>
      </c>
      <c r="D862" s="13" t="s">
        <v>3550</v>
      </c>
      <c r="E862" s="13" t="s">
        <v>3551</v>
      </c>
      <c r="F862" s="13" t="s">
        <v>3552</v>
      </c>
      <c r="G862" s="13" t="s">
        <v>3553</v>
      </c>
      <c r="H862" s="13" t="s">
        <v>3554</v>
      </c>
      <c r="I862" s="15"/>
      <c r="J862" s="1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22.5" customHeight="1">
      <c r="A863" s="35">
        <v>861.0</v>
      </c>
      <c r="B863" s="20">
        <v>52.0</v>
      </c>
      <c r="C863" s="36" t="s">
        <v>1218</v>
      </c>
      <c r="D863" s="13" t="s">
        <v>3277</v>
      </c>
      <c r="E863" s="13" t="s">
        <v>3555</v>
      </c>
      <c r="F863" s="13" t="s">
        <v>3279</v>
      </c>
      <c r="G863" s="13" t="s">
        <v>3280</v>
      </c>
      <c r="H863" s="13" t="s">
        <v>3281</v>
      </c>
      <c r="I863" s="15"/>
      <c r="J863" s="1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22.5" customHeight="1">
      <c r="A864" s="35">
        <v>862.0</v>
      </c>
      <c r="B864" s="20">
        <v>52.0</v>
      </c>
      <c r="C864" s="36" t="s">
        <v>1168</v>
      </c>
      <c r="D864" s="13" t="s">
        <v>1988</v>
      </c>
      <c r="E864" s="13" t="s">
        <v>3556</v>
      </c>
      <c r="F864" s="13" t="s">
        <v>1990</v>
      </c>
      <c r="G864" s="13" t="s">
        <v>1991</v>
      </c>
      <c r="H864" s="13" t="s">
        <v>1992</v>
      </c>
      <c r="I864" s="15"/>
      <c r="J864" s="1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22.5" customHeight="1">
      <c r="A865" s="35">
        <v>863.0</v>
      </c>
      <c r="B865" s="20">
        <v>52.0</v>
      </c>
      <c r="C865" s="36" t="s">
        <v>1218</v>
      </c>
      <c r="D865" s="13" t="s">
        <v>2421</v>
      </c>
      <c r="E865" s="13" t="s">
        <v>3557</v>
      </c>
      <c r="F865" s="13" t="s">
        <v>2423</v>
      </c>
      <c r="G865" s="13" t="s">
        <v>3558</v>
      </c>
      <c r="H865" s="13" t="s">
        <v>2425</v>
      </c>
      <c r="I865" s="15"/>
      <c r="J865" s="1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22.5" hidden="1" customHeight="1">
      <c r="A866" s="35">
        <v>864.0</v>
      </c>
      <c r="B866" s="20">
        <v>52.0</v>
      </c>
      <c r="C866" s="36" t="s">
        <v>1163</v>
      </c>
      <c r="D866" s="13" t="s">
        <v>2556</v>
      </c>
      <c r="E866" s="13" t="s">
        <v>3559</v>
      </c>
      <c r="F866" s="13" t="s">
        <v>1386</v>
      </c>
      <c r="G866" s="13" t="s">
        <v>1387</v>
      </c>
      <c r="H866" s="13" t="s">
        <v>1944</v>
      </c>
      <c r="I866" s="14" t="s">
        <v>18</v>
      </c>
      <c r="J866" s="1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22.5" customHeight="1">
      <c r="A867" s="35">
        <v>865.0</v>
      </c>
      <c r="B867" s="20">
        <v>51.0</v>
      </c>
      <c r="C867" s="36" t="s">
        <v>1168</v>
      </c>
      <c r="D867" s="13" t="s">
        <v>2590</v>
      </c>
      <c r="E867" s="13" t="s">
        <v>3560</v>
      </c>
      <c r="F867" s="13" t="s">
        <v>1896</v>
      </c>
      <c r="G867" s="13" t="s">
        <v>2592</v>
      </c>
      <c r="H867" s="13" t="s">
        <v>1499</v>
      </c>
      <c r="I867" s="15"/>
      <c r="J867" s="1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22.5" customHeight="1">
      <c r="A868" s="35">
        <v>866.0</v>
      </c>
      <c r="B868" s="20">
        <v>51.0</v>
      </c>
      <c r="C868" s="36" t="s">
        <v>1218</v>
      </c>
      <c r="D868" s="13" t="s">
        <v>2222</v>
      </c>
      <c r="E868" s="13" t="s">
        <v>1994</v>
      </c>
      <c r="F868" s="13" t="s">
        <v>757</v>
      </c>
      <c r="G868" s="13" t="s">
        <v>758</v>
      </c>
      <c r="H868" s="13" t="s">
        <v>1997</v>
      </c>
      <c r="I868" s="15"/>
      <c r="J868" s="1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22.5" customHeight="1">
      <c r="A869" s="35">
        <v>867.0</v>
      </c>
      <c r="B869" s="20">
        <v>51.0</v>
      </c>
      <c r="C869" s="36" t="s">
        <v>1168</v>
      </c>
      <c r="D869" s="13" t="s">
        <v>3206</v>
      </c>
      <c r="E869" s="13" t="s">
        <v>3561</v>
      </c>
      <c r="F869" s="13" t="s">
        <v>1286</v>
      </c>
      <c r="G869" s="13" t="s">
        <v>1287</v>
      </c>
      <c r="H869" s="13" t="s">
        <v>3208</v>
      </c>
      <c r="I869" s="15"/>
      <c r="J869" s="1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22.5" customHeight="1">
      <c r="A870" s="35">
        <v>868.0</v>
      </c>
      <c r="B870" s="20">
        <v>51.0</v>
      </c>
      <c r="C870" s="36" t="s">
        <v>1218</v>
      </c>
      <c r="D870" s="13" t="s">
        <v>3562</v>
      </c>
      <c r="E870" s="13" t="s">
        <v>3563</v>
      </c>
      <c r="F870" s="13" t="s">
        <v>3564</v>
      </c>
      <c r="G870" s="13" t="s">
        <v>3565</v>
      </c>
      <c r="H870" s="13" t="s">
        <v>3566</v>
      </c>
      <c r="I870" s="15"/>
      <c r="J870" s="1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22.5" customHeight="1">
      <c r="A871" s="35">
        <v>869.0</v>
      </c>
      <c r="B871" s="20">
        <v>51.0</v>
      </c>
      <c r="C871" s="36" t="s">
        <v>1218</v>
      </c>
      <c r="D871" s="13" t="s">
        <v>1651</v>
      </c>
      <c r="E871" s="13" t="s">
        <v>3567</v>
      </c>
      <c r="F871" s="13" t="s">
        <v>1653</v>
      </c>
      <c r="G871" s="13" t="s">
        <v>1654</v>
      </c>
      <c r="H871" s="13" t="s">
        <v>1655</v>
      </c>
      <c r="I871" s="14" t="s">
        <v>18</v>
      </c>
      <c r="J871" s="1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22.5" customHeight="1">
      <c r="A872" s="35">
        <v>870.0</v>
      </c>
      <c r="B872" s="20">
        <v>51.0</v>
      </c>
      <c r="C872" s="36" t="s">
        <v>1168</v>
      </c>
      <c r="D872" s="13" t="s">
        <v>2228</v>
      </c>
      <c r="E872" s="13" t="s">
        <v>2229</v>
      </c>
      <c r="F872" s="13" t="s">
        <v>2230</v>
      </c>
      <c r="G872" s="13" t="s">
        <v>2231</v>
      </c>
      <c r="H872" s="21" t="s">
        <v>2232</v>
      </c>
      <c r="I872" s="15"/>
      <c r="J872" s="1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22.5" customHeight="1">
      <c r="A873" s="35">
        <v>871.0</v>
      </c>
      <c r="B873" s="20">
        <v>51.0</v>
      </c>
      <c r="C873" s="36" t="s">
        <v>1168</v>
      </c>
      <c r="D873" s="13" t="s">
        <v>1331</v>
      </c>
      <c r="E873" s="13" t="s">
        <v>3568</v>
      </c>
      <c r="F873" s="13" t="s">
        <v>1333</v>
      </c>
      <c r="G873" s="13" t="s">
        <v>1334</v>
      </c>
      <c r="H873" s="13" t="s">
        <v>1335</v>
      </c>
      <c r="I873" s="15"/>
      <c r="J873" s="1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22.5" customHeight="1">
      <c r="A874" s="35">
        <v>872.0</v>
      </c>
      <c r="B874" s="20">
        <v>51.0</v>
      </c>
      <c r="C874" s="36" t="s">
        <v>1168</v>
      </c>
      <c r="D874" s="13" t="s">
        <v>1524</v>
      </c>
      <c r="E874" s="13" t="s">
        <v>2064</v>
      </c>
      <c r="F874" s="13" t="s">
        <v>1526</v>
      </c>
      <c r="G874" s="13" t="s">
        <v>1527</v>
      </c>
      <c r="H874" s="13" t="s">
        <v>1528</v>
      </c>
      <c r="I874" s="15"/>
      <c r="J874" s="1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22.5" customHeight="1">
      <c r="A875" s="35">
        <v>873.0</v>
      </c>
      <c r="B875" s="20">
        <v>51.0</v>
      </c>
      <c r="C875" s="36" t="s">
        <v>1168</v>
      </c>
      <c r="D875" s="13" t="s">
        <v>1210</v>
      </c>
      <c r="E875" s="13" t="s">
        <v>1211</v>
      </c>
      <c r="F875" s="13" t="s">
        <v>89</v>
      </c>
      <c r="G875" s="13" t="s">
        <v>90</v>
      </c>
      <c r="H875" s="13" t="s">
        <v>1213</v>
      </c>
      <c r="I875" s="15"/>
      <c r="J875" s="1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22.5" hidden="1" customHeight="1">
      <c r="A876" s="35">
        <v>874.0</v>
      </c>
      <c r="B876" s="20">
        <v>51.0</v>
      </c>
      <c r="C876" s="36" t="s">
        <v>1163</v>
      </c>
      <c r="D876" s="13" t="s">
        <v>3043</v>
      </c>
      <c r="E876" s="13" t="s">
        <v>3569</v>
      </c>
      <c r="F876" s="13" t="s">
        <v>3045</v>
      </c>
      <c r="G876" s="13" t="s">
        <v>3046</v>
      </c>
      <c r="H876" s="13" t="s">
        <v>3047</v>
      </c>
      <c r="I876" s="15"/>
      <c r="J876" s="1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22.5" customHeight="1">
      <c r="A877" s="35">
        <v>875.0</v>
      </c>
      <c r="B877" s="20">
        <v>51.0</v>
      </c>
      <c r="C877" s="36" t="s">
        <v>1218</v>
      </c>
      <c r="D877" s="13" t="s">
        <v>1859</v>
      </c>
      <c r="E877" s="13" t="s">
        <v>3570</v>
      </c>
      <c r="F877" s="13" t="s">
        <v>3571</v>
      </c>
      <c r="G877" s="13" t="s">
        <v>3572</v>
      </c>
      <c r="H877" s="13" t="s">
        <v>1345</v>
      </c>
      <c r="I877" s="15"/>
      <c r="J877" s="1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22.5" hidden="1" customHeight="1">
      <c r="A878" s="35">
        <v>876.0</v>
      </c>
      <c r="B878" s="20">
        <v>51.0</v>
      </c>
      <c r="C878" s="36" t="s">
        <v>1163</v>
      </c>
      <c r="D878" s="13" t="s">
        <v>3573</v>
      </c>
      <c r="E878" s="13" t="s">
        <v>3574</v>
      </c>
      <c r="F878" s="13" t="s">
        <v>1726</v>
      </c>
      <c r="G878" s="13" t="s">
        <v>1727</v>
      </c>
      <c r="H878" s="13" t="s">
        <v>3575</v>
      </c>
      <c r="I878" s="15"/>
      <c r="J878" s="1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22.5" hidden="1" customHeight="1">
      <c r="A879" s="35">
        <v>877.0</v>
      </c>
      <c r="B879" s="20">
        <v>51.0</v>
      </c>
      <c r="C879" s="36" t="s">
        <v>1163</v>
      </c>
      <c r="D879" s="13" t="s">
        <v>3576</v>
      </c>
      <c r="E879" s="13" t="s">
        <v>3577</v>
      </c>
      <c r="F879" s="13" t="s">
        <v>3010</v>
      </c>
      <c r="G879" s="13" t="s">
        <v>3578</v>
      </c>
      <c r="H879" s="13" t="s">
        <v>3579</v>
      </c>
      <c r="I879" s="15"/>
      <c r="J879" s="1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22.5" hidden="1" customHeight="1">
      <c r="A880" s="35">
        <v>878.0</v>
      </c>
      <c r="B880" s="20">
        <v>51.0</v>
      </c>
      <c r="C880" s="36" t="s">
        <v>1163</v>
      </c>
      <c r="D880" s="13" t="s">
        <v>3308</v>
      </c>
      <c r="E880" s="13" t="s">
        <v>3580</v>
      </c>
      <c r="F880" s="13" t="s">
        <v>1140</v>
      </c>
      <c r="G880" s="13" t="s">
        <v>1141</v>
      </c>
      <c r="H880" s="13" t="s">
        <v>3581</v>
      </c>
      <c r="I880" s="14" t="s">
        <v>18</v>
      </c>
      <c r="J880" s="1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22.5" hidden="1" customHeight="1">
      <c r="A881" s="35">
        <v>879.0</v>
      </c>
      <c r="B881" s="20">
        <v>51.0</v>
      </c>
      <c r="C881" s="36" t="s">
        <v>1163</v>
      </c>
      <c r="D881" s="13" t="s">
        <v>3019</v>
      </c>
      <c r="E881" s="13" t="s">
        <v>3582</v>
      </c>
      <c r="F881" s="13" t="s">
        <v>3583</v>
      </c>
      <c r="G881" s="13" t="s">
        <v>3584</v>
      </c>
      <c r="H881" s="13" t="s">
        <v>3160</v>
      </c>
      <c r="I881" s="15"/>
      <c r="J881" s="1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22.5" hidden="1" customHeight="1">
      <c r="A882" s="35">
        <v>880.0</v>
      </c>
      <c r="B882" s="20">
        <v>50.0</v>
      </c>
      <c r="C882" s="36" t="s">
        <v>1163</v>
      </c>
      <c r="D882" s="13" t="s">
        <v>1898</v>
      </c>
      <c r="E882" s="13" t="s">
        <v>1899</v>
      </c>
      <c r="F882" s="13" t="s">
        <v>1900</v>
      </c>
      <c r="G882" s="13" t="s">
        <v>1901</v>
      </c>
      <c r="H882" s="13" t="s">
        <v>1902</v>
      </c>
      <c r="I882" s="15"/>
      <c r="J882" s="1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22.5" customHeight="1">
      <c r="A883" s="35">
        <v>881.0</v>
      </c>
      <c r="B883" s="20">
        <v>50.0</v>
      </c>
      <c r="C883" s="36" t="s">
        <v>1168</v>
      </c>
      <c r="D883" s="13" t="s">
        <v>1947</v>
      </c>
      <c r="E883" s="13" t="s">
        <v>3585</v>
      </c>
      <c r="F883" s="13" t="s">
        <v>1949</v>
      </c>
      <c r="G883" s="13" t="s">
        <v>1950</v>
      </c>
      <c r="H883" s="13" t="s">
        <v>1951</v>
      </c>
      <c r="I883" s="15"/>
      <c r="J883" s="1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22.5" hidden="1" customHeight="1">
      <c r="A884" s="35">
        <v>882.0</v>
      </c>
      <c r="B884" s="20">
        <v>50.0</v>
      </c>
      <c r="C884" s="36" t="s">
        <v>1163</v>
      </c>
      <c r="D884" s="13" t="s">
        <v>1908</v>
      </c>
      <c r="E884" s="13" t="s">
        <v>3586</v>
      </c>
      <c r="F884" s="13" t="s">
        <v>1910</v>
      </c>
      <c r="G884" s="13" t="s">
        <v>1911</v>
      </c>
      <c r="H884" s="13" t="s">
        <v>1912</v>
      </c>
      <c r="I884" s="15"/>
      <c r="J884" s="1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22.5" hidden="1" customHeight="1">
      <c r="A885" s="35">
        <v>883.0</v>
      </c>
      <c r="B885" s="20">
        <v>50.0</v>
      </c>
      <c r="C885" s="36" t="s">
        <v>1163</v>
      </c>
      <c r="D885" s="13" t="s">
        <v>1321</v>
      </c>
      <c r="E885" s="13" t="s">
        <v>3587</v>
      </c>
      <c r="F885" s="13" t="s">
        <v>1323</v>
      </c>
      <c r="G885" s="13" t="s">
        <v>1324</v>
      </c>
      <c r="H885" s="13" t="s">
        <v>1325</v>
      </c>
      <c r="I885" s="15"/>
      <c r="J885" s="1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22.5" customHeight="1">
      <c r="A886" s="35">
        <v>884.0</v>
      </c>
      <c r="B886" s="20">
        <v>50.0</v>
      </c>
      <c r="C886" s="36" t="s">
        <v>1218</v>
      </c>
      <c r="D886" s="13" t="s">
        <v>1769</v>
      </c>
      <c r="E886" s="13" t="s">
        <v>3588</v>
      </c>
      <c r="F886" s="13" t="s">
        <v>1702</v>
      </c>
      <c r="G886" s="13" t="s">
        <v>3007</v>
      </c>
      <c r="H886" s="13" t="s">
        <v>1704</v>
      </c>
      <c r="I886" s="15"/>
      <c r="J886" s="1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22.5" customHeight="1">
      <c r="A887" s="35">
        <v>885.0</v>
      </c>
      <c r="B887" s="20">
        <v>50.0</v>
      </c>
      <c r="C887" s="36" t="s">
        <v>1218</v>
      </c>
      <c r="D887" s="13" t="s">
        <v>3589</v>
      </c>
      <c r="E887" s="13" t="s">
        <v>3590</v>
      </c>
      <c r="F887" s="13" t="s">
        <v>3591</v>
      </c>
      <c r="G887" s="13" t="s">
        <v>3592</v>
      </c>
      <c r="H887" s="13" t="s">
        <v>3593</v>
      </c>
      <c r="I887" s="15"/>
      <c r="J887" s="1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22.5" customHeight="1">
      <c r="A888" s="35">
        <v>886.0</v>
      </c>
      <c r="B888" s="20">
        <v>50.0</v>
      </c>
      <c r="C888" s="36" t="s">
        <v>1168</v>
      </c>
      <c r="D888" s="13" t="s">
        <v>3594</v>
      </c>
      <c r="E888" s="13" t="s">
        <v>3595</v>
      </c>
      <c r="F888" s="13" t="s">
        <v>3356</v>
      </c>
      <c r="G888" s="13" t="s">
        <v>3357</v>
      </c>
      <c r="H888" s="13" t="s">
        <v>1858</v>
      </c>
      <c r="I888" s="14" t="s">
        <v>18</v>
      </c>
      <c r="J888" s="1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22.5" hidden="1" customHeight="1">
      <c r="A889" s="35">
        <v>887.0</v>
      </c>
      <c r="B889" s="20">
        <v>50.0</v>
      </c>
      <c r="C889" s="36" t="s">
        <v>1163</v>
      </c>
      <c r="D889" s="13" t="s">
        <v>3144</v>
      </c>
      <c r="E889" s="13" t="s">
        <v>3596</v>
      </c>
      <c r="F889" s="13" t="s">
        <v>3146</v>
      </c>
      <c r="G889" s="13" t="s">
        <v>3147</v>
      </c>
      <c r="H889" s="13" t="s">
        <v>3148</v>
      </c>
      <c r="I889" s="15"/>
      <c r="J889" s="1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22.5" customHeight="1">
      <c r="A890" s="35">
        <v>888.0</v>
      </c>
      <c r="B890" s="20">
        <v>50.0</v>
      </c>
      <c r="C890" s="36" t="s">
        <v>1168</v>
      </c>
      <c r="D890" s="13" t="s">
        <v>1194</v>
      </c>
      <c r="E890" s="13" t="s">
        <v>3597</v>
      </c>
      <c r="F890" s="13" t="s">
        <v>1195</v>
      </c>
      <c r="G890" s="13" t="s">
        <v>1196</v>
      </c>
      <c r="H890" s="13" t="s">
        <v>1197</v>
      </c>
      <c r="I890" s="14" t="s">
        <v>18</v>
      </c>
      <c r="J890" s="1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22.5" customHeight="1">
      <c r="A891" s="35">
        <v>889.0</v>
      </c>
      <c r="B891" s="20">
        <v>50.0</v>
      </c>
      <c r="C891" s="36" t="s">
        <v>1168</v>
      </c>
      <c r="D891" s="13" t="s">
        <v>1524</v>
      </c>
      <c r="E891" s="13" t="s">
        <v>2064</v>
      </c>
      <c r="F891" s="13" t="s">
        <v>1526</v>
      </c>
      <c r="G891" s="13" t="s">
        <v>1527</v>
      </c>
      <c r="H891" s="13" t="s">
        <v>1528</v>
      </c>
      <c r="I891" s="15"/>
      <c r="J891" s="1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22.5" customHeight="1">
      <c r="A892" s="35">
        <v>890.0</v>
      </c>
      <c r="B892" s="20">
        <v>50.0</v>
      </c>
      <c r="C892" s="36" t="s">
        <v>1168</v>
      </c>
      <c r="D892" s="13" t="s">
        <v>1210</v>
      </c>
      <c r="E892" s="13" t="s">
        <v>3042</v>
      </c>
      <c r="F892" s="13" t="s">
        <v>89</v>
      </c>
      <c r="G892" s="13" t="s">
        <v>90</v>
      </c>
      <c r="H892" s="13" t="s">
        <v>1213</v>
      </c>
      <c r="I892" s="15"/>
      <c r="J892" s="1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22.5" customHeight="1">
      <c r="A893" s="35">
        <v>891.0</v>
      </c>
      <c r="B893" s="20">
        <v>50.0</v>
      </c>
      <c r="C893" s="36" t="s">
        <v>1168</v>
      </c>
      <c r="D893" s="13" t="s">
        <v>1214</v>
      </c>
      <c r="E893" s="13" t="s">
        <v>3598</v>
      </c>
      <c r="F893" s="13" t="s">
        <v>1215</v>
      </c>
      <c r="G893" s="13" t="s">
        <v>2414</v>
      </c>
      <c r="H893" s="13" t="s">
        <v>1217</v>
      </c>
      <c r="I893" s="14" t="s">
        <v>18</v>
      </c>
      <c r="J893" s="1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22.5" customHeight="1">
      <c r="A894" s="35">
        <v>892.0</v>
      </c>
      <c r="B894" s="20">
        <v>50.0</v>
      </c>
      <c r="C894" s="36" t="s">
        <v>1218</v>
      </c>
      <c r="D894" s="13" t="s">
        <v>3599</v>
      </c>
      <c r="E894" s="13" t="s">
        <v>3600</v>
      </c>
      <c r="F894" s="13" t="s">
        <v>3601</v>
      </c>
      <c r="G894" s="13" t="s">
        <v>3602</v>
      </c>
      <c r="H894" s="13" t="s">
        <v>3603</v>
      </c>
      <c r="I894" s="15"/>
      <c r="J894" s="1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22.5" hidden="1" customHeight="1">
      <c r="A895" s="35">
        <v>893.0</v>
      </c>
      <c r="B895" s="20">
        <v>50.0</v>
      </c>
      <c r="C895" s="36" t="s">
        <v>1163</v>
      </c>
      <c r="D895" s="13" t="s">
        <v>3604</v>
      </c>
      <c r="E895" s="13" t="s">
        <v>3605</v>
      </c>
      <c r="F895" s="13" t="s">
        <v>938</v>
      </c>
      <c r="G895" s="13" t="s">
        <v>939</v>
      </c>
      <c r="H895" s="13" t="s">
        <v>3606</v>
      </c>
      <c r="I895" s="15"/>
      <c r="J895" s="1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22.5" customHeight="1">
      <c r="A896" s="35">
        <v>894.0</v>
      </c>
      <c r="B896" s="20">
        <v>50.0</v>
      </c>
      <c r="C896" s="36" t="s">
        <v>1218</v>
      </c>
      <c r="D896" s="13" t="s">
        <v>1625</v>
      </c>
      <c r="E896" s="13" t="s">
        <v>3607</v>
      </c>
      <c r="F896" s="13" t="s">
        <v>1627</v>
      </c>
      <c r="G896" s="13" t="s">
        <v>2810</v>
      </c>
      <c r="H896" s="13" t="s">
        <v>1629</v>
      </c>
      <c r="I896" s="14" t="s">
        <v>18</v>
      </c>
      <c r="J896" s="1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22.5" hidden="1" customHeight="1">
      <c r="A897" s="35">
        <v>895.0</v>
      </c>
      <c r="B897" s="20">
        <v>49.0</v>
      </c>
      <c r="C897" s="36" t="s">
        <v>1163</v>
      </c>
      <c r="D897" s="13" t="s">
        <v>3375</v>
      </c>
      <c r="E897" s="13" t="s">
        <v>3608</v>
      </c>
      <c r="F897" s="13" t="s">
        <v>635</v>
      </c>
      <c r="G897" s="13" t="s">
        <v>636</v>
      </c>
      <c r="H897" s="13" t="s">
        <v>3609</v>
      </c>
      <c r="I897" s="14" t="s">
        <v>18</v>
      </c>
      <c r="J897" s="1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22.5" customHeight="1">
      <c r="A898" s="35">
        <v>896.0</v>
      </c>
      <c r="B898" s="20">
        <v>49.0</v>
      </c>
      <c r="C898" s="36" t="s">
        <v>1168</v>
      </c>
      <c r="D898" s="13" t="s">
        <v>1719</v>
      </c>
      <c r="E898" s="13" t="s">
        <v>2754</v>
      </c>
      <c r="F898" s="13" t="s">
        <v>1721</v>
      </c>
      <c r="G898" s="13" t="s">
        <v>2755</v>
      </c>
      <c r="H898" s="13" t="s">
        <v>1236</v>
      </c>
      <c r="I898" s="15"/>
      <c r="J898" s="1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22.5" customHeight="1">
      <c r="A899" s="35">
        <v>897.0</v>
      </c>
      <c r="B899" s="20">
        <v>49.0</v>
      </c>
      <c r="C899" s="36" t="s">
        <v>1168</v>
      </c>
      <c r="D899" s="13" t="s">
        <v>3610</v>
      </c>
      <c r="E899" s="13" t="s">
        <v>3611</v>
      </c>
      <c r="F899" s="13" t="s">
        <v>3612</v>
      </c>
      <c r="G899" s="13" t="s">
        <v>3613</v>
      </c>
      <c r="H899" s="13" t="s">
        <v>1372</v>
      </c>
      <c r="I899" s="15"/>
      <c r="J899" s="1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22.5" customHeight="1">
      <c r="A900" s="35">
        <v>898.0</v>
      </c>
      <c r="B900" s="20">
        <v>49.0</v>
      </c>
      <c r="C900" s="36" t="s">
        <v>1168</v>
      </c>
      <c r="D900" s="13" t="s">
        <v>3354</v>
      </c>
      <c r="E900" s="13" t="s">
        <v>3614</v>
      </c>
      <c r="F900" s="13" t="s">
        <v>3356</v>
      </c>
      <c r="G900" s="13" t="s">
        <v>3357</v>
      </c>
      <c r="H900" s="13" t="s">
        <v>3358</v>
      </c>
      <c r="I900" s="15"/>
      <c r="J900" s="1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22.5" hidden="1" customHeight="1">
      <c r="A901" s="35">
        <v>899.0</v>
      </c>
      <c r="B901" s="20">
        <v>49.0</v>
      </c>
      <c r="C901" s="36" t="s">
        <v>1163</v>
      </c>
      <c r="D901" s="13" t="s">
        <v>3615</v>
      </c>
      <c r="E901" s="13" t="s">
        <v>3616</v>
      </c>
      <c r="F901" s="13" t="s">
        <v>3617</v>
      </c>
      <c r="G901" s="13" t="s">
        <v>3618</v>
      </c>
      <c r="H901" s="13" t="s">
        <v>3619</v>
      </c>
      <c r="I901" s="14" t="s">
        <v>18</v>
      </c>
      <c r="J901" s="1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22.5" hidden="1" customHeight="1">
      <c r="A902" s="35">
        <v>900.0</v>
      </c>
      <c r="B902" s="20">
        <v>49.0</v>
      </c>
      <c r="C902" s="36" t="s">
        <v>1163</v>
      </c>
      <c r="D902" s="13" t="s">
        <v>3620</v>
      </c>
      <c r="E902" s="13" t="s">
        <v>3621</v>
      </c>
      <c r="F902" s="13" t="s">
        <v>397</v>
      </c>
      <c r="G902" s="13" t="s">
        <v>398</v>
      </c>
      <c r="H902" s="13" t="s">
        <v>3622</v>
      </c>
      <c r="I902" s="15"/>
      <c r="J902" s="1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22.5" customHeight="1">
      <c r="A903" s="35">
        <v>901.0</v>
      </c>
      <c r="B903" s="20">
        <v>49.0</v>
      </c>
      <c r="C903" s="36" t="s">
        <v>1168</v>
      </c>
      <c r="D903" s="13" t="s">
        <v>3623</v>
      </c>
      <c r="E903" s="13" t="s">
        <v>3624</v>
      </c>
      <c r="F903" s="13" t="s">
        <v>3625</v>
      </c>
      <c r="G903" s="13" t="s">
        <v>3626</v>
      </c>
      <c r="H903" s="13" t="s">
        <v>3627</v>
      </c>
      <c r="I903" s="14" t="s">
        <v>18</v>
      </c>
      <c r="J903" s="1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22.5" customHeight="1">
      <c r="A904" s="35">
        <v>902.0</v>
      </c>
      <c r="B904" s="20">
        <v>49.0</v>
      </c>
      <c r="C904" s="36" t="s">
        <v>1218</v>
      </c>
      <c r="D904" s="13" t="s">
        <v>1695</v>
      </c>
      <c r="E904" s="13" t="s">
        <v>3628</v>
      </c>
      <c r="F904" s="13" t="s">
        <v>3629</v>
      </c>
      <c r="G904" s="13" t="s">
        <v>3630</v>
      </c>
      <c r="H904" s="13" t="s">
        <v>3631</v>
      </c>
      <c r="I904" s="15"/>
      <c r="J904" s="1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22.5" hidden="1" customHeight="1">
      <c r="A905" s="35">
        <v>903.0</v>
      </c>
      <c r="B905" s="20">
        <v>49.0</v>
      </c>
      <c r="C905" s="36" t="s">
        <v>1163</v>
      </c>
      <c r="D905" s="13" t="s">
        <v>2295</v>
      </c>
      <c r="E905" s="13" t="s">
        <v>3632</v>
      </c>
      <c r="F905" s="13" t="s">
        <v>2176</v>
      </c>
      <c r="G905" s="13" t="s">
        <v>2177</v>
      </c>
      <c r="H905" s="13" t="s">
        <v>3633</v>
      </c>
      <c r="I905" s="15"/>
      <c r="J905" s="1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22.5" customHeight="1">
      <c r="A906" s="35">
        <v>904.0</v>
      </c>
      <c r="B906" s="20">
        <v>49.0</v>
      </c>
      <c r="C906" s="36" t="s">
        <v>1168</v>
      </c>
      <c r="D906" s="13" t="s">
        <v>1336</v>
      </c>
      <c r="E906" s="13" t="s">
        <v>2289</v>
      </c>
      <c r="F906" s="13" t="s">
        <v>1338</v>
      </c>
      <c r="G906" s="13" t="s">
        <v>1853</v>
      </c>
      <c r="H906" s="13" t="s">
        <v>1340</v>
      </c>
      <c r="I906" s="15"/>
      <c r="J906" s="1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22.5" customHeight="1">
      <c r="A907" s="35">
        <v>905.0</v>
      </c>
      <c r="B907" s="20">
        <v>49.0</v>
      </c>
      <c r="C907" s="36" t="s">
        <v>1168</v>
      </c>
      <c r="D907" s="13" t="s">
        <v>3634</v>
      </c>
      <c r="E907" s="13" t="s">
        <v>2318</v>
      </c>
      <c r="F907" s="13" t="s">
        <v>3635</v>
      </c>
      <c r="G907" s="13" t="s">
        <v>3636</v>
      </c>
      <c r="H907" s="21" t="s">
        <v>2321</v>
      </c>
      <c r="I907" s="15"/>
      <c r="J907" s="1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22.5" customHeight="1">
      <c r="A908" s="35">
        <v>906.0</v>
      </c>
      <c r="B908" s="20">
        <v>49.0</v>
      </c>
      <c r="C908" s="36" t="s">
        <v>1168</v>
      </c>
      <c r="D908" s="13" t="s">
        <v>1974</v>
      </c>
      <c r="E908" s="13" t="s">
        <v>1670</v>
      </c>
      <c r="F908" s="13" t="s">
        <v>1207</v>
      </c>
      <c r="G908" s="13" t="s">
        <v>1208</v>
      </c>
      <c r="H908" s="13" t="s">
        <v>1672</v>
      </c>
      <c r="I908" s="15"/>
      <c r="J908" s="1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22.5" hidden="1" customHeight="1">
      <c r="A909" s="35">
        <v>907.0</v>
      </c>
      <c r="B909" s="20">
        <v>49.0</v>
      </c>
      <c r="C909" s="36" t="s">
        <v>1163</v>
      </c>
      <c r="D909" s="13" t="s">
        <v>3637</v>
      </c>
      <c r="E909" s="13" t="s">
        <v>3638</v>
      </c>
      <c r="F909" s="13" t="s">
        <v>1132</v>
      </c>
      <c r="G909" s="13" t="s">
        <v>1133</v>
      </c>
      <c r="H909" s="13" t="s">
        <v>3639</v>
      </c>
      <c r="I909" s="14" t="s">
        <v>18</v>
      </c>
      <c r="J909" s="1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22.5" customHeight="1">
      <c r="A910" s="35">
        <v>908.0</v>
      </c>
      <c r="B910" s="20">
        <v>49.0</v>
      </c>
      <c r="C910" s="36" t="s">
        <v>1168</v>
      </c>
      <c r="D910" s="13" t="s">
        <v>1568</v>
      </c>
      <c r="E910" s="13" t="s">
        <v>3640</v>
      </c>
      <c r="F910" s="13" t="s">
        <v>1570</v>
      </c>
      <c r="G910" s="13" t="s">
        <v>1571</v>
      </c>
      <c r="H910" s="13" t="s">
        <v>1222</v>
      </c>
      <c r="I910" s="14" t="s">
        <v>18</v>
      </c>
      <c r="J910" s="1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22.5" customHeight="1">
      <c r="A911" s="35">
        <v>909.0</v>
      </c>
      <c r="B911" s="20">
        <v>49.0</v>
      </c>
      <c r="C911" s="36" t="s">
        <v>1168</v>
      </c>
      <c r="D911" s="13" t="s">
        <v>2077</v>
      </c>
      <c r="E911" s="13" t="s">
        <v>3641</v>
      </c>
      <c r="F911" s="13" t="s">
        <v>2079</v>
      </c>
      <c r="G911" s="13" t="s">
        <v>2080</v>
      </c>
      <c r="H911" s="13" t="s">
        <v>2081</v>
      </c>
      <c r="I911" s="14" t="s">
        <v>18</v>
      </c>
      <c r="J911" s="1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22.5" hidden="1" customHeight="1">
      <c r="A912" s="35">
        <v>910.0</v>
      </c>
      <c r="B912" s="20">
        <v>48.0</v>
      </c>
      <c r="C912" s="36" t="s">
        <v>1163</v>
      </c>
      <c r="D912" s="13" t="s">
        <v>3642</v>
      </c>
      <c r="E912" s="13" t="s">
        <v>3643</v>
      </c>
      <c r="F912" s="13" t="s">
        <v>3644</v>
      </c>
      <c r="G912" s="13" t="s">
        <v>3645</v>
      </c>
      <c r="H912" s="13" t="s">
        <v>3646</v>
      </c>
      <c r="I912" s="14" t="s">
        <v>18</v>
      </c>
      <c r="J912" s="1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22.5" hidden="1" customHeight="1">
      <c r="A913" s="35">
        <v>911.0</v>
      </c>
      <c r="B913" s="20">
        <v>48.0</v>
      </c>
      <c r="C913" s="36" t="s">
        <v>1163</v>
      </c>
      <c r="D913" s="13" t="s">
        <v>3647</v>
      </c>
      <c r="E913" s="13" t="s">
        <v>3648</v>
      </c>
      <c r="F913" s="13" t="s">
        <v>3649</v>
      </c>
      <c r="G913" s="13" t="s">
        <v>3650</v>
      </c>
      <c r="H913" s="13" t="s">
        <v>3651</v>
      </c>
      <c r="I913" s="15"/>
      <c r="J913" s="1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22.5" customHeight="1">
      <c r="A914" s="35">
        <v>912.0</v>
      </c>
      <c r="B914" s="20">
        <v>48.0</v>
      </c>
      <c r="C914" s="36" t="s">
        <v>1168</v>
      </c>
      <c r="D914" s="13" t="s">
        <v>1509</v>
      </c>
      <c r="E914" s="13" t="s">
        <v>3652</v>
      </c>
      <c r="F914" s="13" t="s">
        <v>1511</v>
      </c>
      <c r="G914" s="13" t="s">
        <v>3492</v>
      </c>
      <c r="H914" s="13" t="s">
        <v>1513</v>
      </c>
      <c r="I914" s="15"/>
      <c r="J914" s="1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22.5" customHeight="1">
      <c r="A915" s="35">
        <v>913.0</v>
      </c>
      <c r="B915" s="20">
        <v>48.0</v>
      </c>
      <c r="C915" s="36" t="s">
        <v>1168</v>
      </c>
      <c r="D915" s="13" t="s">
        <v>1803</v>
      </c>
      <c r="E915" s="13" t="s">
        <v>3653</v>
      </c>
      <c r="F915" s="13" t="s">
        <v>1805</v>
      </c>
      <c r="G915" s="13" t="s">
        <v>3654</v>
      </c>
      <c r="H915" s="13" t="s">
        <v>1807</v>
      </c>
      <c r="I915" s="15"/>
      <c r="J915" s="1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22.5" hidden="1" customHeight="1">
      <c r="A916" s="35">
        <v>914.0</v>
      </c>
      <c r="B916" s="20">
        <v>48.0</v>
      </c>
      <c r="C916" s="36" t="s">
        <v>1163</v>
      </c>
      <c r="D916" s="13" t="s">
        <v>3655</v>
      </c>
      <c r="E916" s="13" t="s">
        <v>3656</v>
      </c>
      <c r="F916" s="13" t="s">
        <v>3657</v>
      </c>
      <c r="G916" s="13" t="s">
        <v>3658</v>
      </c>
      <c r="H916" s="13" t="s">
        <v>3659</v>
      </c>
      <c r="I916" s="14" t="s">
        <v>18</v>
      </c>
      <c r="J916" s="1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22.5" hidden="1" customHeight="1">
      <c r="A917" s="35">
        <v>915.0</v>
      </c>
      <c r="B917" s="20">
        <v>48.0</v>
      </c>
      <c r="C917" s="36" t="s">
        <v>1163</v>
      </c>
      <c r="D917" s="13" t="s">
        <v>3660</v>
      </c>
      <c r="E917" s="13" t="s">
        <v>3661</v>
      </c>
      <c r="F917" s="13" t="s">
        <v>3662</v>
      </c>
      <c r="G917" s="13" t="s">
        <v>3663</v>
      </c>
      <c r="H917" s="13" t="s">
        <v>3664</v>
      </c>
      <c r="I917" s="14" t="s">
        <v>18</v>
      </c>
      <c r="J917" s="1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22.5" customHeight="1">
      <c r="A918" s="35">
        <v>916.0</v>
      </c>
      <c r="B918" s="20">
        <v>48.0</v>
      </c>
      <c r="C918" s="36" t="s">
        <v>1168</v>
      </c>
      <c r="D918" s="13" t="s">
        <v>1811</v>
      </c>
      <c r="E918" s="13" t="s">
        <v>1812</v>
      </c>
      <c r="F918" s="13" t="s">
        <v>1813</v>
      </c>
      <c r="G918" s="13" t="s">
        <v>3665</v>
      </c>
      <c r="H918" s="13" t="s">
        <v>1815</v>
      </c>
      <c r="I918" s="14" t="s">
        <v>18</v>
      </c>
      <c r="J918" s="1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22.5" hidden="1" customHeight="1">
      <c r="A919" s="35">
        <v>917.0</v>
      </c>
      <c r="B919" s="20">
        <v>48.0</v>
      </c>
      <c r="C919" s="36" t="s">
        <v>1163</v>
      </c>
      <c r="D919" s="13" t="s">
        <v>3666</v>
      </c>
      <c r="E919" s="13" t="s">
        <v>3667</v>
      </c>
      <c r="F919" s="13" t="s">
        <v>3668</v>
      </c>
      <c r="G919" s="13" t="s">
        <v>3669</v>
      </c>
      <c r="H919" s="13" t="s">
        <v>3670</v>
      </c>
      <c r="I919" s="15"/>
      <c r="J919" s="1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22.5" customHeight="1">
      <c r="A920" s="35">
        <v>918.0</v>
      </c>
      <c r="B920" s="20">
        <v>48.0</v>
      </c>
      <c r="C920" s="36" t="s">
        <v>1218</v>
      </c>
      <c r="D920" s="13" t="s">
        <v>1981</v>
      </c>
      <c r="E920" s="13" t="s">
        <v>3671</v>
      </c>
      <c r="F920" s="13" t="s">
        <v>3672</v>
      </c>
      <c r="G920" s="13" t="s">
        <v>3673</v>
      </c>
      <c r="H920" s="13" t="s">
        <v>3674</v>
      </c>
      <c r="I920" s="14" t="s">
        <v>18</v>
      </c>
      <c r="J920" s="1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22.5" customHeight="1">
      <c r="A921" s="35">
        <v>919.0</v>
      </c>
      <c r="B921" s="20">
        <v>48.0</v>
      </c>
      <c r="C921" s="36" t="s">
        <v>1218</v>
      </c>
      <c r="D921" s="13" t="s">
        <v>3675</v>
      </c>
      <c r="E921" s="13" t="s">
        <v>3676</v>
      </c>
      <c r="F921" s="13" t="s">
        <v>3677</v>
      </c>
      <c r="G921" s="13" t="s">
        <v>3678</v>
      </c>
      <c r="H921" s="13" t="s">
        <v>3679</v>
      </c>
      <c r="I921" s="14" t="s">
        <v>18</v>
      </c>
      <c r="J921" s="1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22.5" customHeight="1">
      <c r="A922" s="35">
        <v>920.0</v>
      </c>
      <c r="B922" s="20">
        <v>48.0</v>
      </c>
      <c r="C922" s="36" t="s">
        <v>1218</v>
      </c>
      <c r="D922" s="13" t="s">
        <v>3680</v>
      </c>
      <c r="E922" s="13" t="s">
        <v>3242</v>
      </c>
      <c r="F922" s="13" t="s">
        <v>3681</v>
      </c>
      <c r="G922" s="13" t="s">
        <v>3682</v>
      </c>
      <c r="H922" s="13" t="s">
        <v>3683</v>
      </c>
      <c r="I922" s="14" t="s">
        <v>18</v>
      </c>
      <c r="J922" s="1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22.5" customHeight="1">
      <c r="A923" s="35">
        <v>921.0</v>
      </c>
      <c r="B923" s="20">
        <v>48.0</v>
      </c>
      <c r="C923" s="36" t="s">
        <v>1168</v>
      </c>
      <c r="D923" s="13" t="s">
        <v>1988</v>
      </c>
      <c r="E923" s="13" t="s">
        <v>3684</v>
      </c>
      <c r="F923" s="13" t="s">
        <v>1990</v>
      </c>
      <c r="G923" s="13" t="s">
        <v>1991</v>
      </c>
      <c r="H923" s="13" t="s">
        <v>1992</v>
      </c>
      <c r="I923" s="15"/>
      <c r="J923" s="1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22.5" customHeight="1">
      <c r="A924" s="35">
        <v>922.0</v>
      </c>
      <c r="B924" s="20">
        <v>48.0</v>
      </c>
      <c r="C924" s="36" t="s">
        <v>1218</v>
      </c>
      <c r="D924" s="13" t="s">
        <v>3685</v>
      </c>
      <c r="E924" s="13" t="s">
        <v>3686</v>
      </c>
      <c r="F924" s="13" t="s">
        <v>3687</v>
      </c>
      <c r="G924" s="13" t="s">
        <v>3688</v>
      </c>
      <c r="H924" s="13" t="s">
        <v>3689</v>
      </c>
      <c r="I924" s="14" t="s">
        <v>18</v>
      </c>
      <c r="J924" s="1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22.5" customHeight="1">
      <c r="A925" s="35">
        <v>923.0</v>
      </c>
      <c r="B925" s="20">
        <v>48.0</v>
      </c>
      <c r="C925" s="36" t="s">
        <v>1218</v>
      </c>
      <c r="D925" s="13" t="s">
        <v>3690</v>
      </c>
      <c r="E925" s="13" t="s">
        <v>3691</v>
      </c>
      <c r="F925" s="13" t="s">
        <v>3692</v>
      </c>
      <c r="G925" s="13" t="s">
        <v>3693</v>
      </c>
      <c r="H925" s="13" t="s">
        <v>3694</v>
      </c>
      <c r="I925" s="14" t="s">
        <v>18</v>
      </c>
      <c r="J925" s="1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22.5" customHeight="1">
      <c r="A926" s="35">
        <v>924.0</v>
      </c>
      <c r="B926" s="20">
        <v>48.0</v>
      </c>
      <c r="C926" s="36" t="s">
        <v>1218</v>
      </c>
      <c r="D926" s="13" t="s">
        <v>1289</v>
      </c>
      <c r="E926" s="13" t="s">
        <v>3695</v>
      </c>
      <c r="F926" s="13" t="s">
        <v>1291</v>
      </c>
      <c r="G926" s="13" t="s">
        <v>3696</v>
      </c>
      <c r="H926" s="13" t="s">
        <v>1293</v>
      </c>
      <c r="I926" s="14" t="s">
        <v>18</v>
      </c>
      <c r="J926" s="1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22.5" customHeight="1">
      <c r="A927" s="35">
        <v>925.0</v>
      </c>
      <c r="B927" s="20">
        <v>47.0</v>
      </c>
      <c r="C927" s="36" t="s">
        <v>1218</v>
      </c>
      <c r="D927" s="13" t="s">
        <v>3697</v>
      </c>
      <c r="E927" s="13" t="s">
        <v>3698</v>
      </c>
      <c r="F927" s="13" t="s">
        <v>3699</v>
      </c>
      <c r="G927" s="13" t="s">
        <v>3700</v>
      </c>
      <c r="H927" s="13" t="s">
        <v>1307</v>
      </c>
      <c r="I927" s="15"/>
      <c r="J927" s="1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22.5" customHeight="1">
      <c r="A928" s="35">
        <v>926.0</v>
      </c>
      <c r="B928" s="20">
        <v>47.0</v>
      </c>
      <c r="C928" s="36" t="s">
        <v>1168</v>
      </c>
      <c r="D928" s="13" t="s">
        <v>2801</v>
      </c>
      <c r="E928" s="13" t="s">
        <v>3701</v>
      </c>
      <c r="F928" s="13" t="s">
        <v>3702</v>
      </c>
      <c r="G928" s="13" t="s">
        <v>3703</v>
      </c>
      <c r="H928" s="13" t="s">
        <v>3704</v>
      </c>
      <c r="I928" s="14" t="s">
        <v>18</v>
      </c>
      <c r="J928" s="1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22.5" customHeight="1">
      <c r="A929" s="35">
        <v>927.0</v>
      </c>
      <c r="B929" s="20">
        <v>47.0</v>
      </c>
      <c r="C929" s="36" t="s">
        <v>1168</v>
      </c>
      <c r="D929" s="13" t="s">
        <v>2392</v>
      </c>
      <c r="E929" s="13" t="s">
        <v>3705</v>
      </c>
      <c r="F929" s="13" t="s">
        <v>3706</v>
      </c>
      <c r="G929" s="13" t="s">
        <v>3707</v>
      </c>
      <c r="H929" s="13" t="s">
        <v>3708</v>
      </c>
      <c r="I929" s="14" t="s">
        <v>18</v>
      </c>
      <c r="J929" s="1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22.5" customHeight="1">
      <c r="A930" s="35">
        <v>928.0</v>
      </c>
      <c r="B930" s="20">
        <v>47.0</v>
      </c>
      <c r="C930" s="36" t="s">
        <v>1168</v>
      </c>
      <c r="D930" s="13" t="s">
        <v>1379</v>
      </c>
      <c r="E930" s="13" t="s">
        <v>3709</v>
      </c>
      <c r="F930" s="13" t="s">
        <v>1381</v>
      </c>
      <c r="G930" s="13" t="s">
        <v>1382</v>
      </c>
      <c r="H930" s="13" t="s">
        <v>1383</v>
      </c>
      <c r="I930" s="15"/>
      <c r="J930" s="1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22.5" hidden="1" customHeight="1">
      <c r="A931" s="35">
        <v>929.0</v>
      </c>
      <c r="B931" s="20">
        <v>47.0</v>
      </c>
      <c r="C931" s="36" t="s">
        <v>1163</v>
      </c>
      <c r="D931" s="13" t="s">
        <v>3038</v>
      </c>
      <c r="E931" s="13" t="s">
        <v>3710</v>
      </c>
      <c r="F931" s="13" t="s">
        <v>3040</v>
      </c>
      <c r="G931" s="13" t="s">
        <v>781</v>
      </c>
      <c r="H931" s="13" t="s">
        <v>3041</v>
      </c>
      <c r="I931" s="15"/>
      <c r="J931" s="1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22.5" customHeight="1">
      <c r="A932" s="35">
        <v>930.0</v>
      </c>
      <c r="B932" s="20">
        <v>47.0</v>
      </c>
      <c r="C932" s="36" t="s">
        <v>1168</v>
      </c>
      <c r="D932" s="13" t="s">
        <v>3711</v>
      </c>
      <c r="E932" s="13" t="s">
        <v>3712</v>
      </c>
      <c r="F932" s="13" t="s">
        <v>3713</v>
      </c>
      <c r="G932" s="13" t="s">
        <v>3714</v>
      </c>
      <c r="H932" s="13" t="s">
        <v>3715</v>
      </c>
      <c r="I932" s="15"/>
      <c r="J932" s="1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22.5" customHeight="1">
      <c r="A933" s="35">
        <v>931.0</v>
      </c>
      <c r="B933" s="20">
        <v>47.0</v>
      </c>
      <c r="C933" s="36" t="s">
        <v>1168</v>
      </c>
      <c r="D933" s="13" t="s">
        <v>3716</v>
      </c>
      <c r="E933" s="13" t="s">
        <v>3717</v>
      </c>
      <c r="F933" s="13" t="s">
        <v>809</v>
      </c>
      <c r="G933" s="13" t="s">
        <v>810</v>
      </c>
      <c r="H933" s="13" t="s">
        <v>3718</v>
      </c>
      <c r="I933" s="14" t="s">
        <v>18</v>
      </c>
      <c r="J933" s="1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22.5" customHeight="1">
      <c r="A934" s="35">
        <v>932.0</v>
      </c>
      <c r="B934" s="20">
        <v>47.0</v>
      </c>
      <c r="C934" s="36" t="s">
        <v>1168</v>
      </c>
      <c r="D934" s="13" t="s">
        <v>3719</v>
      </c>
      <c r="E934" s="13" t="s">
        <v>2911</v>
      </c>
      <c r="F934" s="13" t="s">
        <v>1078</v>
      </c>
      <c r="G934" s="13" t="s">
        <v>1079</v>
      </c>
      <c r="H934" s="13" t="s">
        <v>3720</v>
      </c>
      <c r="I934" s="14" t="s">
        <v>18</v>
      </c>
      <c r="J934" s="1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22.5" customHeight="1">
      <c r="A935" s="35">
        <v>933.0</v>
      </c>
      <c r="B935" s="20">
        <v>47.0</v>
      </c>
      <c r="C935" s="36" t="s">
        <v>1168</v>
      </c>
      <c r="D935" s="13" t="s">
        <v>3721</v>
      </c>
      <c r="E935" s="13" t="s">
        <v>3722</v>
      </c>
      <c r="F935" s="13" t="s">
        <v>3723</v>
      </c>
      <c r="G935" s="13" t="s">
        <v>3724</v>
      </c>
      <c r="H935" s="13" t="s">
        <v>3725</v>
      </c>
      <c r="I935" s="14" t="s">
        <v>18</v>
      </c>
      <c r="J935" s="1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22.5" hidden="1" customHeight="1">
      <c r="A936" s="35">
        <v>934.0</v>
      </c>
      <c r="B936" s="20">
        <v>47.0</v>
      </c>
      <c r="C936" s="36" t="s">
        <v>1163</v>
      </c>
      <c r="D936" s="13" t="s">
        <v>3726</v>
      </c>
      <c r="E936" s="13" t="s">
        <v>3727</v>
      </c>
      <c r="F936" s="13" t="s">
        <v>829</v>
      </c>
      <c r="G936" s="13" t="s">
        <v>830</v>
      </c>
      <c r="H936" s="13" t="s">
        <v>3728</v>
      </c>
      <c r="I936" s="14" t="s">
        <v>18</v>
      </c>
      <c r="J936" s="1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22.5" hidden="1" customHeight="1">
      <c r="A937" s="35">
        <v>935.0</v>
      </c>
      <c r="B937" s="20">
        <v>47.0</v>
      </c>
      <c r="C937" s="36" t="s">
        <v>1163</v>
      </c>
      <c r="D937" s="13" t="s">
        <v>3729</v>
      </c>
      <c r="E937" s="13" t="s">
        <v>3730</v>
      </c>
      <c r="F937" s="13" t="s">
        <v>3731</v>
      </c>
      <c r="G937" s="13" t="s">
        <v>3732</v>
      </c>
      <c r="H937" s="13" t="s">
        <v>3733</v>
      </c>
      <c r="I937" s="14" t="s">
        <v>18</v>
      </c>
      <c r="J937" s="1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22.5" customHeight="1">
      <c r="A938" s="35">
        <v>936.0</v>
      </c>
      <c r="B938" s="20">
        <v>47.0</v>
      </c>
      <c r="C938" s="36" t="s">
        <v>1168</v>
      </c>
      <c r="D938" s="13" t="s">
        <v>2989</v>
      </c>
      <c r="E938" s="13" t="s">
        <v>2990</v>
      </c>
      <c r="F938" s="13" t="s">
        <v>2991</v>
      </c>
      <c r="G938" s="13" t="s">
        <v>2992</v>
      </c>
      <c r="H938" s="13" t="s">
        <v>2993</v>
      </c>
      <c r="I938" s="15"/>
      <c r="J938" s="1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22.5" hidden="1" customHeight="1">
      <c r="A939" s="35">
        <v>937.0</v>
      </c>
      <c r="B939" s="20">
        <v>47.0</v>
      </c>
      <c r="C939" s="36" t="s">
        <v>1163</v>
      </c>
      <c r="D939" s="13" t="s">
        <v>3734</v>
      </c>
      <c r="E939" s="13" t="s">
        <v>3735</v>
      </c>
      <c r="F939" s="13" t="s">
        <v>3736</v>
      </c>
      <c r="G939" s="13" t="s">
        <v>3737</v>
      </c>
      <c r="H939" s="13" t="s">
        <v>3738</v>
      </c>
      <c r="I939" s="15"/>
      <c r="J939" s="1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22.5" customHeight="1">
      <c r="A940" s="35">
        <v>938.0</v>
      </c>
      <c r="B940" s="20">
        <v>47.0</v>
      </c>
      <c r="C940" s="36" t="s">
        <v>1168</v>
      </c>
      <c r="D940" s="13" t="s">
        <v>3289</v>
      </c>
      <c r="E940" s="13" t="s">
        <v>3290</v>
      </c>
      <c r="F940" s="13" t="s">
        <v>3291</v>
      </c>
      <c r="G940" s="13" t="s">
        <v>3292</v>
      </c>
      <c r="H940" s="13" t="s">
        <v>3293</v>
      </c>
      <c r="I940" s="15"/>
      <c r="J940" s="1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22.5" hidden="1" customHeight="1">
      <c r="A941" s="35">
        <v>939.0</v>
      </c>
      <c r="B941" s="20">
        <v>47.0</v>
      </c>
      <c r="C941" s="36" t="s">
        <v>1163</v>
      </c>
      <c r="D941" s="13" t="s">
        <v>3739</v>
      </c>
      <c r="E941" s="13" t="s">
        <v>3740</v>
      </c>
      <c r="F941" s="13" t="s">
        <v>1087</v>
      </c>
      <c r="G941" s="13" t="s">
        <v>1088</v>
      </c>
      <c r="H941" s="13" t="s">
        <v>3741</v>
      </c>
      <c r="I941" s="14" t="s">
        <v>18</v>
      </c>
      <c r="J941" s="1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22.5" hidden="1" customHeight="1">
      <c r="A942" s="35">
        <v>940.0</v>
      </c>
      <c r="B942" s="20">
        <v>46.0</v>
      </c>
      <c r="C942" s="36" t="s">
        <v>1163</v>
      </c>
      <c r="D942" s="13" t="s">
        <v>2482</v>
      </c>
      <c r="E942" s="13" t="s">
        <v>3742</v>
      </c>
      <c r="F942" s="13" t="s">
        <v>2484</v>
      </c>
      <c r="G942" s="13" t="s">
        <v>2485</v>
      </c>
      <c r="H942" s="13" t="s">
        <v>2486</v>
      </c>
      <c r="I942" s="15"/>
      <c r="J942" s="1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22.5" customHeight="1">
      <c r="A943" s="35">
        <v>941.0</v>
      </c>
      <c r="B943" s="20">
        <v>46.0</v>
      </c>
      <c r="C943" s="36" t="s">
        <v>1168</v>
      </c>
      <c r="D943" s="13" t="s">
        <v>1237</v>
      </c>
      <c r="E943" s="13" t="s">
        <v>3064</v>
      </c>
      <c r="F943" s="13" t="s">
        <v>1239</v>
      </c>
      <c r="G943" s="13" t="s">
        <v>1240</v>
      </c>
      <c r="H943" s="13" t="s">
        <v>1241</v>
      </c>
      <c r="I943" s="15"/>
      <c r="J943" s="1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22.5" customHeight="1">
      <c r="A944" s="35">
        <v>942.0</v>
      </c>
      <c r="B944" s="20">
        <v>46.0</v>
      </c>
      <c r="C944" s="36" t="s">
        <v>1168</v>
      </c>
      <c r="D944" s="13" t="s">
        <v>3206</v>
      </c>
      <c r="E944" s="13" t="s">
        <v>3207</v>
      </c>
      <c r="F944" s="13" t="s">
        <v>1286</v>
      </c>
      <c r="G944" s="13" t="s">
        <v>1287</v>
      </c>
      <c r="H944" s="13" t="s">
        <v>3208</v>
      </c>
      <c r="I944" s="15"/>
      <c r="J944" s="1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22.5" customHeight="1">
      <c r="A945" s="35">
        <v>943.0</v>
      </c>
      <c r="B945" s="20">
        <v>46.0</v>
      </c>
      <c r="C945" s="36" t="s">
        <v>1168</v>
      </c>
      <c r="D945" s="13" t="s">
        <v>2264</v>
      </c>
      <c r="E945" s="13" t="s">
        <v>2265</v>
      </c>
      <c r="F945" s="13" t="s">
        <v>2266</v>
      </c>
      <c r="G945" s="13" t="s">
        <v>2267</v>
      </c>
      <c r="H945" s="13" t="s">
        <v>2268</v>
      </c>
      <c r="I945" s="15"/>
      <c r="J945" s="1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22.5" customHeight="1">
      <c r="A946" s="35">
        <v>944.0</v>
      </c>
      <c r="B946" s="20">
        <v>46.0</v>
      </c>
      <c r="C946" s="36" t="s">
        <v>1218</v>
      </c>
      <c r="D946" s="13" t="s">
        <v>1651</v>
      </c>
      <c r="E946" s="13" t="s">
        <v>3743</v>
      </c>
      <c r="F946" s="13" t="s">
        <v>1653</v>
      </c>
      <c r="G946" s="13" t="s">
        <v>3744</v>
      </c>
      <c r="H946" s="13" t="s">
        <v>1655</v>
      </c>
      <c r="I946" s="15"/>
      <c r="J946" s="1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22.5" customHeight="1">
      <c r="A947" s="35">
        <v>945.0</v>
      </c>
      <c r="B947" s="20">
        <v>46.0</v>
      </c>
      <c r="C947" s="36" t="s">
        <v>1168</v>
      </c>
      <c r="D947" s="13" t="s">
        <v>1331</v>
      </c>
      <c r="E947" s="13" t="s">
        <v>2641</v>
      </c>
      <c r="F947" s="13" t="s">
        <v>1333</v>
      </c>
      <c r="G947" s="13" t="s">
        <v>1334</v>
      </c>
      <c r="H947" s="13" t="s">
        <v>1335</v>
      </c>
      <c r="I947" s="15"/>
      <c r="J947" s="1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22.5" hidden="1" customHeight="1">
      <c r="A948" s="35">
        <v>946.0</v>
      </c>
      <c r="B948" s="20">
        <v>46.0</v>
      </c>
      <c r="C948" s="36" t="s">
        <v>1163</v>
      </c>
      <c r="D948" s="13" t="s">
        <v>2723</v>
      </c>
      <c r="E948" s="13" t="s">
        <v>3745</v>
      </c>
      <c r="F948" s="13" t="s">
        <v>2725</v>
      </c>
      <c r="G948" s="13" t="s">
        <v>2726</v>
      </c>
      <c r="H948" s="13" t="s">
        <v>2727</v>
      </c>
      <c r="I948" s="15"/>
      <c r="J948" s="1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22.5" customHeight="1">
      <c r="A949" s="35">
        <v>947.0</v>
      </c>
      <c r="B949" s="20">
        <v>46.0</v>
      </c>
      <c r="C949" s="36" t="s">
        <v>1218</v>
      </c>
      <c r="D949" s="13" t="s">
        <v>3746</v>
      </c>
      <c r="E949" s="13" t="s">
        <v>3747</v>
      </c>
      <c r="F949" s="13" t="s">
        <v>2645</v>
      </c>
      <c r="G949" s="13" t="s">
        <v>2646</v>
      </c>
      <c r="H949" s="13" t="s">
        <v>3748</v>
      </c>
      <c r="I949" s="14" t="s">
        <v>18</v>
      </c>
      <c r="J949" s="1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22.5" hidden="1" customHeight="1">
      <c r="A950" s="35">
        <v>948.0</v>
      </c>
      <c r="B950" s="20">
        <v>46.0</v>
      </c>
      <c r="C950" s="36" t="s">
        <v>1163</v>
      </c>
      <c r="D950" s="13" t="s">
        <v>3749</v>
      </c>
      <c r="E950" s="13" t="s">
        <v>3750</v>
      </c>
      <c r="F950" s="13" t="s">
        <v>3751</v>
      </c>
      <c r="G950" s="13" t="s">
        <v>3752</v>
      </c>
      <c r="H950" s="13" t="s">
        <v>3753</v>
      </c>
      <c r="I950" s="15"/>
      <c r="J950" s="1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22.5" customHeight="1">
      <c r="A951" s="35">
        <v>949.0</v>
      </c>
      <c r="B951" s="20">
        <v>46.0</v>
      </c>
      <c r="C951" s="36" t="s">
        <v>1218</v>
      </c>
      <c r="D951" s="13" t="s">
        <v>2572</v>
      </c>
      <c r="E951" s="13" t="s">
        <v>2573</v>
      </c>
      <c r="F951" s="13" t="s">
        <v>1120</v>
      </c>
      <c r="G951" s="13" t="s">
        <v>1121</v>
      </c>
      <c r="H951" s="13" t="s">
        <v>2574</v>
      </c>
      <c r="I951" s="15"/>
      <c r="J951" s="1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22.5" hidden="1" customHeight="1">
      <c r="A952" s="35">
        <v>950.0</v>
      </c>
      <c r="B952" s="20">
        <v>46.0</v>
      </c>
      <c r="C952" s="36" t="s">
        <v>1163</v>
      </c>
      <c r="D952" s="13" t="s">
        <v>3754</v>
      </c>
      <c r="E952" s="13" t="s">
        <v>3755</v>
      </c>
      <c r="F952" s="13" t="s">
        <v>3756</v>
      </c>
      <c r="G952" s="13" t="s">
        <v>3757</v>
      </c>
      <c r="H952" s="13" t="s">
        <v>3758</v>
      </c>
      <c r="I952" s="15"/>
      <c r="J952" s="1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22.5" customHeight="1">
      <c r="A953" s="35">
        <v>951.0</v>
      </c>
      <c r="B953" s="20">
        <v>46.0</v>
      </c>
      <c r="C953" s="36" t="s">
        <v>1168</v>
      </c>
      <c r="D953" s="13" t="s">
        <v>3759</v>
      </c>
      <c r="E953" s="13" t="s">
        <v>2291</v>
      </c>
      <c r="F953" s="13" t="s">
        <v>1348</v>
      </c>
      <c r="G953" s="13" t="s">
        <v>3760</v>
      </c>
      <c r="H953" s="13" t="s">
        <v>2294</v>
      </c>
      <c r="I953" s="15"/>
      <c r="J953" s="1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22.5" customHeight="1">
      <c r="A954" s="35">
        <v>952.0</v>
      </c>
      <c r="B954" s="20">
        <v>46.0</v>
      </c>
      <c r="C954" s="36" t="s">
        <v>1168</v>
      </c>
      <c r="D954" s="13" t="s">
        <v>1219</v>
      </c>
      <c r="E954" s="13" t="s">
        <v>3640</v>
      </c>
      <c r="F954" s="13" t="s">
        <v>1220</v>
      </c>
      <c r="G954" s="13" t="s">
        <v>1221</v>
      </c>
      <c r="H954" s="13" t="s">
        <v>1222</v>
      </c>
      <c r="I954" s="15"/>
      <c r="J954" s="1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22.5" customHeight="1">
      <c r="A955" s="35">
        <v>953.0</v>
      </c>
      <c r="B955" s="20">
        <v>46.0</v>
      </c>
      <c r="C955" s="36" t="s">
        <v>1218</v>
      </c>
      <c r="D955" s="13" t="s">
        <v>3761</v>
      </c>
      <c r="E955" s="13" t="s">
        <v>2064</v>
      </c>
      <c r="F955" s="13" t="s">
        <v>3762</v>
      </c>
      <c r="G955" s="13" t="s">
        <v>3763</v>
      </c>
      <c r="H955" s="13" t="s">
        <v>3764</v>
      </c>
      <c r="I955" s="14" t="s">
        <v>18</v>
      </c>
      <c r="J955" s="1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22.5" hidden="1" customHeight="1">
      <c r="A956" s="35">
        <v>954.0</v>
      </c>
      <c r="B956" s="20">
        <v>46.0</v>
      </c>
      <c r="C956" s="36" t="s">
        <v>1163</v>
      </c>
      <c r="D956" s="13" t="s">
        <v>2746</v>
      </c>
      <c r="E956" s="13" t="s">
        <v>3765</v>
      </c>
      <c r="F956" s="13" t="s">
        <v>2748</v>
      </c>
      <c r="G956" s="13" t="s">
        <v>2749</v>
      </c>
      <c r="H956" s="13" t="s">
        <v>2750</v>
      </c>
      <c r="I956" s="15"/>
      <c r="J956" s="1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22.5" customHeight="1">
      <c r="A957" s="35">
        <v>955.0</v>
      </c>
      <c r="B957" s="20">
        <v>45.0</v>
      </c>
      <c r="C957" s="36" t="s">
        <v>1218</v>
      </c>
      <c r="D957" s="13" t="s">
        <v>1714</v>
      </c>
      <c r="E957" s="13" t="s">
        <v>3766</v>
      </c>
      <c r="F957" s="13" t="s">
        <v>1716</v>
      </c>
      <c r="G957" s="13" t="s">
        <v>1946</v>
      </c>
      <c r="H957" s="13" t="s">
        <v>1718</v>
      </c>
      <c r="I957" s="15"/>
      <c r="J957" s="1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22.5" hidden="1" customHeight="1">
      <c r="A958" s="35">
        <v>956.0</v>
      </c>
      <c r="B958" s="20">
        <v>45.0</v>
      </c>
      <c r="C958" s="36" t="s">
        <v>1163</v>
      </c>
      <c r="D958" s="13" t="s">
        <v>3647</v>
      </c>
      <c r="E958" s="13" t="s">
        <v>3767</v>
      </c>
      <c r="F958" s="13" t="s">
        <v>3768</v>
      </c>
      <c r="G958" s="13" t="s">
        <v>3650</v>
      </c>
      <c r="H958" s="13" t="s">
        <v>3651</v>
      </c>
      <c r="I958" s="15"/>
      <c r="J958" s="1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22.5" hidden="1" customHeight="1">
      <c r="A959" s="35">
        <v>957.0</v>
      </c>
      <c r="B959" s="20">
        <v>45.0</v>
      </c>
      <c r="C959" s="36" t="s">
        <v>1163</v>
      </c>
      <c r="D959" s="13" t="s">
        <v>3769</v>
      </c>
      <c r="E959" s="13" t="s">
        <v>3770</v>
      </c>
      <c r="F959" s="13" t="s">
        <v>3771</v>
      </c>
      <c r="G959" s="13" t="s">
        <v>3772</v>
      </c>
      <c r="H959" s="13" t="s">
        <v>3773</v>
      </c>
      <c r="I959" s="14" t="s">
        <v>18</v>
      </c>
      <c r="J959" s="1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22.5" customHeight="1">
      <c r="A960" s="35">
        <v>958.0</v>
      </c>
      <c r="B960" s="20">
        <v>45.0</v>
      </c>
      <c r="C960" s="36" t="s">
        <v>1218</v>
      </c>
      <c r="D960" s="13" t="s">
        <v>3675</v>
      </c>
      <c r="E960" s="13" t="s">
        <v>3774</v>
      </c>
      <c r="F960" s="13" t="s">
        <v>3775</v>
      </c>
      <c r="G960" s="13" t="s">
        <v>3776</v>
      </c>
      <c r="H960" s="13" t="s">
        <v>3777</v>
      </c>
      <c r="I960" s="14" t="s">
        <v>18</v>
      </c>
      <c r="J960" s="1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22.5" customHeight="1">
      <c r="A961" s="35">
        <v>959.0</v>
      </c>
      <c r="B961" s="20">
        <v>45.0</v>
      </c>
      <c r="C961" s="36" t="s">
        <v>1168</v>
      </c>
      <c r="D961" s="13" t="s">
        <v>1242</v>
      </c>
      <c r="E961" s="13" t="s">
        <v>3778</v>
      </c>
      <c r="F961" s="13" t="s">
        <v>1244</v>
      </c>
      <c r="G961" s="13" t="s">
        <v>1914</v>
      </c>
      <c r="H961" s="13" t="s">
        <v>1246</v>
      </c>
      <c r="I961" s="15"/>
      <c r="J961" s="1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22.5" customHeight="1">
      <c r="A962" s="35">
        <v>960.0</v>
      </c>
      <c r="B962" s="20">
        <v>45.0</v>
      </c>
      <c r="C962" s="36" t="s">
        <v>1218</v>
      </c>
      <c r="D962" s="13" t="s">
        <v>3779</v>
      </c>
      <c r="E962" s="13" t="s">
        <v>3780</v>
      </c>
      <c r="F962" s="13" t="s">
        <v>3781</v>
      </c>
      <c r="G962" s="13" t="s">
        <v>3782</v>
      </c>
      <c r="H962" s="13" t="s">
        <v>3783</v>
      </c>
      <c r="I962" s="15"/>
      <c r="J962" s="1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22.5" customHeight="1">
      <c r="A963" s="35">
        <v>961.0</v>
      </c>
      <c r="B963" s="20">
        <v>45.0</v>
      </c>
      <c r="C963" s="36" t="s">
        <v>1218</v>
      </c>
      <c r="D963" s="13" t="s">
        <v>2361</v>
      </c>
      <c r="E963" s="13" t="s">
        <v>3784</v>
      </c>
      <c r="F963" s="13" t="s">
        <v>2363</v>
      </c>
      <c r="G963" s="13" t="s">
        <v>2364</v>
      </c>
      <c r="H963" s="13" t="s">
        <v>2365</v>
      </c>
      <c r="I963" s="15"/>
      <c r="J963" s="1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22.5" customHeight="1">
      <c r="A964" s="35">
        <v>962.0</v>
      </c>
      <c r="B964" s="20">
        <v>45.0</v>
      </c>
      <c r="C964" s="36" t="s">
        <v>1218</v>
      </c>
      <c r="D964" s="13" t="s">
        <v>3785</v>
      </c>
      <c r="E964" s="13" t="s">
        <v>3786</v>
      </c>
      <c r="F964" s="13" t="s">
        <v>3787</v>
      </c>
      <c r="G964" s="13" t="s">
        <v>3788</v>
      </c>
      <c r="H964" s="13" t="s">
        <v>3789</v>
      </c>
      <c r="I964" s="14" t="s">
        <v>18</v>
      </c>
      <c r="J964" s="1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22.5" customHeight="1">
      <c r="A965" s="35">
        <v>963.0</v>
      </c>
      <c r="B965" s="20">
        <v>45.0</v>
      </c>
      <c r="C965" s="36" t="s">
        <v>1218</v>
      </c>
      <c r="D965" s="13" t="s">
        <v>3790</v>
      </c>
      <c r="E965" s="13" t="s">
        <v>3791</v>
      </c>
      <c r="F965" s="13" t="s">
        <v>3792</v>
      </c>
      <c r="G965" s="13" t="s">
        <v>3793</v>
      </c>
      <c r="H965" s="13" t="s">
        <v>3794</v>
      </c>
      <c r="I965" s="14" t="s">
        <v>18</v>
      </c>
      <c r="J965" s="1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22.5" customHeight="1">
      <c r="A966" s="35">
        <v>964.0</v>
      </c>
      <c r="B966" s="20">
        <v>45.0</v>
      </c>
      <c r="C966" s="36" t="s">
        <v>1168</v>
      </c>
      <c r="D966" s="13" t="s">
        <v>3795</v>
      </c>
      <c r="E966" s="13" t="s">
        <v>3796</v>
      </c>
      <c r="F966" s="13" t="s">
        <v>3797</v>
      </c>
      <c r="G966" s="13" t="s">
        <v>3798</v>
      </c>
      <c r="H966" s="13" t="s">
        <v>3799</v>
      </c>
      <c r="I966" s="15"/>
      <c r="J966" s="1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22.5" hidden="1" customHeight="1">
      <c r="A967" s="35">
        <v>965.0</v>
      </c>
      <c r="B967" s="20">
        <v>45.0</v>
      </c>
      <c r="C967" s="36" t="s">
        <v>1163</v>
      </c>
      <c r="D967" s="13" t="s">
        <v>3666</v>
      </c>
      <c r="E967" s="13" t="s">
        <v>3800</v>
      </c>
      <c r="F967" s="13" t="s">
        <v>3668</v>
      </c>
      <c r="G967" s="13" t="s">
        <v>3669</v>
      </c>
      <c r="H967" s="13" t="s">
        <v>3670</v>
      </c>
      <c r="I967" s="15"/>
      <c r="J967" s="1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22.5" hidden="1" customHeight="1">
      <c r="A968" s="35">
        <v>966.0</v>
      </c>
      <c r="B968" s="20">
        <v>45.0</v>
      </c>
      <c r="C968" s="36" t="s">
        <v>1163</v>
      </c>
      <c r="D968" s="13" t="s">
        <v>3801</v>
      </c>
      <c r="E968" s="13" t="s">
        <v>3802</v>
      </c>
      <c r="F968" s="13" t="s">
        <v>3803</v>
      </c>
      <c r="G968" s="13" t="s">
        <v>3804</v>
      </c>
      <c r="H968" s="13" t="s">
        <v>3805</v>
      </c>
      <c r="I968" s="14" t="s">
        <v>18</v>
      </c>
      <c r="J968" s="1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22.5" hidden="1" customHeight="1">
      <c r="A969" s="35">
        <v>967.0</v>
      </c>
      <c r="B969" s="20">
        <v>45.0</v>
      </c>
      <c r="C969" s="36" t="s">
        <v>1163</v>
      </c>
      <c r="D969" s="13" t="s">
        <v>3806</v>
      </c>
      <c r="E969" s="13" t="s">
        <v>3807</v>
      </c>
      <c r="F969" s="13" t="s">
        <v>3808</v>
      </c>
      <c r="G969" s="13" t="s">
        <v>3809</v>
      </c>
      <c r="H969" s="13" t="s">
        <v>3810</v>
      </c>
      <c r="I969" s="14" t="s">
        <v>18</v>
      </c>
      <c r="J969" s="1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22.5" customHeight="1">
      <c r="A970" s="35">
        <v>968.0</v>
      </c>
      <c r="B970" s="20">
        <v>45.0</v>
      </c>
      <c r="C970" s="36" t="s">
        <v>1168</v>
      </c>
      <c r="D970" s="13" t="s">
        <v>2198</v>
      </c>
      <c r="E970" s="13" t="s">
        <v>3811</v>
      </c>
      <c r="F970" s="13" t="s">
        <v>2200</v>
      </c>
      <c r="G970" s="13" t="s">
        <v>2201</v>
      </c>
      <c r="H970" s="13" t="s">
        <v>2202</v>
      </c>
      <c r="I970" s="15"/>
      <c r="J970" s="1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22.5" customHeight="1">
      <c r="A971" s="35">
        <v>969.0</v>
      </c>
      <c r="B971" s="20">
        <v>45.0</v>
      </c>
      <c r="C971" s="36" t="s">
        <v>1168</v>
      </c>
      <c r="D971" s="13" t="s">
        <v>3812</v>
      </c>
      <c r="E971" s="13" t="s">
        <v>3813</v>
      </c>
      <c r="F971" s="13" t="s">
        <v>3814</v>
      </c>
      <c r="G971" s="13" t="s">
        <v>3815</v>
      </c>
      <c r="H971" s="13" t="s">
        <v>3816</v>
      </c>
      <c r="I971" s="14" t="s">
        <v>18</v>
      </c>
      <c r="J971" s="1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22.5" hidden="1" customHeight="1">
      <c r="A972" s="35">
        <v>970.0</v>
      </c>
      <c r="B972" s="20">
        <v>44.0</v>
      </c>
      <c r="C972" s="36" t="s">
        <v>1163</v>
      </c>
      <c r="D972" s="13" t="s">
        <v>1303</v>
      </c>
      <c r="E972" s="13" t="s">
        <v>3817</v>
      </c>
      <c r="F972" s="13" t="s">
        <v>3818</v>
      </c>
      <c r="G972" s="13" t="s">
        <v>3819</v>
      </c>
      <c r="H972" s="13" t="s">
        <v>3820</v>
      </c>
      <c r="I972" s="15"/>
      <c r="J972" s="1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22.5" customHeight="1">
      <c r="A973" s="35">
        <v>971.0</v>
      </c>
      <c r="B973" s="20">
        <v>44.0</v>
      </c>
      <c r="C973" s="36" t="s">
        <v>1168</v>
      </c>
      <c r="D973" s="13" t="s">
        <v>1952</v>
      </c>
      <c r="E973" s="13" t="s">
        <v>3821</v>
      </c>
      <c r="F973" s="13" t="s">
        <v>1954</v>
      </c>
      <c r="G973" s="13" t="s">
        <v>1955</v>
      </c>
      <c r="H973" s="13" t="s">
        <v>1598</v>
      </c>
      <c r="I973" s="15"/>
      <c r="J973" s="1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22.5" hidden="1" customHeight="1">
      <c r="A974" s="35">
        <v>972.0</v>
      </c>
      <c r="B974" s="20">
        <v>44.0</v>
      </c>
      <c r="C974" s="36" t="s">
        <v>1163</v>
      </c>
      <c r="D974" s="13" t="s">
        <v>3822</v>
      </c>
      <c r="E974" s="13" t="s">
        <v>3823</v>
      </c>
      <c r="F974" s="13" t="s">
        <v>266</v>
      </c>
      <c r="G974" s="13" t="s">
        <v>144</v>
      </c>
      <c r="H974" s="13" t="s">
        <v>3824</v>
      </c>
      <c r="I974" s="15"/>
      <c r="J974" s="1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22.5" hidden="1" customHeight="1">
      <c r="A975" s="35">
        <v>973.0</v>
      </c>
      <c r="B975" s="20">
        <v>44.0</v>
      </c>
      <c r="C975" s="36" t="s">
        <v>1163</v>
      </c>
      <c r="D975" s="13" t="s">
        <v>3458</v>
      </c>
      <c r="E975" s="13" t="s">
        <v>3459</v>
      </c>
      <c r="F975" s="13" t="s">
        <v>3460</v>
      </c>
      <c r="G975" s="13" t="s">
        <v>3461</v>
      </c>
      <c r="H975" s="13" t="s">
        <v>3462</v>
      </c>
      <c r="I975" s="15"/>
      <c r="J975" s="1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22.5" customHeight="1">
      <c r="A976" s="35">
        <v>974.0</v>
      </c>
      <c r="B976" s="20">
        <v>44.0</v>
      </c>
      <c r="C976" s="36" t="s">
        <v>1168</v>
      </c>
      <c r="D976" s="13" t="s">
        <v>3825</v>
      </c>
      <c r="E976" s="13" t="s">
        <v>1520</v>
      </c>
      <c r="F976" s="13" t="s">
        <v>3826</v>
      </c>
      <c r="G976" s="13" t="s">
        <v>3827</v>
      </c>
      <c r="H976" s="13" t="s">
        <v>1523</v>
      </c>
      <c r="I976" s="14" t="s">
        <v>18</v>
      </c>
      <c r="J976" s="1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22.5" customHeight="1">
      <c r="A977" s="35">
        <v>975.0</v>
      </c>
      <c r="B977" s="20">
        <v>44.0</v>
      </c>
      <c r="C977" s="36" t="s">
        <v>1168</v>
      </c>
      <c r="D977" s="13" t="s">
        <v>3828</v>
      </c>
      <c r="E977" s="13" t="s">
        <v>3075</v>
      </c>
      <c r="F977" s="13" t="s">
        <v>3829</v>
      </c>
      <c r="G977" s="13" t="s">
        <v>3830</v>
      </c>
      <c r="H977" s="13" t="s">
        <v>2835</v>
      </c>
      <c r="I977" s="15"/>
      <c r="J977" s="1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22.5" customHeight="1">
      <c r="A978" s="35">
        <v>976.0</v>
      </c>
      <c r="B978" s="20">
        <v>44.0</v>
      </c>
      <c r="C978" s="36" t="s">
        <v>1168</v>
      </c>
      <c r="D978" s="13" t="s">
        <v>2572</v>
      </c>
      <c r="E978" s="13" t="s">
        <v>2573</v>
      </c>
      <c r="F978" s="13" t="s">
        <v>1120</v>
      </c>
      <c r="G978" s="13" t="s">
        <v>1121</v>
      </c>
      <c r="H978" s="13" t="s">
        <v>2574</v>
      </c>
      <c r="I978" s="15"/>
      <c r="J978" s="1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22.5" hidden="1" customHeight="1">
      <c r="A979" s="35">
        <v>977.0</v>
      </c>
      <c r="B979" s="20">
        <v>44.0</v>
      </c>
      <c r="C979" s="36" t="s">
        <v>1163</v>
      </c>
      <c r="D979" s="13" t="s">
        <v>2372</v>
      </c>
      <c r="E979" s="13" t="s">
        <v>2877</v>
      </c>
      <c r="F979" s="13" t="s">
        <v>2374</v>
      </c>
      <c r="G979" s="13" t="s">
        <v>2375</v>
      </c>
      <c r="H979" s="13" t="s">
        <v>2376</v>
      </c>
      <c r="I979" s="15"/>
      <c r="J979" s="1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22.5" customHeight="1">
      <c r="A980" s="35">
        <v>978.0</v>
      </c>
      <c r="B980" s="20">
        <v>44.0</v>
      </c>
      <c r="C980" s="36" t="s">
        <v>1168</v>
      </c>
      <c r="D980" s="13" t="s">
        <v>1826</v>
      </c>
      <c r="E980" s="13" t="s">
        <v>1777</v>
      </c>
      <c r="F980" s="13" t="s">
        <v>1827</v>
      </c>
      <c r="G980" s="13" t="s">
        <v>1828</v>
      </c>
      <c r="H980" s="13" t="s">
        <v>1780</v>
      </c>
      <c r="I980" s="15"/>
      <c r="J980" s="1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22.5" customHeight="1">
      <c r="A981" s="35">
        <v>979.0</v>
      </c>
      <c r="B981" s="20">
        <v>44.0</v>
      </c>
      <c r="C981" s="36" t="s">
        <v>1168</v>
      </c>
      <c r="D981" s="13" t="s">
        <v>3831</v>
      </c>
      <c r="E981" s="13" t="s">
        <v>3832</v>
      </c>
      <c r="F981" s="13" t="s">
        <v>3833</v>
      </c>
      <c r="G981" s="13" t="s">
        <v>3834</v>
      </c>
      <c r="H981" s="13" t="s">
        <v>3835</v>
      </c>
      <c r="I981" s="14" t="s">
        <v>18</v>
      </c>
      <c r="J981" s="1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22.5" customHeight="1">
      <c r="A982" s="35">
        <v>980.0</v>
      </c>
      <c r="B982" s="20">
        <v>44.0</v>
      </c>
      <c r="C982" s="36" t="s">
        <v>1168</v>
      </c>
      <c r="D982" s="13" t="s">
        <v>2981</v>
      </c>
      <c r="E982" s="13" t="s">
        <v>3836</v>
      </c>
      <c r="F982" s="13" t="s">
        <v>2982</v>
      </c>
      <c r="G982" s="13" t="s">
        <v>2983</v>
      </c>
      <c r="H982" s="13" t="s">
        <v>2844</v>
      </c>
      <c r="I982" s="15"/>
      <c r="J982" s="1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22.5" customHeight="1">
      <c r="A983" s="35">
        <v>981.0</v>
      </c>
      <c r="B983" s="20">
        <v>44.0</v>
      </c>
      <c r="C983" s="36" t="s">
        <v>1168</v>
      </c>
      <c r="D983" s="13" t="s">
        <v>3837</v>
      </c>
      <c r="E983" s="13" t="s">
        <v>3838</v>
      </c>
      <c r="F983" s="13" t="s">
        <v>3839</v>
      </c>
      <c r="G983" s="13" t="s">
        <v>3840</v>
      </c>
      <c r="H983" s="13" t="s">
        <v>3841</v>
      </c>
      <c r="I983" s="15"/>
      <c r="J983" s="1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22.5" customHeight="1">
      <c r="A984" s="35">
        <v>982.0</v>
      </c>
      <c r="B984" s="20">
        <v>44.0</v>
      </c>
      <c r="C984" s="36" t="s">
        <v>1168</v>
      </c>
      <c r="D984" s="13" t="s">
        <v>1279</v>
      </c>
      <c r="E984" s="13" t="s">
        <v>3842</v>
      </c>
      <c r="F984" s="13" t="s">
        <v>1281</v>
      </c>
      <c r="G984" s="13" t="s">
        <v>1282</v>
      </c>
      <c r="H984" s="13" t="s">
        <v>1283</v>
      </c>
      <c r="I984" s="15"/>
      <c r="J984" s="1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22.5" customHeight="1">
      <c r="A985" s="35">
        <v>983.0</v>
      </c>
      <c r="B985" s="20">
        <v>44.0</v>
      </c>
      <c r="C985" s="36" t="s">
        <v>1168</v>
      </c>
      <c r="D985" s="13" t="s">
        <v>1882</v>
      </c>
      <c r="E985" s="13" t="s">
        <v>1883</v>
      </c>
      <c r="F985" s="13" t="s">
        <v>1884</v>
      </c>
      <c r="G985" s="13" t="s">
        <v>1885</v>
      </c>
      <c r="H985" s="13" t="s">
        <v>1886</v>
      </c>
      <c r="I985" s="15"/>
      <c r="J985" s="1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22.5" hidden="1" customHeight="1">
      <c r="A986" s="35">
        <v>984.0</v>
      </c>
      <c r="B986" s="20">
        <v>44.0</v>
      </c>
      <c r="C986" s="36" t="s">
        <v>1163</v>
      </c>
      <c r="D986" s="13" t="s">
        <v>3843</v>
      </c>
      <c r="E986" s="13" t="s">
        <v>3735</v>
      </c>
      <c r="F986" s="13" t="s">
        <v>3844</v>
      </c>
      <c r="G986" s="13" t="s">
        <v>3845</v>
      </c>
      <c r="H986" s="13" t="s">
        <v>3738</v>
      </c>
      <c r="I986" s="15"/>
      <c r="J986" s="1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22.5" customHeight="1">
      <c r="A987" s="35">
        <v>985.0</v>
      </c>
      <c r="B987" s="20">
        <v>43.0</v>
      </c>
      <c r="C987" s="36" t="s">
        <v>1218</v>
      </c>
      <c r="D987" s="13" t="s">
        <v>3001</v>
      </c>
      <c r="E987" s="13" t="s">
        <v>2291</v>
      </c>
      <c r="F987" s="13" t="s">
        <v>3003</v>
      </c>
      <c r="G987" s="13" t="s">
        <v>3846</v>
      </c>
      <c r="H987" s="13" t="s">
        <v>3005</v>
      </c>
      <c r="I987" s="14" t="s">
        <v>18</v>
      </c>
      <c r="J987" s="1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22.5" customHeight="1">
      <c r="A988" s="35">
        <v>986.0</v>
      </c>
      <c r="B988" s="20">
        <v>43.0</v>
      </c>
      <c r="C988" s="36" t="s">
        <v>1168</v>
      </c>
      <c r="D988" s="13" t="s">
        <v>3847</v>
      </c>
      <c r="E988" s="13" t="s">
        <v>3848</v>
      </c>
      <c r="F988" s="13" t="s">
        <v>3849</v>
      </c>
      <c r="G988" s="13" t="s">
        <v>3850</v>
      </c>
      <c r="H988" s="13" t="s">
        <v>3243</v>
      </c>
      <c r="I988" s="15"/>
      <c r="J988" s="1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22.5" customHeight="1">
      <c r="A989" s="35">
        <v>987.0</v>
      </c>
      <c r="B989" s="20">
        <v>43.0</v>
      </c>
      <c r="C989" s="36" t="s">
        <v>1168</v>
      </c>
      <c r="D989" s="13" t="s">
        <v>2757</v>
      </c>
      <c r="E989" s="13" t="s">
        <v>3851</v>
      </c>
      <c r="F989" s="13" t="s">
        <v>2759</v>
      </c>
      <c r="G989" s="13" t="s">
        <v>2760</v>
      </c>
      <c r="H989" s="13" t="s">
        <v>2761</v>
      </c>
      <c r="I989" s="15"/>
      <c r="J989" s="1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22.5" customHeight="1">
      <c r="A990" s="35">
        <v>988.0</v>
      </c>
      <c r="B990" s="20">
        <v>43.0</v>
      </c>
      <c r="C990" s="36" t="s">
        <v>1218</v>
      </c>
      <c r="D990" s="13" t="s">
        <v>1847</v>
      </c>
      <c r="E990" s="13" t="s">
        <v>3852</v>
      </c>
      <c r="F990" s="13" t="s">
        <v>1849</v>
      </c>
      <c r="G990" s="13" t="s">
        <v>2011</v>
      </c>
      <c r="H990" s="13" t="s">
        <v>1851</v>
      </c>
      <c r="I990" s="15"/>
      <c r="J990" s="1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22.5" hidden="1" customHeight="1">
      <c r="A991" s="35">
        <v>989.0</v>
      </c>
      <c r="B991" s="20">
        <v>43.0</v>
      </c>
      <c r="C991" s="36" t="s">
        <v>1163</v>
      </c>
      <c r="D991" s="13" t="s">
        <v>3655</v>
      </c>
      <c r="E991" s="13" t="s">
        <v>3853</v>
      </c>
      <c r="F991" s="13" t="s">
        <v>3657</v>
      </c>
      <c r="G991" s="13" t="s">
        <v>3658</v>
      </c>
      <c r="H991" s="13" t="s">
        <v>3854</v>
      </c>
      <c r="I991" s="15"/>
      <c r="J991" s="1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22.5" customHeight="1">
      <c r="A992" s="35">
        <v>990.0</v>
      </c>
      <c r="B992" s="20">
        <v>43.0</v>
      </c>
      <c r="C992" s="36" t="s">
        <v>1168</v>
      </c>
      <c r="D992" s="13" t="s">
        <v>1920</v>
      </c>
      <c r="E992" s="13" t="s">
        <v>3855</v>
      </c>
      <c r="F992" s="13" t="s">
        <v>1922</v>
      </c>
      <c r="G992" s="13" t="s">
        <v>2602</v>
      </c>
      <c r="H992" s="13" t="s">
        <v>1924</v>
      </c>
      <c r="I992" s="15"/>
      <c r="J992" s="15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22.5" customHeight="1">
      <c r="A993" s="35">
        <v>991.0</v>
      </c>
      <c r="B993" s="20">
        <v>43.0</v>
      </c>
      <c r="C993" s="36" t="s">
        <v>1168</v>
      </c>
      <c r="D993" s="13" t="s">
        <v>2866</v>
      </c>
      <c r="E993" s="13" t="s">
        <v>3856</v>
      </c>
      <c r="F993" s="13" t="s">
        <v>2868</v>
      </c>
      <c r="G993" s="13" t="s">
        <v>2869</v>
      </c>
      <c r="H993" s="13" t="s">
        <v>1861</v>
      </c>
      <c r="I993" s="15"/>
      <c r="J993" s="15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22.5" hidden="1" customHeight="1">
      <c r="A994" s="35">
        <v>992.0</v>
      </c>
      <c r="B994" s="20">
        <v>43.0</v>
      </c>
      <c r="C994" s="36" t="s">
        <v>1163</v>
      </c>
      <c r="D994" s="13" t="s">
        <v>3857</v>
      </c>
      <c r="E994" s="13" t="s">
        <v>3858</v>
      </c>
      <c r="F994" s="13" t="s">
        <v>3668</v>
      </c>
      <c r="G994" s="13" t="s">
        <v>3669</v>
      </c>
      <c r="H994" s="13" t="s">
        <v>3670</v>
      </c>
      <c r="I994" s="15"/>
      <c r="J994" s="15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22.5" hidden="1" customHeight="1">
      <c r="A995" s="35">
        <v>993.0</v>
      </c>
      <c r="B995" s="20">
        <v>43.0</v>
      </c>
      <c r="C995" s="36" t="s">
        <v>1163</v>
      </c>
      <c r="D995" s="13" t="s">
        <v>3859</v>
      </c>
      <c r="E995" s="13" t="s">
        <v>3860</v>
      </c>
      <c r="F995" s="13" t="s">
        <v>3861</v>
      </c>
      <c r="G995" s="13" t="s">
        <v>3862</v>
      </c>
      <c r="H995" s="13" t="s">
        <v>3863</v>
      </c>
      <c r="I995" s="15"/>
      <c r="J995" s="15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22.5" hidden="1" customHeight="1">
      <c r="A996" s="35">
        <v>994.0</v>
      </c>
      <c r="B996" s="20">
        <v>43.0</v>
      </c>
      <c r="C996" s="36" t="s">
        <v>1163</v>
      </c>
      <c r="D996" s="13" t="s">
        <v>3864</v>
      </c>
      <c r="E996" s="13" t="s">
        <v>3865</v>
      </c>
      <c r="F996" s="13" t="s">
        <v>3866</v>
      </c>
      <c r="G996" s="13" t="s">
        <v>3867</v>
      </c>
      <c r="H996" s="13" t="s">
        <v>3868</v>
      </c>
      <c r="I996" s="15"/>
      <c r="J996" s="15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22.5" customHeight="1">
      <c r="A997" s="35">
        <v>995.0</v>
      </c>
      <c r="B997" s="20">
        <v>43.0</v>
      </c>
      <c r="C997" s="36" t="s">
        <v>1168</v>
      </c>
      <c r="D997" s="13" t="s">
        <v>3869</v>
      </c>
      <c r="E997" s="13" t="s">
        <v>3870</v>
      </c>
      <c r="F997" s="13" t="s">
        <v>3871</v>
      </c>
      <c r="G997" s="13" t="s">
        <v>3872</v>
      </c>
      <c r="H997" s="13" t="s">
        <v>3873</v>
      </c>
      <c r="I997" s="15"/>
      <c r="J997" s="15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22.5" customHeight="1">
      <c r="A998" s="35">
        <v>996.0</v>
      </c>
      <c r="B998" s="20">
        <v>43.0</v>
      </c>
      <c r="C998" s="36" t="s">
        <v>1168</v>
      </c>
      <c r="D998" s="13" t="s">
        <v>3874</v>
      </c>
      <c r="E998" s="13" t="s">
        <v>2919</v>
      </c>
      <c r="F998" s="13" t="s">
        <v>3875</v>
      </c>
      <c r="G998" s="13" t="s">
        <v>3876</v>
      </c>
      <c r="H998" s="13" t="s">
        <v>3877</v>
      </c>
      <c r="I998" s="15"/>
      <c r="J998" s="15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22.5" hidden="1" customHeight="1">
      <c r="A999" s="35">
        <v>997.0</v>
      </c>
      <c r="B999" s="20">
        <v>43.0</v>
      </c>
      <c r="C999" s="36" t="s">
        <v>1163</v>
      </c>
      <c r="D999" s="13" t="s">
        <v>3878</v>
      </c>
      <c r="E999" s="13" t="s">
        <v>3879</v>
      </c>
      <c r="F999" s="13" t="s">
        <v>3880</v>
      </c>
      <c r="G999" s="13" t="s">
        <v>3881</v>
      </c>
      <c r="H999" s="13" t="s">
        <v>3882</v>
      </c>
      <c r="I999" s="14" t="s">
        <v>18</v>
      </c>
      <c r="J999" s="15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22.5" customHeight="1">
      <c r="A1000" s="35">
        <v>998.0</v>
      </c>
      <c r="B1000" s="20">
        <v>43.0</v>
      </c>
      <c r="C1000" s="36" t="s">
        <v>1218</v>
      </c>
      <c r="D1000" s="13" t="s">
        <v>3690</v>
      </c>
      <c r="E1000" s="13" t="s">
        <v>3883</v>
      </c>
      <c r="F1000" s="13" t="s">
        <v>3692</v>
      </c>
      <c r="G1000" s="13" t="s">
        <v>3693</v>
      </c>
      <c r="H1000" s="13" t="s">
        <v>3694</v>
      </c>
      <c r="I1000" s="15"/>
      <c r="J1000" s="15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ht="22.5" customHeight="1">
      <c r="A1001" s="35">
        <v>999.0</v>
      </c>
      <c r="B1001" s="20">
        <v>43.0</v>
      </c>
      <c r="C1001" s="36" t="s">
        <v>1168</v>
      </c>
      <c r="D1001" s="13" t="s">
        <v>3884</v>
      </c>
      <c r="E1001" s="13" t="s">
        <v>3885</v>
      </c>
      <c r="F1001" s="13" t="s">
        <v>3886</v>
      </c>
      <c r="G1001" s="13" t="s">
        <v>3887</v>
      </c>
      <c r="H1001" s="13" t="s">
        <v>2589</v>
      </c>
      <c r="I1001" s="14" t="s">
        <v>18</v>
      </c>
      <c r="J1001" s="15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ht="22.5" hidden="1" customHeight="1">
      <c r="A1002" s="35">
        <v>1000.0</v>
      </c>
      <c r="B1002" s="20">
        <v>42.0</v>
      </c>
      <c r="C1002" s="36" t="s">
        <v>1163</v>
      </c>
      <c r="D1002" s="13" t="s">
        <v>3888</v>
      </c>
      <c r="E1002" s="13"/>
      <c r="F1002" s="13" t="s">
        <v>3889</v>
      </c>
      <c r="G1002" s="13" t="s">
        <v>3890</v>
      </c>
      <c r="H1002" s="13" t="s">
        <v>3891</v>
      </c>
      <c r="I1002" s="15"/>
      <c r="J1002" s="15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ht="22.5" hidden="1" customHeight="1">
      <c r="A1003" s="35">
        <v>1001.0</v>
      </c>
      <c r="B1003" s="20">
        <v>42.0</v>
      </c>
      <c r="C1003" s="36" t="s">
        <v>1163</v>
      </c>
      <c r="D1003" s="13" t="s">
        <v>3892</v>
      </c>
      <c r="E1003" s="13"/>
      <c r="F1003" s="13" t="s">
        <v>3893</v>
      </c>
      <c r="G1003" s="13" t="s">
        <v>3894</v>
      </c>
      <c r="H1003" s="13" t="s">
        <v>3895</v>
      </c>
      <c r="I1003" s="15"/>
      <c r="J1003" s="15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ht="22.5" customHeight="1">
      <c r="A1004" s="35">
        <v>1002.0</v>
      </c>
      <c r="B1004" s="20">
        <v>42.0</v>
      </c>
      <c r="C1004" s="36" t="s">
        <v>1218</v>
      </c>
      <c r="D1004" s="13" t="s">
        <v>1454</v>
      </c>
      <c r="E1004" s="13" t="s">
        <v>1609</v>
      </c>
      <c r="F1004" s="13" t="s">
        <v>1610</v>
      </c>
      <c r="G1004" s="13" t="s">
        <v>1611</v>
      </c>
      <c r="H1004" s="13" t="s">
        <v>1612</v>
      </c>
      <c r="I1004" s="15"/>
      <c r="J1004" s="15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ht="22.5" hidden="1" customHeight="1">
      <c r="A1005" s="35">
        <v>1003.0</v>
      </c>
      <c r="B1005" s="20">
        <v>42.0</v>
      </c>
      <c r="C1005" s="36" t="s">
        <v>1163</v>
      </c>
      <c r="D1005" s="13" t="s">
        <v>3896</v>
      </c>
      <c r="E1005" s="13" t="s">
        <v>3897</v>
      </c>
      <c r="F1005" s="13" t="s">
        <v>3898</v>
      </c>
      <c r="G1005" s="13" t="s">
        <v>3899</v>
      </c>
      <c r="H1005" s="13" t="s">
        <v>3900</v>
      </c>
      <c r="I1005" s="15"/>
      <c r="J1005" s="15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ht="22.5" hidden="1" customHeight="1">
      <c r="A1006" s="35">
        <v>1004.0</v>
      </c>
      <c r="B1006" s="20">
        <v>42.0</v>
      </c>
      <c r="C1006" s="36" t="s">
        <v>1163</v>
      </c>
      <c r="D1006" s="13" t="s">
        <v>1394</v>
      </c>
      <c r="E1006" s="13" t="s">
        <v>3901</v>
      </c>
      <c r="F1006" s="13" t="s">
        <v>1396</v>
      </c>
      <c r="G1006" s="13" t="s">
        <v>3902</v>
      </c>
      <c r="H1006" s="13" t="s">
        <v>3903</v>
      </c>
      <c r="I1006" s="15"/>
      <c r="J1006" s="15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ht="22.5" hidden="1" customHeight="1">
      <c r="A1007" s="35">
        <v>1005.0</v>
      </c>
      <c r="B1007" s="20">
        <v>42.0</v>
      </c>
      <c r="C1007" s="36" t="s">
        <v>1163</v>
      </c>
      <c r="D1007" s="13" t="s">
        <v>3904</v>
      </c>
      <c r="E1007" s="13"/>
      <c r="F1007" s="13" t="s">
        <v>3905</v>
      </c>
      <c r="G1007" s="13" t="s">
        <v>3906</v>
      </c>
      <c r="H1007" s="13" t="s">
        <v>3907</v>
      </c>
      <c r="I1007" s="14" t="s">
        <v>18</v>
      </c>
      <c r="J1007" s="15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ht="22.5" customHeight="1">
      <c r="A1008" s="35">
        <v>1006.0</v>
      </c>
      <c r="B1008" s="20">
        <v>42.0</v>
      </c>
      <c r="C1008" s="36" t="s">
        <v>1168</v>
      </c>
      <c r="D1008" s="13" t="s">
        <v>1379</v>
      </c>
      <c r="E1008" s="13" t="s">
        <v>3908</v>
      </c>
      <c r="F1008" s="13" t="s">
        <v>1381</v>
      </c>
      <c r="G1008" s="13" t="s">
        <v>1382</v>
      </c>
      <c r="H1008" s="13" t="s">
        <v>1383</v>
      </c>
      <c r="I1008" s="15"/>
      <c r="J1008" s="15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ht="22.5" hidden="1" customHeight="1">
      <c r="A1009" s="35">
        <v>1007.0</v>
      </c>
      <c r="B1009" s="20">
        <v>42.0</v>
      </c>
      <c r="C1009" s="36" t="s">
        <v>1163</v>
      </c>
      <c r="D1009" s="13" t="s">
        <v>3909</v>
      </c>
      <c r="E1009" s="13" t="s">
        <v>3910</v>
      </c>
      <c r="F1009" s="13" t="s">
        <v>3911</v>
      </c>
      <c r="G1009" s="13" t="s">
        <v>3912</v>
      </c>
      <c r="H1009" s="13" t="s">
        <v>3913</v>
      </c>
      <c r="I1009" s="14" t="s">
        <v>18</v>
      </c>
      <c r="J1009" s="15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ht="22.5" customHeight="1">
      <c r="A1010" s="35">
        <v>1008.0</v>
      </c>
      <c r="B1010" s="20">
        <v>42.0</v>
      </c>
      <c r="C1010" s="36" t="s">
        <v>1168</v>
      </c>
      <c r="D1010" s="13" t="s">
        <v>2568</v>
      </c>
      <c r="E1010" s="13" t="s">
        <v>2289</v>
      </c>
      <c r="F1010" s="13" t="s">
        <v>2570</v>
      </c>
      <c r="G1010" s="13" t="s">
        <v>2571</v>
      </c>
      <c r="H1010" s="13" t="s">
        <v>1340</v>
      </c>
      <c r="I1010" s="15"/>
      <c r="J1010" s="15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ht="22.5" customHeight="1">
      <c r="A1011" s="35">
        <v>1009.0</v>
      </c>
      <c r="B1011" s="20">
        <v>42.0</v>
      </c>
      <c r="C1011" s="36" t="s">
        <v>1168</v>
      </c>
      <c r="D1011" s="13" t="s">
        <v>1519</v>
      </c>
      <c r="E1011" s="13" t="s">
        <v>1520</v>
      </c>
      <c r="F1011" s="13" t="s">
        <v>1521</v>
      </c>
      <c r="G1011" s="13" t="s">
        <v>1522</v>
      </c>
      <c r="H1011" s="13" t="s">
        <v>1523</v>
      </c>
      <c r="I1011" s="15"/>
      <c r="J1011" s="15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ht="22.5" hidden="1" customHeight="1">
      <c r="A1012" s="35">
        <v>1010.0</v>
      </c>
      <c r="B1012" s="20">
        <v>42.0</v>
      </c>
      <c r="C1012" s="36" t="s">
        <v>1163</v>
      </c>
      <c r="D1012" s="13" t="s">
        <v>3914</v>
      </c>
      <c r="E1012" s="13"/>
      <c r="F1012" s="13" t="s">
        <v>3915</v>
      </c>
      <c r="G1012" s="13" t="s">
        <v>3916</v>
      </c>
      <c r="H1012" s="13" t="s">
        <v>3917</v>
      </c>
      <c r="I1012" s="15"/>
      <c r="J1012" s="15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ht="22.5" customHeight="1">
      <c r="A1013" s="35">
        <v>1011.0</v>
      </c>
      <c r="B1013" s="20">
        <v>42.0</v>
      </c>
      <c r="C1013" s="36" t="s">
        <v>1168</v>
      </c>
      <c r="D1013" s="13" t="s">
        <v>3918</v>
      </c>
      <c r="E1013" s="13" t="s">
        <v>3919</v>
      </c>
      <c r="F1013" s="13" t="s">
        <v>3920</v>
      </c>
      <c r="G1013" s="13" t="s">
        <v>3921</v>
      </c>
      <c r="H1013" s="13" t="s">
        <v>3922</v>
      </c>
      <c r="I1013" s="14" t="s">
        <v>18</v>
      </c>
      <c r="J1013" s="15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ht="22.5" customHeight="1">
      <c r="A1014" s="35">
        <v>1012.0</v>
      </c>
      <c r="B1014" s="20">
        <v>42.0</v>
      </c>
      <c r="C1014" s="36" t="s">
        <v>1168</v>
      </c>
      <c r="D1014" s="13" t="s">
        <v>1265</v>
      </c>
      <c r="E1014" s="13" t="s">
        <v>1266</v>
      </c>
      <c r="F1014" s="13" t="s">
        <v>1267</v>
      </c>
      <c r="G1014" s="13" t="s">
        <v>1268</v>
      </c>
      <c r="H1014" s="13" t="s">
        <v>1269</v>
      </c>
      <c r="I1014" s="15"/>
      <c r="J1014" s="15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ht="22.5" hidden="1" customHeight="1">
      <c r="A1015" s="35">
        <v>1013.0</v>
      </c>
      <c r="B1015" s="20">
        <v>42.0</v>
      </c>
      <c r="C1015" s="36" t="s">
        <v>1163</v>
      </c>
      <c r="D1015" s="13" t="s">
        <v>3923</v>
      </c>
      <c r="E1015" s="13" t="s">
        <v>3924</v>
      </c>
      <c r="F1015" s="13" t="s">
        <v>947</v>
      </c>
      <c r="G1015" s="13" t="s">
        <v>948</v>
      </c>
      <c r="H1015" s="13" t="s">
        <v>3925</v>
      </c>
      <c r="I1015" s="14" t="s">
        <v>18</v>
      </c>
      <c r="J1015" s="15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ht="22.5" customHeight="1">
      <c r="A1016" s="35">
        <v>1014.0</v>
      </c>
      <c r="B1016" s="20">
        <v>42.0</v>
      </c>
      <c r="C1016" s="36" t="s">
        <v>1168</v>
      </c>
      <c r="D1016" s="13" t="s">
        <v>1826</v>
      </c>
      <c r="E1016" s="13" t="s">
        <v>1777</v>
      </c>
      <c r="F1016" s="13" t="s">
        <v>1827</v>
      </c>
      <c r="G1016" s="13" t="s">
        <v>1828</v>
      </c>
      <c r="H1016" s="13" t="s">
        <v>1780</v>
      </c>
      <c r="I1016" s="15"/>
      <c r="J1016" s="15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ht="22.5" customHeight="1">
      <c r="A1017" s="35">
        <v>1015.0</v>
      </c>
      <c r="B1017" s="20">
        <v>42.0</v>
      </c>
      <c r="C1017" s="36" t="s">
        <v>1168</v>
      </c>
      <c r="D1017" s="13" t="s">
        <v>3926</v>
      </c>
      <c r="E1017" s="13" t="s">
        <v>3927</v>
      </c>
      <c r="F1017" s="13" t="s">
        <v>2833</v>
      </c>
      <c r="G1017" s="13" t="s">
        <v>2834</v>
      </c>
      <c r="H1017" s="13" t="s">
        <v>3928</v>
      </c>
      <c r="I1017" s="14" t="s">
        <v>18</v>
      </c>
      <c r="J1017" s="15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ht="22.5" customHeight="1">
      <c r="A1018" s="35">
        <v>1016.0</v>
      </c>
      <c r="B1018" s="20">
        <v>42.0</v>
      </c>
      <c r="C1018" s="36" t="s">
        <v>1168</v>
      </c>
      <c r="D1018" s="13" t="s">
        <v>1279</v>
      </c>
      <c r="E1018" s="13" t="s">
        <v>3929</v>
      </c>
      <c r="F1018" s="13" t="s">
        <v>1281</v>
      </c>
      <c r="G1018" s="13" t="s">
        <v>1282</v>
      </c>
      <c r="H1018" s="13" t="s">
        <v>1283</v>
      </c>
      <c r="I1018" s="15"/>
      <c r="J1018" s="15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ht="22.5" customHeight="1">
      <c r="A1019" s="35">
        <v>1017.0</v>
      </c>
      <c r="B1019" s="20">
        <v>42.0</v>
      </c>
      <c r="C1019" s="36" t="s">
        <v>1168</v>
      </c>
      <c r="D1019" s="13" t="s">
        <v>1882</v>
      </c>
      <c r="E1019" s="13" t="s">
        <v>1883</v>
      </c>
      <c r="F1019" s="13" t="s">
        <v>1884</v>
      </c>
      <c r="G1019" s="13" t="s">
        <v>1885</v>
      </c>
      <c r="H1019" s="13" t="s">
        <v>1886</v>
      </c>
      <c r="I1019" s="15"/>
      <c r="J1019" s="15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ht="22.5" hidden="1" customHeight="1">
      <c r="A1020" s="35">
        <v>1018.0</v>
      </c>
      <c r="B1020" s="20">
        <v>42.0</v>
      </c>
      <c r="C1020" s="36" t="s">
        <v>1163</v>
      </c>
      <c r="D1020" s="13" t="s">
        <v>1887</v>
      </c>
      <c r="E1020" s="13" t="s">
        <v>3930</v>
      </c>
      <c r="F1020" s="13" t="s">
        <v>1790</v>
      </c>
      <c r="G1020" s="13" t="s">
        <v>1791</v>
      </c>
      <c r="H1020" s="13" t="s">
        <v>1889</v>
      </c>
      <c r="I1020" s="15"/>
      <c r="J1020" s="15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ht="22.5" hidden="1" customHeight="1">
      <c r="A1021" s="35">
        <v>1019.0</v>
      </c>
      <c r="B1021" s="20">
        <v>42.0</v>
      </c>
      <c r="C1021" s="36" t="s">
        <v>1163</v>
      </c>
      <c r="D1021" s="13" t="s">
        <v>3931</v>
      </c>
      <c r="E1021" s="13" t="s">
        <v>3932</v>
      </c>
      <c r="F1021" s="13" t="s">
        <v>3933</v>
      </c>
      <c r="G1021" s="13" t="s">
        <v>3934</v>
      </c>
      <c r="H1021" s="13" t="s">
        <v>3935</v>
      </c>
      <c r="I1021" s="15"/>
      <c r="J1021" s="15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ht="22.5" customHeight="1">
      <c r="A1022" s="35">
        <v>1020.0</v>
      </c>
      <c r="B1022" s="20">
        <v>41.0</v>
      </c>
      <c r="C1022" s="36" t="s">
        <v>1218</v>
      </c>
      <c r="D1022" s="13" t="s">
        <v>1454</v>
      </c>
      <c r="E1022" s="13" t="s">
        <v>1609</v>
      </c>
      <c r="F1022" s="13" t="s">
        <v>1610</v>
      </c>
      <c r="G1022" s="13" t="s">
        <v>1611</v>
      </c>
      <c r="H1022" s="13" t="s">
        <v>1612</v>
      </c>
      <c r="I1022" s="15"/>
      <c r="J1022" s="15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ht="22.5" customHeight="1">
      <c r="A1023" s="35">
        <v>1021.0</v>
      </c>
      <c r="B1023" s="20">
        <v>41.0</v>
      </c>
      <c r="C1023" s="36" t="s">
        <v>1168</v>
      </c>
      <c r="D1023" s="13" t="s">
        <v>3936</v>
      </c>
      <c r="E1023" s="13" t="s">
        <v>3937</v>
      </c>
      <c r="F1023" s="13" t="s">
        <v>3938</v>
      </c>
      <c r="G1023" s="13" t="s">
        <v>3939</v>
      </c>
      <c r="H1023" s="13" t="s">
        <v>3940</v>
      </c>
      <c r="I1023" s="14" t="s">
        <v>18</v>
      </c>
      <c r="J1023" s="15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ht="22.5" customHeight="1">
      <c r="A1024" s="35">
        <v>1022.0</v>
      </c>
      <c r="B1024" s="20">
        <v>41.0</v>
      </c>
      <c r="C1024" s="36" t="s">
        <v>1168</v>
      </c>
      <c r="D1024" s="13" t="s">
        <v>3941</v>
      </c>
      <c r="E1024" s="13" t="s">
        <v>3427</v>
      </c>
      <c r="F1024" s="13" t="s">
        <v>3942</v>
      </c>
      <c r="G1024" s="13" t="s">
        <v>3943</v>
      </c>
      <c r="H1024" s="13" t="s">
        <v>3430</v>
      </c>
      <c r="I1024" s="14" t="s">
        <v>18</v>
      </c>
      <c r="J1024" s="15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ht="22.5" customHeight="1">
      <c r="A1025" s="35">
        <v>1023.0</v>
      </c>
      <c r="B1025" s="20">
        <v>41.0</v>
      </c>
      <c r="C1025" s="36" t="s">
        <v>1168</v>
      </c>
      <c r="D1025" s="13" t="s">
        <v>2269</v>
      </c>
      <c r="E1025" s="13" t="s">
        <v>2270</v>
      </c>
      <c r="F1025" s="13" t="s">
        <v>2271</v>
      </c>
      <c r="G1025" s="13" t="s">
        <v>2272</v>
      </c>
      <c r="H1025" s="13" t="s">
        <v>2273</v>
      </c>
      <c r="I1025" s="15"/>
      <c r="J1025" s="15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ht="22.5" hidden="1" customHeight="1">
      <c r="A1026" s="35">
        <v>1024.0</v>
      </c>
      <c r="B1026" s="20">
        <v>41.0</v>
      </c>
      <c r="C1026" s="36" t="s">
        <v>1163</v>
      </c>
      <c r="D1026" s="13" t="s">
        <v>2398</v>
      </c>
      <c r="E1026" s="13" t="s">
        <v>3944</v>
      </c>
      <c r="F1026" s="13" t="s">
        <v>2400</v>
      </c>
      <c r="G1026" s="13" t="s">
        <v>2401</v>
      </c>
      <c r="H1026" s="13" t="s">
        <v>2402</v>
      </c>
      <c r="I1026" s="15"/>
      <c r="J1026" s="15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 ht="22.5" hidden="1" customHeight="1">
      <c r="A1027" s="35">
        <v>1025.0</v>
      </c>
      <c r="B1027" s="20">
        <v>41.0</v>
      </c>
      <c r="C1027" s="36" t="s">
        <v>1163</v>
      </c>
      <c r="D1027" s="13" t="s">
        <v>3945</v>
      </c>
      <c r="E1027" s="13" t="s">
        <v>3946</v>
      </c>
      <c r="F1027" s="13" t="s">
        <v>3947</v>
      </c>
      <c r="G1027" s="13" t="s">
        <v>3948</v>
      </c>
      <c r="H1027" s="13" t="s">
        <v>3949</v>
      </c>
      <c r="I1027" s="14" t="s">
        <v>18</v>
      </c>
      <c r="J1027" s="15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 ht="22.5" hidden="1" customHeight="1">
      <c r="A1028" s="35">
        <v>1026.0</v>
      </c>
      <c r="B1028" s="20">
        <v>41.0</v>
      </c>
      <c r="C1028" s="36" t="s">
        <v>1163</v>
      </c>
      <c r="D1028" s="13" t="s">
        <v>3950</v>
      </c>
      <c r="E1028" s="13" t="s">
        <v>3951</v>
      </c>
      <c r="F1028" s="13" t="s">
        <v>3952</v>
      </c>
      <c r="G1028" s="13" t="s">
        <v>3953</v>
      </c>
      <c r="H1028" s="13" t="s">
        <v>3954</v>
      </c>
      <c r="I1028" s="14" t="s">
        <v>18</v>
      </c>
      <c r="J1028" s="15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 ht="22.5" customHeight="1">
      <c r="A1029" s="35">
        <v>1027.0</v>
      </c>
      <c r="B1029" s="20">
        <v>41.0</v>
      </c>
      <c r="C1029" s="36" t="s">
        <v>1168</v>
      </c>
      <c r="D1029" s="13" t="s">
        <v>1725</v>
      </c>
      <c r="E1029" s="13" t="s">
        <v>3263</v>
      </c>
      <c r="F1029" s="13" t="s">
        <v>1726</v>
      </c>
      <c r="G1029" s="13" t="s">
        <v>1727</v>
      </c>
      <c r="H1029" s="13" t="s">
        <v>1383</v>
      </c>
      <c r="I1029" s="15"/>
      <c r="J1029" s="15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 ht="22.5" hidden="1" customHeight="1">
      <c r="A1030" s="35">
        <v>1028.0</v>
      </c>
      <c r="B1030" s="20">
        <v>41.0</v>
      </c>
      <c r="C1030" s="36" t="s">
        <v>1163</v>
      </c>
      <c r="D1030" s="13" t="s">
        <v>3955</v>
      </c>
      <c r="E1030" s="13" t="s">
        <v>3440</v>
      </c>
      <c r="F1030" s="13" t="s">
        <v>3956</v>
      </c>
      <c r="G1030" s="13" t="s">
        <v>3957</v>
      </c>
      <c r="H1030" s="13" t="s">
        <v>3443</v>
      </c>
      <c r="I1030" s="14" t="s">
        <v>18</v>
      </c>
      <c r="J1030" s="15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 ht="22.5" hidden="1" customHeight="1">
      <c r="A1031" s="35">
        <v>1029.0</v>
      </c>
      <c r="B1031" s="20">
        <v>41.0</v>
      </c>
      <c r="C1031" s="36" t="s">
        <v>1163</v>
      </c>
      <c r="D1031" s="13" t="s">
        <v>3958</v>
      </c>
      <c r="E1031" s="13" t="s">
        <v>3959</v>
      </c>
      <c r="F1031" s="13" t="s">
        <v>3960</v>
      </c>
      <c r="G1031" s="13" t="s">
        <v>3961</v>
      </c>
      <c r="H1031" s="13" t="s">
        <v>3962</v>
      </c>
      <c r="I1031" s="14" t="s">
        <v>18</v>
      </c>
      <c r="J1031" s="15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 ht="22.5" customHeight="1">
      <c r="A1032" s="35">
        <v>1030.0</v>
      </c>
      <c r="B1032" s="20">
        <v>41.0</v>
      </c>
      <c r="C1032" s="36" t="s">
        <v>1168</v>
      </c>
      <c r="D1032" s="13" t="s">
        <v>3963</v>
      </c>
      <c r="E1032" s="13" t="s">
        <v>3964</v>
      </c>
      <c r="F1032" s="13" t="s">
        <v>3423</v>
      </c>
      <c r="G1032" s="13" t="s">
        <v>3965</v>
      </c>
      <c r="H1032" s="13" t="s">
        <v>3966</v>
      </c>
      <c r="I1032" s="15"/>
      <c r="J1032" s="15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 ht="22.5" customHeight="1">
      <c r="A1033" s="35">
        <v>1031.0</v>
      </c>
      <c r="B1033" s="20">
        <v>41.0</v>
      </c>
      <c r="C1033" s="36" t="s">
        <v>1168</v>
      </c>
      <c r="D1033" s="13" t="s">
        <v>3967</v>
      </c>
      <c r="E1033" s="13" t="s">
        <v>2291</v>
      </c>
      <c r="F1033" s="13" t="s">
        <v>2292</v>
      </c>
      <c r="G1033" s="13" t="s">
        <v>2293</v>
      </c>
      <c r="H1033" s="13" t="s">
        <v>2294</v>
      </c>
      <c r="I1033" s="15"/>
      <c r="J1033" s="15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 ht="22.5" hidden="1" customHeight="1">
      <c r="A1034" s="35">
        <v>1032.0</v>
      </c>
      <c r="B1034" s="20">
        <v>41.0</v>
      </c>
      <c r="C1034" s="36" t="s">
        <v>1163</v>
      </c>
      <c r="D1034" s="13" t="s">
        <v>3968</v>
      </c>
      <c r="E1034" s="13" t="s">
        <v>2057</v>
      </c>
      <c r="F1034" s="13" t="s">
        <v>3969</v>
      </c>
      <c r="G1034" s="13" t="s">
        <v>3970</v>
      </c>
      <c r="H1034" s="13" t="s">
        <v>3971</v>
      </c>
      <c r="I1034" s="14" t="s">
        <v>18</v>
      </c>
      <c r="J1034" s="15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 ht="22.5" customHeight="1">
      <c r="A1035" s="35">
        <v>1033.0</v>
      </c>
      <c r="B1035" s="20">
        <v>41.0</v>
      </c>
      <c r="C1035" s="36" t="s">
        <v>1168</v>
      </c>
      <c r="D1035" s="13" t="s">
        <v>3972</v>
      </c>
      <c r="E1035" s="13" t="s">
        <v>3838</v>
      </c>
      <c r="F1035" s="13" t="s">
        <v>3839</v>
      </c>
      <c r="G1035" s="13" t="s">
        <v>3840</v>
      </c>
      <c r="H1035" s="13" t="s">
        <v>3841</v>
      </c>
      <c r="I1035" s="14" t="s">
        <v>18</v>
      </c>
      <c r="J1035" s="15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 ht="22.5" customHeight="1">
      <c r="A1036" s="35">
        <v>1034.0</v>
      </c>
      <c r="B1036" s="20">
        <v>41.0</v>
      </c>
      <c r="C1036" s="36" t="s">
        <v>1168</v>
      </c>
      <c r="D1036" s="13" t="s">
        <v>2028</v>
      </c>
      <c r="E1036" s="13" t="s">
        <v>2029</v>
      </c>
      <c r="F1036" s="13" t="s">
        <v>2030</v>
      </c>
      <c r="G1036" s="13" t="s">
        <v>2901</v>
      </c>
      <c r="H1036" s="13" t="s">
        <v>2032</v>
      </c>
      <c r="I1036" s="15"/>
      <c r="J1036" s="15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 ht="22.5" customHeight="1">
      <c r="A1037" s="35">
        <v>1035.0</v>
      </c>
      <c r="B1037" s="20">
        <v>41.0</v>
      </c>
      <c r="C1037" s="36" t="s">
        <v>1168</v>
      </c>
      <c r="D1037" s="13" t="s">
        <v>3926</v>
      </c>
      <c r="E1037" s="13" t="s">
        <v>3973</v>
      </c>
      <c r="F1037" s="13" t="s">
        <v>2833</v>
      </c>
      <c r="G1037" s="13" t="s">
        <v>2834</v>
      </c>
      <c r="H1037" s="13" t="s">
        <v>3928</v>
      </c>
      <c r="I1037" s="15"/>
      <c r="J1037" s="15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 ht="22.5" hidden="1" customHeight="1">
      <c r="A1038" s="35">
        <v>1036.0</v>
      </c>
      <c r="B1038" s="20">
        <v>41.0</v>
      </c>
      <c r="C1038" s="36" t="s">
        <v>1163</v>
      </c>
      <c r="D1038" s="13" t="s">
        <v>3974</v>
      </c>
      <c r="E1038" s="13" t="s">
        <v>3975</v>
      </c>
      <c r="F1038" s="13" t="s">
        <v>3976</v>
      </c>
      <c r="G1038" s="13" t="s">
        <v>3977</v>
      </c>
      <c r="H1038" s="13" t="s">
        <v>3978</v>
      </c>
      <c r="I1038" s="15"/>
      <c r="J1038" s="15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 ht="22.5" hidden="1" customHeight="1">
      <c r="A1039" s="35">
        <v>1037.0</v>
      </c>
      <c r="B1039" s="20">
        <v>41.0</v>
      </c>
      <c r="C1039" s="36" t="s">
        <v>1163</v>
      </c>
      <c r="D1039" s="13" t="s">
        <v>3979</v>
      </c>
      <c r="E1039" s="13" t="s">
        <v>3980</v>
      </c>
      <c r="F1039" s="13" t="s">
        <v>3981</v>
      </c>
      <c r="G1039" s="13" t="s">
        <v>3982</v>
      </c>
      <c r="H1039" s="13" t="s">
        <v>3983</v>
      </c>
      <c r="I1039" s="15"/>
      <c r="J1039" s="15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 ht="22.5" hidden="1" customHeight="1">
      <c r="A1040" s="35">
        <v>1038.0</v>
      </c>
      <c r="B1040" s="20">
        <v>41.0</v>
      </c>
      <c r="C1040" s="36" t="s">
        <v>1163</v>
      </c>
      <c r="D1040" s="13" t="s">
        <v>3984</v>
      </c>
      <c r="E1040" s="13" t="s">
        <v>3985</v>
      </c>
      <c r="F1040" s="13" t="s">
        <v>3986</v>
      </c>
      <c r="G1040" s="13" t="s">
        <v>3987</v>
      </c>
      <c r="H1040" s="13" t="s">
        <v>2258</v>
      </c>
      <c r="I1040" s="14" t="s">
        <v>18</v>
      </c>
      <c r="J1040" s="15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 ht="22.5" hidden="1" customHeight="1">
      <c r="A1041" s="35">
        <v>1039.0</v>
      </c>
      <c r="B1041" s="20">
        <v>40.0</v>
      </c>
      <c r="C1041" s="36" t="s">
        <v>1163</v>
      </c>
      <c r="D1041" s="13" t="s">
        <v>2082</v>
      </c>
      <c r="E1041" s="13" t="s">
        <v>3988</v>
      </c>
      <c r="F1041" s="13" t="s">
        <v>2084</v>
      </c>
      <c r="G1041" s="13" t="s">
        <v>2085</v>
      </c>
      <c r="H1041" s="13" t="s">
        <v>2086</v>
      </c>
      <c r="I1041" s="15"/>
      <c r="J1041" s="15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 ht="22.5" hidden="1" customHeight="1">
      <c r="A1042" s="35">
        <v>1040.0</v>
      </c>
      <c r="B1042" s="20">
        <v>40.0</v>
      </c>
      <c r="C1042" s="36" t="s">
        <v>1163</v>
      </c>
      <c r="D1042" s="13" t="s">
        <v>3989</v>
      </c>
      <c r="E1042" s="13" t="s">
        <v>3990</v>
      </c>
      <c r="F1042" s="13" t="s">
        <v>3991</v>
      </c>
      <c r="G1042" s="13" t="s">
        <v>3992</v>
      </c>
      <c r="H1042" s="13" t="s">
        <v>3891</v>
      </c>
      <c r="I1042" s="15"/>
      <c r="J1042" s="15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 ht="22.5" hidden="1" customHeight="1">
      <c r="A1043" s="35">
        <v>1041.0</v>
      </c>
      <c r="B1043" s="20">
        <v>40.0</v>
      </c>
      <c r="C1043" s="36" t="s">
        <v>1163</v>
      </c>
      <c r="D1043" s="13" t="s">
        <v>3993</v>
      </c>
      <c r="E1043" s="13" t="s">
        <v>3994</v>
      </c>
      <c r="F1043" s="13" t="s">
        <v>3893</v>
      </c>
      <c r="G1043" s="13" t="s">
        <v>3894</v>
      </c>
      <c r="H1043" s="13" t="s">
        <v>3895</v>
      </c>
      <c r="I1043" s="15"/>
      <c r="J1043" s="15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 ht="22.5" customHeight="1">
      <c r="A1044" s="35">
        <v>1042.0</v>
      </c>
      <c r="B1044" s="20">
        <v>40.0</v>
      </c>
      <c r="C1044" s="36" t="s">
        <v>1168</v>
      </c>
      <c r="D1044" s="13" t="s">
        <v>1444</v>
      </c>
      <c r="E1044" s="13" t="s">
        <v>1445</v>
      </c>
      <c r="F1044" s="13" t="s">
        <v>1446</v>
      </c>
      <c r="G1044" s="13" t="s">
        <v>1447</v>
      </c>
      <c r="H1044" s="13" t="s">
        <v>1448</v>
      </c>
      <c r="I1044" s="15"/>
      <c r="J1044" s="15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 ht="22.5" customHeight="1">
      <c r="A1045" s="35">
        <v>1043.0</v>
      </c>
      <c r="B1045" s="20">
        <v>40.0</v>
      </c>
      <c r="C1045" s="36" t="s">
        <v>1168</v>
      </c>
      <c r="D1045" s="13" t="s">
        <v>2264</v>
      </c>
      <c r="E1045" s="13" t="s">
        <v>2265</v>
      </c>
      <c r="F1045" s="13" t="s">
        <v>2266</v>
      </c>
      <c r="G1045" s="13" t="s">
        <v>2267</v>
      </c>
      <c r="H1045" s="13" t="s">
        <v>2268</v>
      </c>
      <c r="I1045" s="15"/>
      <c r="J1045" s="15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 ht="22.5" customHeight="1">
      <c r="A1046" s="35">
        <v>1044.0</v>
      </c>
      <c r="B1046" s="20">
        <v>40.0</v>
      </c>
      <c r="C1046" s="36" t="s">
        <v>1168</v>
      </c>
      <c r="D1046" s="13" t="s">
        <v>3426</v>
      </c>
      <c r="E1046" s="13" t="s">
        <v>3995</v>
      </c>
      <c r="F1046" s="13" t="s">
        <v>3428</v>
      </c>
      <c r="G1046" s="13" t="s">
        <v>3429</v>
      </c>
      <c r="H1046" s="13" t="s">
        <v>3430</v>
      </c>
      <c r="I1046" s="15"/>
      <c r="J1046" s="15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 ht="22.5" hidden="1" customHeight="1">
      <c r="A1047" s="35">
        <v>1045.0</v>
      </c>
      <c r="B1047" s="20">
        <v>40.0</v>
      </c>
      <c r="C1047" s="36" t="s">
        <v>1163</v>
      </c>
      <c r="D1047" s="13" t="s">
        <v>3996</v>
      </c>
      <c r="E1047" s="13" t="s">
        <v>3997</v>
      </c>
      <c r="F1047" s="13" t="s">
        <v>3998</v>
      </c>
      <c r="G1047" s="13" t="s">
        <v>3999</v>
      </c>
      <c r="H1047" s="13" t="s">
        <v>3900</v>
      </c>
      <c r="I1047" s="15"/>
      <c r="J1047" s="15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 ht="22.5" hidden="1" customHeight="1">
      <c r="A1048" s="35">
        <v>1046.0</v>
      </c>
      <c r="B1048" s="20">
        <v>40.0</v>
      </c>
      <c r="C1048" s="36" t="s">
        <v>1163</v>
      </c>
      <c r="D1048" s="13" t="s">
        <v>4000</v>
      </c>
      <c r="E1048" s="13" t="s">
        <v>4001</v>
      </c>
      <c r="F1048" s="13" t="s">
        <v>3905</v>
      </c>
      <c r="G1048" s="13" t="s">
        <v>3906</v>
      </c>
      <c r="H1048" s="13" t="s">
        <v>3907</v>
      </c>
      <c r="I1048" s="15"/>
      <c r="J1048" s="15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 ht="22.5" hidden="1" customHeight="1">
      <c r="A1049" s="35">
        <v>1047.0</v>
      </c>
      <c r="B1049" s="20">
        <v>40.0</v>
      </c>
      <c r="C1049" s="36" t="s">
        <v>1163</v>
      </c>
      <c r="D1049" s="13" t="s">
        <v>4002</v>
      </c>
      <c r="E1049" s="13" t="s">
        <v>4003</v>
      </c>
      <c r="F1049" s="13" t="s">
        <v>4004</v>
      </c>
      <c r="G1049" s="13" t="s">
        <v>4005</v>
      </c>
      <c r="H1049" s="13" t="s">
        <v>4006</v>
      </c>
      <c r="I1049" s="15"/>
      <c r="J1049" s="15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 ht="22.5" hidden="1" customHeight="1">
      <c r="A1050" s="35">
        <v>1048.0</v>
      </c>
      <c r="B1050" s="20">
        <v>40.0</v>
      </c>
      <c r="C1050" s="36" t="s">
        <v>1163</v>
      </c>
      <c r="D1050" s="13" t="s">
        <v>4007</v>
      </c>
      <c r="E1050" s="13" t="s">
        <v>4008</v>
      </c>
      <c r="F1050" s="13" t="s">
        <v>3915</v>
      </c>
      <c r="G1050" s="13" t="s">
        <v>3916</v>
      </c>
      <c r="H1050" s="13" t="s">
        <v>3917</v>
      </c>
      <c r="I1050" s="15"/>
      <c r="J1050" s="15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 ht="22.5" customHeight="1">
      <c r="A1051" s="35">
        <v>1049.0</v>
      </c>
      <c r="B1051" s="20">
        <v>40.0</v>
      </c>
      <c r="C1051" s="36" t="s">
        <v>1168</v>
      </c>
      <c r="D1051" s="13" t="s">
        <v>2572</v>
      </c>
      <c r="E1051" s="13" t="s">
        <v>2573</v>
      </c>
      <c r="F1051" s="13" t="s">
        <v>1120</v>
      </c>
      <c r="G1051" s="13" t="s">
        <v>1121</v>
      </c>
      <c r="H1051" s="13" t="s">
        <v>2574</v>
      </c>
      <c r="I1051" s="15"/>
      <c r="J1051" s="15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 ht="22.5" hidden="1" customHeight="1">
      <c r="A1052" s="35">
        <v>1050.0</v>
      </c>
      <c r="B1052" s="20">
        <v>40.0</v>
      </c>
      <c r="C1052" s="36" t="s">
        <v>1163</v>
      </c>
      <c r="D1052" s="13" t="s">
        <v>1969</v>
      </c>
      <c r="E1052" s="13" t="s">
        <v>4009</v>
      </c>
      <c r="F1052" s="13" t="s">
        <v>1971</v>
      </c>
      <c r="G1052" s="13" t="s">
        <v>1972</v>
      </c>
      <c r="H1052" s="13" t="s">
        <v>1973</v>
      </c>
      <c r="I1052" s="15"/>
      <c r="J1052" s="15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 ht="22.5" customHeight="1">
      <c r="A1053" s="35">
        <v>1051.0</v>
      </c>
      <c r="B1053" s="20">
        <v>40.0</v>
      </c>
      <c r="C1053" s="36" t="s">
        <v>1168</v>
      </c>
      <c r="D1053" s="13" t="s">
        <v>4010</v>
      </c>
      <c r="E1053" s="13" t="s">
        <v>4011</v>
      </c>
      <c r="F1053" s="13" t="s">
        <v>4012</v>
      </c>
      <c r="G1053" s="13" t="s">
        <v>4013</v>
      </c>
      <c r="H1053" s="13" t="s">
        <v>1197</v>
      </c>
      <c r="I1053" s="15"/>
      <c r="J1053" s="15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 ht="22.5" customHeight="1">
      <c r="A1054" s="35">
        <v>1052.0</v>
      </c>
      <c r="B1054" s="20">
        <v>40.0</v>
      </c>
      <c r="C1054" s="36" t="s">
        <v>1168</v>
      </c>
      <c r="D1054" s="13" t="s">
        <v>4014</v>
      </c>
      <c r="E1054" s="13" t="s">
        <v>4015</v>
      </c>
      <c r="F1054" s="13" t="s">
        <v>2570</v>
      </c>
      <c r="G1054" s="13" t="s">
        <v>2571</v>
      </c>
      <c r="H1054" s="13" t="s">
        <v>4016</v>
      </c>
      <c r="I1054" s="15"/>
      <c r="J1054" s="15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 ht="22.5" customHeight="1">
      <c r="A1055" s="35">
        <v>1053.0</v>
      </c>
      <c r="B1055" s="20">
        <v>40.0</v>
      </c>
      <c r="C1055" s="36" t="s">
        <v>1168</v>
      </c>
      <c r="D1055" s="13" t="s">
        <v>2404</v>
      </c>
      <c r="E1055" s="13" t="s">
        <v>2608</v>
      </c>
      <c r="F1055" s="13" t="s">
        <v>2406</v>
      </c>
      <c r="G1055" s="13" t="s">
        <v>2407</v>
      </c>
      <c r="H1055" s="13" t="s">
        <v>1201</v>
      </c>
      <c r="I1055" s="15"/>
      <c r="J1055" s="15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 ht="22.5" customHeight="1">
      <c r="A1056" s="35">
        <v>1054.0</v>
      </c>
      <c r="B1056" s="20">
        <v>40.0</v>
      </c>
      <c r="C1056" s="36" t="s">
        <v>1168</v>
      </c>
      <c r="D1056" s="13" t="s">
        <v>1265</v>
      </c>
      <c r="E1056" s="13" t="s">
        <v>1266</v>
      </c>
      <c r="F1056" s="13" t="s">
        <v>1267</v>
      </c>
      <c r="G1056" s="13" t="s">
        <v>1268</v>
      </c>
      <c r="H1056" s="13" t="s">
        <v>1269</v>
      </c>
      <c r="I1056" s="15"/>
      <c r="J1056" s="15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 ht="22.5" hidden="1" customHeight="1">
      <c r="A1057" s="35">
        <v>1055.0</v>
      </c>
      <c r="B1057" s="20">
        <v>40.0</v>
      </c>
      <c r="C1057" s="36" t="s">
        <v>1163</v>
      </c>
      <c r="D1057" s="13" t="s">
        <v>4017</v>
      </c>
      <c r="E1057" s="13" t="s">
        <v>4018</v>
      </c>
      <c r="F1057" s="13" t="s">
        <v>4019</v>
      </c>
      <c r="G1057" s="13" t="s">
        <v>4020</v>
      </c>
      <c r="H1057" s="13" t="s">
        <v>4021</v>
      </c>
      <c r="I1057" s="15"/>
      <c r="J1057" s="15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 ht="22.5" hidden="1" customHeight="1">
      <c r="A1058" s="35">
        <v>1056.0</v>
      </c>
      <c r="B1058" s="20">
        <v>40.0</v>
      </c>
      <c r="C1058" s="36" t="s">
        <v>1163</v>
      </c>
      <c r="D1058" s="13" t="s">
        <v>4022</v>
      </c>
      <c r="E1058" s="13" t="s">
        <v>4023</v>
      </c>
      <c r="F1058" s="13" t="s">
        <v>4024</v>
      </c>
      <c r="G1058" s="13" t="s">
        <v>4025</v>
      </c>
      <c r="H1058" s="13" t="s">
        <v>4026</v>
      </c>
      <c r="I1058" s="14" t="s">
        <v>18</v>
      </c>
      <c r="J1058" s="15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 ht="22.5" hidden="1" customHeight="1">
      <c r="A1059" s="35">
        <v>1057.0</v>
      </c>
      <c r="B1059" s="20">
        <v>40.0</v>
      </c>
      <c r="C1059" s="36" t="s">
        <v>1163</v>
      </c>
      <c r="D1059" s="13" t="s">
        <v>1877</v>
      </c>
      <c r="E1059" s="13" t="s">
        <v>4027</v>
      </c>
      <c r="F1059" s="13" t="s">
        <v>1879</v>
      </c>
      <c r="G1059" s="13" t="s">
        <v>3475</v>
      </c>
      <c r="H1059" s="13" t="s">
        <v>1881</v>
      </c>
      <c r="I1059" s="15"/>
      <c r="J1059" s="15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 ht="22.5" hidden="1" customHeight="1">
      <c r="A1060" s="35">
        <v>1058.0</v>
      </c>
      <c r="B1060" s="20">
        <v>40.0</v>
      </c>
      <c r="C1060" s="36" t="s">
        <v>1163</v>
      </c>
      <c r="D1060" s="13" t="s">
        <v>3734</v>
      </c>
      <c r="E1060" s="13" t="s">
        <v>3735</v>
      </c>
      <c r="F1060" s="13" t="s">
        <v>3736</v>
      </c>
      <c r="G1060" s="13" t="s">
        <v>3737</v>
      </c>
      <c r="H1060" s="13" t="s">
        <v>3738</v>
      </c>
      <c r="I1060" s="15"/>
      <c r="J1060" s="15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 ht="22.5" hidden="1" customHeight="1">
      <c r="A1061" s="35">
        <v>1059.0</v>
      </c>
      <c r="B1061" s="20">
        <v>40.0</v>
      </c>
      <c r="C1061" s="36" t="s">
        <v>1163</v>
      </c>
      <c r="D1061" s="13" t="s">
        <v>1887</v>
      </c>
      <c r="E1061" s="13" t="s">
        <v>4028</v>
      </c>
      <c r="F1061" s="13" t="s">
        <v>1790</v>
      </c>
      <c r="G1061" s="13" t="s">
        <v>1791</v>
      </c>
      <c r="H1061" s="13" t="s">
        <v>1889</v>
      </c>
      <c r="I1061" s="15"/>
      <c r="J1061" s="15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 ht="22.5" hidden="1" customHeight="1">
      <c r="A1062" s="35">
        <v>1060.0</v>
      </c>
      <c r="B1062" s="20">
        <v>40.0</v>
      </c>
      <c r="C1062" s="36" t="s">
        <v>1163</v>
      </c>
      <c r="D1062" s="13" t="s">
        <v>4029</v>
      </c>
      <c r="E1062" s="13" t="s">
        <v>3932</v>
      </c>
      <c r="F1062" s="13" t="s">
        <v>3933</v>
      </c>
      <c r="G1062" s="13" t="s">
        <v>3934</v>
      </c>
      <c r="H1062" s="13" t="s">
        <v>3935</v>
      </c>
      <c r="I1062" s="15"/>
      <c r="J1062" s="15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 ht="22.5" customHeight="1">
      <c r="A1063" s="35">
        <v>1061.0</v>
      </c>
      <c r="B1063" s="20">
        <v>40.0</v>
      </c>
      <c r="C1063" s="36" t="s">
        <v>1168</v>
      </c>
      <c r="D1063" s="13" t="s">
        <v>2077</v>
      </c>
      <c r="E1063" s="13" t="s">
        <v>4030</v>
      </c>
      <c r="F1063" s="13" t="s">
        <v>2079</v>
      </c>
      <c r="G1063" s="13" t="s">
        <v>2080</v>
      </c>
      <c r="H1063" s="13" t="s">
        <v>2081</v>
      </c>
      <c r="I1063" s="15"/>
      <c r="J1063" s="15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 ht="22.5" hidden="1" customHeight="1">
      <c r="A1064" s="35">
        <v>1062.0</v>
      </c>
      <c r="B1064" s="20">
        <v>40.0</v>
      </c>
      <c r="C1064" s="36" t="s">
        <v>1163</v>
      </c>
      <c r="D1064" s="13" t="s">
        <v>1891</v>
      </c>
      <c r="E1064" s="13" t="s">
        <v>4031</v>
      </c>
      <c r="F1064" s="13" t="s">
        <v>516</v>
      </c>
      <c r="G1064" s="13" t="s">
        <v>517</v>
      </c>
      <c r="H1064" s="13" t="s">
        <v>1893</v>
      </c>
      <c r="I1064" s="15"/>
      <c r="J1064" s="15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 ht="22.5" customHeight="1">
      <c r="A1065" s="35">
        <v>1063.0</v>
      </c>
      <c r="B1065" s="20">
        <v>40.0</v>
      </c>
      <c r="C1065" s="36" t="s">
        <v>1168</v>
      </c>
      <c r="D1065" s="13" t="s">
        <v>2751</v>
      </c>
      <c r="E1065" s="13" t="s">
        <v>4032</v>
      </c>
      <c r="F1065" s="13" t="s">
        <v>1456</v>
      </c>
      <c r="G1065" s="13" t="s">
        <v>1457</v>
      </c>
      <c r="H1065" s="13" t="s">
        <v>2753</v>
      </c>
      <c r="I1065" s="15"/>
      <c r="J1065" s="15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 ht="22.5" customHeight="1">
      <c r="A1066" s="35">
        <v>1064.0</v>
      </c>
      <c r="B1066" s="20">
        <v>39.0</v>
      </c>
      <c r="C1066" s="40" t="s">
        <v>1218</v>
      </c>
      <c r="D1066" s="21" t="s">
        <v>2913</v>
      </c>
      <c r="E1066" s="21" t="s">
        <v>2914</v>
      </c>
      <c r="F1066" s="21" t="s">
        <v>2915</v>
      </c>
      <c r="G1066" s="21" t="s">
        <v>2916</v>
      </c>
      <c r="H1066" s="21" t="s">
        <v>2917</v>
      </c>
      <c r="I1066" s="15"/>
      <c r="J1066" s="15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 ht="22.5" customHeight="1">
      <c r="A1067" s="35">
        <v>1065.0</v>
      </c>
      <c r="B1067" s="20">
        <v>39.0</v>
      </c>
      <c r="C1067" s="40" t="s">
        <v>1168</v>
      </c>
      <c r="D1067" s="21" t="s">
        <v>2871</v>
      </c>
      <c r="E1067" s="21" t="s">
        <v>1445</v>
      </c>
      <c r="F1067" s="21" t="s">
        <v>1840</v>
      </c>
      <c r="G1067" s="21" t="s">
        <v>1841</v>
      </c>
      <c r="H1067" s="21" t="s">
        <v>4033</v>
      </c>
      <c r="I1067" s="15"/>
      <c r="J1067" s="15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 ht="22.5" customHeight="1">
      <c r="A1068" s="35">
        <v>1066.0</v>
      </c>
      <c r="B1068" s="20">
        <v>39.0</v>
      </c>
      <c r="C1068" s="40" t="s">
        <v>1168</v>
      </c>
      <c r="D1068" s="21" t="s">
        <v>4034</v>
      </c>
      <c r="E1068" s="21" t="s">
        <v>4035</v>
      </c>
      <c r="F1068" s="21" t="s">
        <v>3291</v>
      </c>
      <c r="G1068" s="21" t="s">
        <v>3292</v>
      </c>
      <c r="H1068" s="21" t="s">
        <v>4036</v>
      </c>
      <c r="I1068" s="15"/>
      <c r="J1068" s="15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 ht="22.5" hidden="1" customHeight="1">
      <c r="A1069" s="35">
        <v>1067.0</v>
      </c>
      <c r="B1069" s="20">
        <v>39.0</v>
      </c>
      <c r="C1069" s="40" t="s">
        <v>1163</v>
      </c>
      <c r="D1069" s="21" t="s">
        <v>1962</v>
      </c>
      <c r="E1069" s="21" t="s">
        <v>4037</v>
      </c>
      <c r="F1069" s="21" t="s">
        <v>1964</v>
      </c>
      <c r="G1069" s="21" t="s">
        <v>1965</v>
      </c>
      <c r="H1069" s="21" t="s">
        <v>1966</v>
      </c>
      <c r="I1069" s="15"/>
      <c r="J1069" s="15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 ht="22.5" customHeight="1">
      <c r="A1070" s="35">
        <v>1068.0</v>
      </c>
      <c r="B1070" s="20">
        <v>39.0</v>
      </c>
      <c r="C1070" s="40" t="s">
        <v>1168</v>
      </c>
      <c r="D1070" s="21" t="s">
        <v>1555</v>
      </c>
      <c r="E1070" s="21" t="s">
        <v>1556</v>
      </c>
      <c r="F1070" s="21" t="s">
        <v>1557</v>
      </c>
      <c r="G1070" s="21" t="s">
        <v>462</v>
      </c>
      <c r="H1070" s="21" t="s">
        <v>1558</v>
      </c>
      <c r="I1070" s="15"/>
      <c r="J1070" s="15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 ht="22.5" customHeight="1">
      <c r="A1071" s="35">
        <v>1069.0</v>
      </c>
      <c r="B1071" s="20">
        <v>39.0</v>
      </c>
      <c r="C1071" s="40" t="s">
        <v>1168</v>
      </c>
      <c r="D1071" s="21" t="s">
        <v>4038</v>
      </c>
      <c r="E1071" s="21" t="s">
        <v>4039</v>
      </c>
      <c r="F1071" s="21" t="s">
        <v>4040</v>
      </c>
      <c r="G1071" s="21" t="s">
        <v>4041</v>
      </c>
      <c r="H1071" s="21" t="s">
        <v>4042</v>
      </c>
      <c r="I1071" s="14" t="s">
        <v>18</v>
      </c>
      <c r="J1071" s="15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 ht="22.5" customHeight="1">
      <c r="A1072" s="35">
        <v>1070.0</v>
      </c>
      <c r="B1072" s="20">
        <v>39.0</v>
      </c>
      <c r="C1072" s="40" t="s">
        <v>1168</v>
      </c>
      <c r="D1072" s="21" t="s">
        <v>3926</v>
      </c>
      <c r="E1072" s="21" t="s">
        <v>3973</v>
      </c>
      <c r="F1072" s="21" t="s">
        <v>2833</v>
      </c>
      <c r="G1072" s="21" t="s">
        <v>2834</v>
      </c>
      <c r="H1072" s="21" t="s">
        <v>3928</v>
      </c>
      <c r="I1072" s="15"/>
      <c r="J1072" s="15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 ht="22.5" hidden="1" customHeight="1">
      <c r="A1073" s="35">
        <v>1071.0</v>
      </c>
      <c r="B1073" s="20">
        <v>39.0</v>
      </c>
      <c r="C1073" s="40" t="s">
        <v>1163</v>
      </c>
      <c r="D1073" s="21" t="s">
        <v>4043</v>
      </c>
      <c r="E1073" s="21" t="s">
        <v>4044</v>
      </c>
      <c r="F1073" s="21" t="s">
        <v>4045</v>
      </c>
      <c r="G1073" s="21" t="s">
        <v>4046</v>
      </c>
      <c r="H1073" s="21" t="s">
        <v>2420</v>
      </c>
      <c r="I1073" s="15"/>
      <c r="J1073" s="15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 ht="22.5" hidden="1" customHeight="1">
      <c r="A1074" s="35">
        <v>1072.0</v>
      </c>
      <c r="B1074" s="20">
        <v>39.0</v>
      </c>
      <c r="C1074" s="40" t="s">
        <v>1163</v>
      </c>
      <c r="D1074" s="21" t="s">
        <v>4047</v>
      </c>
      <c r="E1074" s="21" t="s">
        <v>4048</v>
      </c>
      <c r="F1074" s="21" t="s">
        <v>4049</v>
      </c>
      <c r="G1074" s="21" t="s">
        <v>4050</v>
      </c>
      <c r="H1074" s="21" t="s">
        <v>4051</v>
      </c>
      <c r="I1074" s="15"/>
      <c r="J1074" s="15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 ht="22.5" hidden="1" customHeight="1">
      <c r="A1075" s="35">
        <v>1073.0</v>
      </c>
      <c r="B1075" s="20">
        <v>39.0</v>
      </c>
      <c r="C1075" s="40" t="s">
        <v>1163</v>
      </c>
      <c r="D1075" s="21" t="s">
        <v>4052</v>
      </c>
      <c r="E1075" s="21" t="s">
        <v>4053</v>
      </c>
      <c r="F1075" s="21" t="s">
        <v>4054</v>
      </c>
      <c r="G1075" s="21" t="s">
        <v>4055</v>
      </c>
      <c r="H1075" s="21" t="s">
        <v>4056</v>
      </c>
      <c r="I1075" s="14" t="s">
        <v>18</v>
      </c>
      <c r="J1075" s="15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 ht="22.5" hidden="1" customHeight="1">
      <c r="A1076" s="35">
        <v>1074.0</v>
      </c>
      <c r="B1076" s="20">
        <v>39.0</v>
      </c>
      <c r="C1076" s="40" t="s">
        <v>1163</v>
      </c>
      <c r="D1076" s="21" t="s">
        <v>4057</v>
      </c>
      <c r="E1076" s="21" t="s">
        <v>4058</v>
      </c>
      <c r="F1076" s="21" t="s">
        <v>4059</v>
      </c>
      <c r="G1076" s="21" t="s">
        <v>4060</v>
      </c>
      <c r="H1076" s="21" t="s">
        <v>4061</v>
      </c>
      <c r="I1076" s="15"/>
      <c r="J1076" s="15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 ht="22.5" customHeight="1">
      <c r="A1077" s="35">
        <v>1075.0</v>
      </c>
      <c r="B1077" s="20">
        <v>39.0</v>
      </c>
      <c r="C1077" s="40" t="s">
        <v>1168</v>
      </c>
      <c r="D1077" s="21" t="s">
        <v>1744</v>
      </c>
      <c r="E1077" s="21" t="s">
        <v>3012</v>
      </c>
      <c r="F1077" s="21" t="s">
        <v>1745</v>
      </c>
      <c r="G1077" s="21" t="s">
        <v>1746</v>
      </c>
      <c r="H1077" s="21" t="s">
        <v>1425</v>
      </c>
      <c r="I1077" s="15"/>
      <c r="J1077" s="15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 ht="22.5" customHeight="1">
      <c r="A1078" s="35">
        <v>1076.0</v>
      </c>
      <c r="B1078" s="20">
        <v>39.0</v>
      </c>
      <c r="C1078" s="40" t="s">
        <v>1168</v>
      </c>
      <c r="D1078" s="21" t="s">
        <v>4062</v>
      </c>
      <c r="E1078" s="21" t="s">
        <v>4063</v>
      </c>
      <c r="F1078" s="21" t="s">
        <v>4064</v>
      </c>
      <c r="G1078" s="21" t="s">
        <v>4065</v>
      </c>
      <c r="H1078" s="21" t="s">
        <v>4066</v>
      </c>
      <c r="I1078" s="15"/>
      <c r="J1078" s="15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 ht="22.5" customHeight="1">
      <c r="A1079" s="35">
        <v>1077.0</v>
      </c>
      <c r="B1079" s="20">
        <v>39.0</v>
      </c>
      <c r="C1079" s="40" t="s">
        <v>1168</v>
      </c>
      <c r="D1079" s="21" t="s">
        <v>4067</v>
      </c>
      <c r="E1079" s="21" t="s">
        <v>4032</v>
      </c>
      <c r="F1079" s="21" t="s">
        <v>4068</v>
      </c>
      <c r="G1079" s="21" t="s">
        <v>4069</v>
      </c>
      <c r="H1079" s="21" t="s">
        <v>2753</v>
      </c>
      <c r="I1079" s="15"/>
      <c r="J1079" s="15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 ht="22.5" customHeight="1">
      <c r="A1080" s="35">
        <v>1078.0</v>
      </c>
      <c r="B1080" s="20">
        <v>39.0</v>
      </c>
      <c r="C1080" s="40" t="s">
        <v>1168</v>
      </c>
      <c r="D1080" s="21" t="s">
        <v>4070</v>
      </c>
      <c r="E1080" s="21" t="s">
        <v>4071</v>
      </c>
      <c r="F1080" s="21" t="s">
        <v>1653</v>
      </c>
      <c r="G1080" s="21" t="s">
        <v>1654</v>
      </c>
      <c r="H1080" s="21" t="s">
        <v>4072</v>
      </c>
      <c r="I1080" s="15"/>
      <c r="J1080" s="15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 ht="22.5" customHeight="1">
      <c r="A1081" s="35">
        <v>1079.0</v>
      </c>
      <c r="B1081" s="20">
        <v>38.0</v>
      </c>
      <c r="C1081" s="40" t="s">
        <v>1218</v>
      </c>
      <c r="D1081" s="21" t="s">
        <v>4073</v>
      </c>
      <c r="E1081" s="21" t="s">
        <v>4074</v>
      </c>
      <c r="F1081" s="21" t="s">
        <v>4075</v>
      </c>
      <c r="G1081" s="21" t="s">
        <v>4076</v>
      </c>
      <c r="H1081" s="21" t="s">
        <v>1595</v>
      </c>
      <c r="I1081" s="14" t="s">
        <v>18</v>
      </c>
      <c r="J1081" s="15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 ht="22.5" customHeight="1">
      <c r="A1082" s="35">
        <v>1080.0</v>
      </c>
      <c r="B1082" s="20">
        <v>38.0</v>
      </c>
      <c r="C1082" s="40" t="s">
        <v>1168</v>
      </c>
      <c r="D1082" s="21" t="s">
        <v>1839</v>
      </c>
      <c r="E1082" s="21" t="s">
        <v>1445</v>
      </c>
      <c r="F1082" s="21" t="s">
        <v>1840</v>
      </c>
      <c r="G1082" s="21" t="s">
        <v>1841</v>
      </c>
      <c r="H1082" s="21" t="s">
        <v>1448</v>
      </c>
      <c r="I1082" s="15"/>
      <c r="J1082" s="15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 ht="22.5" hidden="1" customHeight="1">
      <c r="A1083" s="35">
        <v>1081.0</v>
      </c>
      <c r="B1083" s="20">
        <v>38.0</v>
      </c>
      <c r="C1083" s="40" t="s">
        <v>1163</v>
      </c>
      <c r="D1083" s="21" t="s">
        <v>4077</v>
      </c>
      <c r="E1083" s="21" t="s">
        <v>4078</v>
      </c>
      <c r="F1083" s="21" t="s">
        <v>313</v>
      </c>
      <c r="G1083" s="21" t="s">
        <v>314</v>
      </c>
      <c r="H1083" s="21" t="s">
        <v>4079</v>
      </c>
      <c r="I1083" s="15"/>
      <c r="J1083" s="15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 ht="22.5" hidden="1" customHeight="1">
      <c r="A1084" s="35">
        <v>1082.0</v>
      </c>
      <c r="B1084" s="20">
        <v>38.0</v>
      </c>
      <c r="C1084" s="40" t="s">
        <v>1163</v>
      </c>
      <c r="D1084" s="21" t="s">
        <v>4080</v>
      </c>
      <c r="E1084" s="21" t="s">
        <v>4081</v>
      </c>
      <c r="F1084" s="21" t="s">
        <v>4082</v>
      </c>
      <c r="G1084" s="21" t="s">
        <v>4083</v>
      </c>
      <c r="H1084" s="21" t="s">
        <v>2960</v>
      </c>
      <c r="I1084" s="14" t="s">
        <v>18</v>
      </c>
      <c r="J1084" s="15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 ht="22.5" customHeight="1">
      <c r="A1085" s="35">
        <v>1083.0</v>
      </c>
      <c r="B1085" s="20">
        <v>38.0</v>
      </c>
      <c r="C1085" s="40" t="s">
        <v>1168</v>
      </c>
      <c r="D1085" s="21" t="s">
        <v>1925</v>
      </c>
      <c r="E1085" s="21" t="s">
        <v>2641</v>
      </c>
      <c r="F1085" s="21" t="s">
        <v>1927</v>
      </c>
      <c r="G1085" s="21" t="s">
        <v>1928</v>
      </c>
      <c r="H1085" s="21" t="s">
        <v>1335</v>
      </c>
      <c r="I1085" s="15"/>
      <c r="J1085" s="15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 ht="22.5" hidden="1" customHeight="1">
      <c r="A1086" s="35">
        <v>1084.0</v>
      </c>
      <c r="B1086" s="20">
        <v>38.0</v>
      </c>
      <c r="C1086" s="40" t="s">
        <v>1163</v>
      </c>
      <c r="D1086" s="21" t="s">
        <v>3909</v>
      </c>
      <c r="E1086" s="21" t="s">
        <v>4084</v>
      </c>
      <c r="F1086" s="21" t="s">
        <v>3911</v>
      </c>
      <c r="G1086" s="21" t="s">
        <v>3912</v>
      </c>
      <c r="H1086" s="21" t="s">
        <v>3913</v>
      </c>
      <c r="I1086" s="15"/>
      <c r="J1086" s="15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 ht="22.5" customHeight="1">
      <c r="A1087" s="35">
        <v>1085.0</v>
      </c>
      <c r="B1087" s="20">
        <v>38.0</v>
      </c>
      <c r="C1087" s="40" t="s">
        <v>1168</v>
      </c>
      <c r="D1087" s="21" t="s">
        <v>1384</v>
      </c>
      <c r="E1087" s="21" t="s">
        <v>4085</v>
      </c>
      <c r="F1087" s="21" t="s">
        <v>1386</v>
      </c>
      <c r="G1087" s="21" t="s">
        <v>1387</v>
      </c>
      <c r="H1087" s="21" t="s">
        <v>1388</v>
      </c>
      <c r="I1087" s="15"/>
      <c r="J1087" s="15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 ht="22.5" hidden="1" customHeight="1">
      <c r="A1088" s="35">
        <v>1086.0</v>
      </c>
      <c r="B1088" s="20">
        <v>38.0</v>
      </c>
      <c r="C1088" s="40" t="s">
        <v>1163</v>
      </c>
      <c r="D1088" s="21" t="s">
        <v>3955</v>
      </c>
      <c r="E1088" s="21" t="s">
        <v>3440</v>
      </c>
      <c r="F1088" s="21" t="s">
        <v>3956</v>
      </c>
      <c r="G1088" s="21" t="s">
        <v>3957</v>
      </c>
      <c r="H1088" s="21" t="s">
        <v>3443</v>
      </c>
      <c r="I1088" s="15"/>
      <c r="J1088" s="15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 ht="22.5" hidden="1" customHeight="1">
      <c r="A1089" s="35">
        <v>1087.0</v>
      </c>
      <c r="B1089" s="20">
        <v>38.0</v>
      </c>
      <c r="C1089" s="40" t="s">
        <v>1163</v>
      </c>
      <c r="D1089" s="21" t="s">
        <v>1394</v>
      </c>
      <c r="E1089" s="21" t="s">
        <v>4086</v>
      </c>
      <c r="F1089" s="21" t="s">
        <v>1396</v>
      </c>
      <c r="G1089" s="21" t="s">
        <v>3902</v>
      </c>
      <c r="H1089" s="21" t="s">
        <v>1398</v>
      </c>
      <c r="I1089" s="15"/>
      <c r="J1089" s="15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 ht="22.5" customHeight="1">
      <c r="A1090" s="35">
        <v>1088.0</v>
      </c>
      <c r="B1090" s="20">
        <v>38.0</v>
      </c>
      <c r="C1090" s="40" t="s">
        <v>1168</v>
      </c>
      <c r="D1090" s="21" t="s">
        <v>2572</v>
      </c>
      <c r="E1090" s="21" t="s">
        <v>2573</v>
      </c>
      <c r="F1090" s="21" t="s">
        <v>1120</v>
      </c>
      <c r="G1090" s="21" t="s">
        <v>1121</v>
      </c>
      <c r="H1090" s="21" t="s">
        <v>2574</v>
      </c>
      <c r="I1090" s="15"/>
      <c r="J1090" s="15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 ht="22.5" hidden="1" customHeight="1">
      <c r="A1091" s="35">
        <v>1089.0</v>
      </c>
      <c r="B1091" s="20">
        <v>38.0</v>
      </c>
      <c r="C1091" s="40" t="s">
        <v>1163</v>
      </c>
      <c r="D1091" s="21" t="s">
        <v>2734</v>
      </c>
      <c r="E1091" s="21" t="s">
        <v>4087</v>
      </c>
      <c r="F1091" s="21" t="s">
        <v>1195</v>
      </c>
      <c r="G1091" s="21" t="s">
        <v>1196</v>
      </c>
      <c r="H1091" s="21" t="s">
        <v>3450</v>
      </c>
      <c r="I1091" s="15"/>
      <c r="J1091" s="15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 ht="22.5" customHeight="1">
      <c r="A1092" s="35">
        <v>1090.0</v>
      </c>
      <c r="B1092" s="20">
        <v>38.0</v>
      </c>
      <c r="C1092" s="40" t="s">
        <v>1168</v>
      </c>
      <c r="D1092" s="21" t="s">
        <v>1524</v>
      </c>
      <c r="E1092" s="21" t="s">
        <v>2064</v>
      </c>
      <c r="F1092" s="21" t="s">
        <v>1526</v>
      </c>
      <c r="G1092" s="21" t="s">
        <v>1527</v>
      </c>
      <c r="H1092" s="21" t="s">
        <v>1528</v>
      </c>
      <c r="I1092" s="15"/>
      <c r="J1092" s="15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 ht="22.5" hidden="1" customHeight="1">
      <c r="A1093" s="35">
        <v>1091.0</v>
      </c>
      <c r="B1093" s="20">
        <v>38.0</v>
      </c>
      <c r="C1093" s="40" t="s">
        <v>1163</v>
      </c>
      <c r="D1093" s="21" t="s">
        <v>3008</v>
      </c>
      <c r="E1093" s="21" t="s">
        <v>3247</v>
      </c>
      <c r="F1093" s="21" t="s">
        <v>3010</v>
      </c>
      <c r="G1093" s="21" t="s">
        <v>3578</v>
      </c>
      <c r="H1093" s="21" t="s">
        <v>2875</v>
      </c>
      <c r="I1093" s="15"/>
      <c r="J1093" s="15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 ht="22.5" customHeight="1">
      <c r="A1094" s="35">
        <v>1092.0</v>
      </c>
      <c r="B1094" s="20">
        <v>38.0</v>
      </c>
      <c r="C1094" s="40" t="s">
        <v>1168</v>
      </c>
      <c r="D1094" s="21" t="s">
        <v>1568</v>
      </c>
      <c r="E1094" s="21" t="s">
        <v>3640</v>
      </c>
      <c r="F1094" s="21" t="s">
        <v>1570</v>
      </c>
      <c r="G1094" s="21" t="s">
        <v>1571</v>
      </c>
      <c r="H1094" s="21" t="s">
        <v>1222</v>
      </c>
      <c r="I1094" s="15"/>
      <c r="J1094" s="15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 ht="22.5" customHeight="1">
      <c r="A1095" s="35">
        <v>1093.0</v>
      </c>
      <c r="B1095" s="20">
        <v>38.0</v>
      </c>
      <c r="C1095" s="40" t="s">
        <v>1168</v>
      </c>
      <c r="D1095" s="21" t="s">
        <v>2368</v>
      </c>
      <c r="E1095" s="21" t="s">
        <v>2584</v>
      </c>
      <c r="F1095" s="21" t="s">
        <v>4088</v>
      </c>
      <c r="G1095" s="21" t="s">
        <v>2371</v>
      </c>
      <c r="H1095" s="21" t="s">
        <v>4089</v>
      </c>
      <c r="I1095" s="15"/>
      <c r="J1095" s="15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  <row r="1096" ht="22.5" hidden="1" customHeight="1">
      <c r="A1096" s="35">
        <v>1094.0</v>
      </c>
      <c r="B1096" s="20">
        <v>38.0</v>
      </c>
      <c r="C1096" s="40" t="s">
        <v>1163</v>
      </c>
      <c r="D1096" s="21" t="s">
        <v>4090</v>
      </c>
      <c r="E1096" s="21" t="s">
        <v>4091</v>
      </c>
      <c r="F1096" s="21" t="s">
        <v>4092</v>
      </c>
      <c r="G1096" s="21" t="s">
        <v>4093</v>
      </c>
      <c r="H1096" s="21" t="s">
        <v>4094</v>
      </c>
      <c r="I1096" s="14" t="s">
        <v>18</v>
      </c>
      <c r="J1096" s="15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</row>
    <row r="1097" ht="22.5" hidden="1" customHeight="1">
      <c r="A1097" s="35">
        <v>1095.0</v>
      </c>
      <c r="B1097" s="20">
        <v>38.0</v>
      </c>
      <c r="C1097" s="40" t="s">
        <v>1163</v>
      </c>
      <c r="D1097" s="21" t="s">
        <v>4043</v>
      </c>
      <c r="E1097" s="21" t="s">
        <v>4095</v>
      </c>
      <c r="F1097" s="21" t="s">
        <v>4045</v>
      </c>
      <c r="G1097" s="21" t="s">
        <v>4046</v>
      </c>
      <c r="H1097" s="21" t="s">
        <v>2420</v>
      </c>
      <c r="I1097" s="15"/>
      <c r="J1097" s="15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</row>
    <row r="1098" ht="22.5" hidden="1" customHeight="1">
      <c r="A1098" s="35">
        <v>1096.0</v>
      </c>
      <c r="B1098" s="20">
        <v>38.0</v>
      </c>
      <c r="C1098" s="40" t="s">
        <v>1163</v>
      </c>
      <c r="D1098" s="21" t="s">
        <v>4096</v>
      </c>
      <c r="E1098" s="21" t="s">
        <v>4097</v>
      </c>
      <c r="F1098" s="21" t="s">
        <v>4098</v>
      </c>
      <c r="G1098" s="21" t="s">
        <v>4099</v>
      </c>
      <c r="H1098" s="21" t="s">
        <v>4100</v>
      </c>
      <c r="I1098" s="14" t="s">
        <v>18</v>
      </c>
      <c r="J1098" s="15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</row>
    <row r="1099" ht="22.5" customHeight="1">
      <c r="A1099" s="35">
        <v>1097.0</v>
      </c>
      <c r="B1099" s="20">
        <v>38.0</v>
      </c>
      <c r="C1099" s="40" t="s">
        <v>1168</v>
      </c>
      <c r="D1099" s="21" t="s">
        <v>2751</v>
      </c>
      <c r="E1099" s="21" t="s">
        <v>4032</v>
      </c>
      <c r="F1099" s="21" t="s">
        <v>1456</v>
      </c>
      <c r="G1099" s="21" t="s">
        <v>1457</v>
      </c>
      <c r="H1099" s="21" t="s">
        <v>2753</v>
      </c>
      <c r="I1099" s="15"/>
      <c r="J1099" s="15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</row>
    <row r="1100" ht="22.5" customHeight="1">
      <c r="A1100" s="35">
        <v>1098.0</v>
      </c>
      <c r="B1100" s="20">
        <v>38.0</v>
      </c>
      <c r="C1100" s="40" t="s">
        <v>1168</v>
      </c>
      <c r="D1100" s="21" t="s">
        <v>4101</v>
      </c>
      <c r="E1100" s="21" t="s">
        <v>2480</v>
      </c>
      <c r="F1100" s="21" t="s">
        <v>4102</v>
      </c>
      <c r="G1100" s="21" t="s">
        <v>4103</v>
      </c>
      <c r="H1100" s="21" t="s">
        <v>2481</v>
      </c>
      <c r="I1100" s="14" t="s">
        <v>18</v>
      </c>
      <c r="J1100" s="15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</row>
    <row r="1101" ht="22.5" hidden="1" customHeight="1">
      <c r="A1101" s="35">
        <v>1099.0</v>
      </c>
      <c r="B1101" s="20">
        <v>37.0</v>
      </c>
      <c r="C1101" s="40" t="s">
        <v>1163</v>
      </c>
      <c r="D1101" s="21" t="s">
        <v>4104</v>
      </c>
      <c r="E1101" s="21" t="s">
        <v>4105</v>
      </c>
      <c r="F1101" s="21" t="s">
        <v>3699</v>
      </c>
      <c r="G1101" s="21" t="s">
        <v>3700</v>
      </c>
      <c r="H1101" s="21" t="s">
        <v>4106</v>
      </c>
      <c r="I1101" s="15"/>
      <c r="J1101" s="15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</row>
    <row r="1102" ht="22.5" hidden="1" customHeight="1">
      <c r="A1102" s="35">
        <v>1100.0</v>
      </c>
      <c r="B1102" s="20">
        <v>37.0</v>
      </c>
      <c r="C1102" s="40" t="s">
        <v>1163</v>
      </c>
      <c r="D1102" s="21" t="s">
        <v>1495</v>
      </c>
      <c r="E1102" s="21" t="s">
        <v>4107</v>
      </c>
      <c r="F1102" s="21" t="s">
        <v>4108</v>
      </c>
      <c r="G1102" s="21" t="s">
        <v>4109</v>
      </c>
      <c r="H1102" s="21" t="s">
        <v>1718</v>
      </c>
      <c r="I1102" s="15"/>
      <c r="J1102" s="15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</row>
    <row r="1103" ht="22.5" customHeight="1">
      <c r="A1103" s="35">
        <v>1101.0</v>
      </c>
      <c r="B1103" s="20">
        <v>37.0</v>
      </c>
      <c r="C1103" s="40" t="s">
        <v>1218</v>
      </c>
      <c r="D1103" s="21" t="s">
        <v>1641</v>
      </c>
      <c r="E1103" s="21" t="s">
        <v>3363</v>
      </c>
      <c r="F1103" s="21" t="s">
        <v>1643</v>
      </c>
      <c r="G1103" s="21" t="s">
        <v>4110</v>
      </c>
      <c r="H1103" s="21" t="s">
        <v>1645</v>
      </c>
      <c r="I1103" s="15"/>
      <c r="J1103" s="15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</row>
    <row r="1104" ht="22.5" customHeight="1">
      <c r="A1104" s="35">
        <v>1102.0</v>
      </c>
      <c r="B1104" s="20">
        <v>37.0</v>
      </c>
      <c r="C1104" s="40" t="s">
        <v>1168</v>
      </c>
      <c r="D1104" s="21" t="s">
        <v>4111</v>
      </c>
      <c r="E1104" s="21" t="s">
        <v>4112</v>
      </c>
      <c r="F1104" s="21" t="s">
        <v>1526</v>
      </c>
      <c r="G1104" s="21" t="s">
        <v>1527</v>
      </c>
      <c r="H1104" s="21" t="s">
        <v>4113</v>
      </c>
      <c r="I1104" s="14" t="s">
        <v>18</v>
      </c>
      <c r="J1104" s="15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</row>
    <row r="1105" ht="22.5" customHeight="1">
      <c r="A1105" s="35">
        <v>1103.0</v>
      </c>
      <c r="B1105" s="20">
        <v>37.0</v>
      </c>
      <c r="C1105" s="40" t="s">
        <v>1168</v>
      </c>
      <c r="D1105" s="21" t="s">
        <v>4114</v>
      </c>
      <c r="E1105" s="21" t="s">
        <v>4115</v>
      </c>
      <c r="F1105" s="21" t="s">
        <v>4116</v>
      </c>
      <c r="G1105" s="21" t="s">
        <v>4117</v>
      </c>
      <c r="H1105" s="21" t="s">
        <v>4118</v>
      </c>
      <c r="I1105" s="15"/>
      <c r="J1105" s="15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</row>
    <row r="1106" ht="22.5" customHeight="1">
      <c r="A1106" s="35">
        <v>1104.0</v>
      </c>
      <c r="B1106" s="20">
        <v>37.0</v>
      </c>
      <c r="C1106" s="40" t="s">
        <v>1218</v>
      </c>
      <c r="D1106" s="21" t="s">
        <v>4119</v>
      </c>
      <c r="E1106" s="21" t="s">
        <v>4120</v>
      </c>
      <c r="F1106" s="21" t="s">
        <v>4121</v>
      </c>
      <c r="G1106" s="21" t="s">
        <v>4122</v>
      </c>
      <c r="H1106" s="21" t="s">
        <v>4123</v>
      </c>
      <c r="I1106" s="14" t="s">
        <v>18</v>
      </c>
      <c r="J1106" s="15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</row>
    <row r="1107" ht="22.5" customHeight="1">
      <c r="A1107" s="35">
        <v>1105.0</v>
      </c>
      <c r="B1107" s="20">
        <v>37.0</v>
      </c>
      <c r="C1107" s="40" t="s">
        <v>1218</v>
      </c>
      <c r="D1107" s="21" t="s">
        <v>4124</v>
      </c>
      <c r="E1107" s="21" t="s">
        <v>4125</v>
      </c>
      <c r="F1107" s="21" t="s">
        <v>2730</v>
      </c>
      <c r="G1107" s="21" t="s">
        <v>2731</v>
      </c>
      <c r="H1107" s="21" t="s">
        <v>2732</v>
      </c>
      <c r="I1107" s="14" t="s">
        <v>18</v>
      </c>
      <c r="J1107" s="15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</row>
    <row r="1108" ht="22.5" hidden="1" customHeight="1">
      <c r="A1108" s="35">
        <v>1106.0</v>
      </c>
      <c r="B1108" s="20">
        <v>37.0</v>
      </c>
      <c r="C1108" s="40" t="s">
        <v>1163</v>
      </c>
      <c r="D1108" s="21" t="s">
        <v>4126</v>
      </c>
      <c r="E1108" s="21" t="s">
        <v>4127</v>
      </c>
      <c r="F1108" s="21" t="s">
        <v>317</v>
      </c>
      <c r="G1108" s="21" t="s">
        <v>318</v>
      </c>
      <c r="H1108" s="21" t="s">
        <v>4128</v>
      </c>
      <c r="I1108" s="14" t="s">
        <v>18</v>
      </c>
      <c r="J1108" s="15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</row>
    <row r="1109" ht="22.5" hidden="1" customHeight="1">
      <c r="A1109" s="35">
        <v>1107.0</v>
      </c>
      <c r="B1109" s="20">
        <v>37.0</v>
      </c>
      <c r="C1109" s="40" t="s">
        <v>1163</v>
      </c>
      <c r="D1109" s="21" t="s">
        <v>4129</v>
      </c>
      <c r="E1109" s="21" t="s">
        <v>4130</v>
      </c>
      <c r="F1109" s="21" t="s">
        <v>4131</v>
      </c>
      <c r="G1109" s="21" t="s">
        <v>4132</v>
      </c>
      <c r="H1109" s="21" t="s">
        <v>4133</v>
      </c>
      <c r="I1109" s="15"/>
      <c r="J1109" s="15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</row>
    <row r="1110" ht="22.5" customHeight="1">
      <c r="A1110" s="35">
        <v>1108.0</v>
      </c>
      <c r="B1110" s="20">
        <v>37.0</v>
      </c>
      <c r="C1110" s="40" t="s">
        <v>1168</v>
      </c>
      <c r="D1110" s="21" t="s">
        <v>4134</v>
      </c>
      <c r="E1110" s="21" t="s">
        <v>4135</v>
      </c>
      <c r="F1110" s="21" t="s">
        <v>3085</v>
      </c>
      <c r="G1110" s="21" t="s">
        <v>3086</v>
      </c>
      <c r="H1110" s="21" t="s">
        <v>4136</v>
      </c>
      <c r="I1110" s="14" t="s">
        <v>18</v>
      </c>
      <c r="J1110" s="15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</row>
    <row r="1111" ht="22.5" customHeight="1">
      <c r="A1111" s="35">
        <v>1109.0</v>
      </c>
      <c r="B1111" s="20">
        <v>37.0</v>
      </c>
      <c r="C1111" s="40" t="s">
        <v>1168</v>
      </c>
      <c r="D1111" s="21" t="s">
        <v>3926</v>
      </c>
      <c r="E1111" s="21" t="s">
        <v>3927</v>
      </c>
      <c r="F1111" s="21" t="s">
        <v>2833</v>
      </c>
      <c r="G1111" s="21" t="s">
        <v>2834</v>
      </c>
      <c r="H1111" s="21" t="s">
        <v>3928</v>
      </c>
      <c r="I1111" s="15"/>
      <c r="J1111" s="15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</row>
    <row r="1112" ht="22.5" customHeight="1">
      <c r="A1112" s="35">
        <v>1110.0</v>
      </c>
      <c r="B1112" s="20">
        <v>37.0</v>
      </c>
      <c r="C1112" s="40" t="s">
        <v>1168</v>
      </c>
      <c r="D1112" s="21" t="s">
        <v>4137</v>
      </c>
      <c r="E1112" s="21" t="s">
        <v>4138</v>
      </c>
      <c r="F1112" s="21" t="s">
        <v>4139</v>
      </c>
      <c r="G1112" s="21" t="s">
        <v>4140</v>
      </c>
      <c r="H1112" s="21" t="s">
        <v>4141</v>
      </c>
      <c r="I1112" s="15"/>
      <c r="J1112" s="15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</row>
    <row r="1113" ht="22.5" customHeight="1">
      <c r="A1113" s="35">
        <v>1111.0</v>
      </c>
      <c r="B1113" s="20">
        <v>37.0</v>
      </c>
      <c r="C1113" s="40" t="s">
        <v>1168</v>
      </c>
      <c r="D1113" s="21" t="s">
        <v>4142</v>
      </c>
      <c r="E1113" s="21" t="s">
        <v>4143</v>
      </c>
      <c r="F1113" s="21" t="s">
        <v>607</v>
      </c>
      <c r="G1113" s="21" t="s">
        <v>608</v>
      </c>
      <c r="H1113" s="21" t="s">
        <v>4144</v>
      </c>
      <c r="I1113" s="14" t="s">
        <v>18</v>
      </c>
      <c r="J1113" s="15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</row>
    <row r="1114" ht="22.5" customHeight="1">
      <c r="A1114" s="35">
        <v>1112.0</v>
      </c>
      <c r="B1114" s="20">
        <v>37.0</v>
      </c>
      <c r="C1114" s="40" t="s">
        <v>1168</v>
      </c>
      <c r="D1114" s="21" t="s">
        <v>4145</v>
      </c>
      <c r="E1114" s="21" t="s">
        <v>4146</v>
      </c>
      <c r="F1114" s="21" t="s">
        <v>4147</v>
      </c>
      <c r="G1114" s="21" t="s">
        <v>4148</v>
      </c>
      <c r="H1114" s="21" t="s">
        <v>4149</v>
      </c>
      <c r="I1114" s="15"/>
      <c r="J1114" s="15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</row>
    <row r="1115" ht="22.5" hidden="1" customHeight="1">
      <c r="A1115" s="35">
        <v>1113.0</v>
      </c>
      <c r="B1115" s="20">
        <v>37.0</v>
      </c>
      <c r="C1115" s="40" t="s">
        <v>1163</v>
      </c>
      <c r="D1115" s="21" t="s">
        <v>4150</v>
      </c>
      <c r="E1115" s="21" t="s">
        <v>4151</v>
      </c>
      <c r="F1115" s="21" t="s">
        <v>4152</v>
      </c>
      <c r="G1115" s="21" t="s">
        <v>4153</v>
      </c>
      <c r="H1115" s="21" t="s">
        <v>4154</v>
      </c>
      <c r="I1115" s="15"/>
      <c r="J1115" s="15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</row>
    <row r="1116" ht="22.5" customHeight="1">
      <c r="A1116" s="35">
        <v>1114.0</v>
      </c>
      <c r="B1116" s="20">
        <v>36.0</v>
      </c>
      <c r="C1116" s="40" t="s">
        <v>1168</v>
      </c>
      <c r="D1116" s="21" t="s">
        <v>1839</v>
      </c>
      <c r="E1116" s="21" t="s">
        <v>1445</v>
      </c>
      <c r="F1116" s="21" t="s">
        <v>1840</v>
      </c>
      <c r="G1116" s="21" t="s">
        <v>1841</v>
      </c>
      <c r="H1116" s="21" t="s">
        <v>1448</v>
      </c>
      <c r="I1116" s="15"/>
      <c r="J1116" s="15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</row>
    <row r="1117" ht="22.5" customHeight="1">
      <c r="A1117" s="35">
        <v>1115.0</v>
      </c>
      <c r="B1117" s="20">
        <v>36.0</v>
      </c>
      <c r="C1117" s="40" t="s">
        <v>1168</v>
      </c>
      <c r="D1117" s="21" t="s">
        <v>1695</v>
      </c>
      <c r="E1117" s="21" t="s">
        <v>4155</v>
      </c>
      <c r="F1117" s="21" t="s">
        <v>1697</v>
      </c>
      <c r="G1117" s="21" t="s">
        <v>4156</v>
      </c>
      <c r="H1117" s="21" t="s">
        <v>1699</v>
      </c>
      <c r="I1117" s="15"/>
      <c r="J1117" s="15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</row>
    <row r="1118" ht="22.5" hidden="1" customHeight="1">
      <c r="A1118" s="35">
        <v>1116.0</v>
      </c>
      <c r="B1118" s="20">
        <v>36.0</v>
      </c>
      <c r="C1118" s="40" t="s">
        <v>1163</v>
      </c>
      <c r="D1118" s="21" t="s">
        <v>2801</v>
      </c>
      <c r="E1118" s="21" t="s">
        <v>2802</v>
      </c>
      <c r="F1118" s="21" t="s">
        <v>2803</v>
      </c>
      <c r="G1118" s="21" t="s">
        <v>2804</v>
      </c>
      <c r="H1118" s="21" t="s">
        <v>1645</v>
      </c>
      <c r="I1118" s="15"/>
      <c r="J1118" s="15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</row>
    <row r="1119" ht="22.5" hidden="1" customHeight="1">
      <c r="A1119" s="35">
        <v>1117.0</v>
      </c>
      <c r="B1119" s="20">
        <v>36.0</v>
      </c>
      <c r="C1119" s="40" t="s">
        <v>1163</v>
      </c>
      <c r="D1119" s="21" t="s">
        <v>4157</v>
      </c>
      <c r="E1119" s="21" t="s">
        <v>4158</v>
      </c>
      <c r="F1119" s="21" t="s">
        <v>4159</v>
      </c>
      <c r="G1119" s="21" t="s">
        <v>4160</v>
      </c>
      <c r="H1119" s="21" t="s">
        <v>4079</v>
      </c>
      <c r="I1119" s="15"/>
      <c r="J1119" s="15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</row>
    <row r="1120" ht="22.5" customHeight="1">
      <c r="A1120" s="35">
        <v>1118.0</v>
      </c>
      <c r="B1120" s="20">
        <v>36.0</v>
      </c>
      <c r="C1120" s="40" t="s">
        <v>1218</v>
      </c>
      <c r="D1120" s="21" t="s">
        <v>1651</v>
      </c>
      <c r="E1120" s="21" t="s">
        <v>3743</v>
      </c>
      <c r="F1120" s="21" t="s">
        <v>1653</v>
      </c>
      <c r="G1120" s="21" t="s">
        <v>1654</v>
      </c>
      <c r="H1120" s="21" t="s">
        <v>1655</v>
      </c>
      <c r="I1120" s="15"/>
      <c r="J1120" s="15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</row>
    <row r="1121" ht="22.5" customHeight="1">
      <c r="A1121" s="35">
        <v>1119.0</v>
      </c>
      <c r="B1121" s="20">
        <v>36.0</v>
      </c>
      <c r="C1121" s="40" t="s">
        <v>1168</v>
      </c>
      <c r="D1121" s="21" t="s">
        <v>2228</v>
      </c>
      <c r="E1121" s="21" t="s">
        <v>2229</v>
      </c>
      <c r="F1121" s="21" t="s">
        <v>2230</v>
      </c>
      <c r="G1121" s="21" t="s">
        <v>2231</v>
      </c>
      <c r="H1121" s="21" t="s">
        <v>2232</v>
      </c>
      <c r="I1121" s="15"/>
      <c r="J1121" s="15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</row>
    <row r="1122" ht="22.5" hidden="1" customHeight="1">
      <c r="A1122" s="35">
        <v>1120.0</v>
      </c>
      <c r="B1122" s="20">
        <v>36.0</v>
      </c>
      <c r="C1122" s="40" t="s">
        <v>1163</v>
      </c>
      <c r="D1122" s="21" t="s">
        <v>4161</v>
      </c>
      <c r="E1122" s="21" t="s">
        <v>4162</v>
      </c>
      <c r="F1122" s="21" t="s">
        <v>4163</v>
      </c>
      <c r="G1122" s="21" t="s">
        <v>4164</v>
      </c>
      <c r="H1122" s="21" t="s">
        <v>4165</v>
      </c>
      <c r="I1122" s="15"/>
      <c r="J1122" s="15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</row>
    <row r="1123" ht="22.5" hidden="1" customHeight="1">
      <c r="A1123" s="35">
        <v>1121.0</v>
      </c>
      <c r="B1123" s="20">
        <v>36.0</v>
      </c>
      <c r="C1123" s="40" t="s">
        <v>1163</v>
      </c>
      <c r="D1123" s="21" t="s">
        <v>3955</v>
      </c>
      <c r="E1123" s="21" t="s">
        <v>3440</v>
      </c>
      <c r="F1123" s="21" t="s">
        <v>3956</v>
      </c>
      <c r="G1123" s="21" t="s">
        <v>3957</v>
      </c>
      <c r="H1123" s="21" t="s">
        <v>3443</v>
      </c>
      <c r="I1123" s="15"/>
      <c r="J1123" s="15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</row>
    <row r="1124" ht="22.5" customHeight="1">
      <c r="A1124" s="35">
        <v>1122.0</v>
      </c>
      <c r="B1124" s="20">
        <v>36.0</v>
      </c>
      <c r="C1124" s="40" t="s">
        <v>1168</v>
      </c>
      <c r="D1124" s="21" t="s">
        <v>3634</v>
      </c>
      <c r="E1124" s="21" t="s">
        <v>2318</v>
      </c>
      <c r="F1124" s="21" t="s">
        <v>3635</v>
      </c>
      <c r="G1124" s="21" t="s">
        <v>3636</v>
      </c>
      <c r="H1124" s="21" t="s">
        <v>2321</v>
      </c>
      <c r="I1124" s="15"/>
      <c r="J1124" s="15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</row>
    <row r="1125" ht="22.5" customHeight="1">
      <c r="A1125" s="35">
        <v>1123.0</v>
      </c>
      <c r="B1125" s="20">
        <v>36.0</v>
      </c>
      <c r="C1125" s="40" t="s">
        <v>1168</v>
      </c>
      <c r="D1125" s="21" t="s">
        <v>3446</v>
      </c>
      <c r="E1125" s="21" t="s">
        <v>2573</v>
      </c>
      <c r="F1125" s="21" t="s">
        <v>3447</v>
      </c>
      <c r="G1125" s="21" t="s">
        <v>3448</v>
      </c>
      <c r="H1125" s="21" t="s">
        <v>2574</v>
      </c>
      <c r="I1125" s="15"/>
      <c r="J1125" s="15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</row>
    <row r="1126" ht="22.5" hidden="1" customHeight="1">
      <c r="A1126" s="35">
        <v>1124.0</v>
      </c>
      <c r="B1126" s="20">
        <v>36.0</v>
      </c>
      <c r="C1126" s="40" t="s">
        <v>1163</v>
      </c>
      <c r="D1126" s="21" t="s">
        <v>4010</v>
      </c>
      <c r="E1126" s="21" t="s">
        <v>4166</v>
      </c>
      <c r="F1126" s="21" t="s">
        <v>4167</v>
      </c>
      <c r="G1126" s="21" t="s">
        <v>4168</v>
      </c>
      <c r="H1126" s="21" t="s">
        <v>3450</v>
      </c>
      <c r="I1126" s="15"/>
      <c r="J1126" s="15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</row>
    <row r="1127" ht="22.5" customHeight="1">
      <c r="A1127" s="35">
        <v>1125.0</v>
      </c>
      <c r="B1127" s="20">
        <v>36.0</v>
      </c>
      <c r="C1127" s="40" t="s">
        <v>1168</v>
      </c>
      <c r="D1127" s="21" t="s">
        <v>2575</v>
      </c>
      <c r="E1127" s="21" t="s">
        <v>2733</v>
      </c>
      <c r="F1127" s="21" t="s">
        <v>2576</v>
      </c>
      <c r="G1127" s="21" t="s">
        <v>2577</v>
      </c>
      <c r="H1127" s="21" t="s">
        <v>1528</v>
      </c>
      <c r="I1127" s="15"/>
      <c r="J1127" s="15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</row>
    <row r="1128" ht="22.5" hidden="1" customHeight="1">
      <c r="A1128" s="35">
        <v>1126.0</v>
      </c>
      <c r="B1128" s="20">
        <v>36.0</v>
      </c>
      <c r="C1128" s="40" t="s">
        <v>1163</v>
      </c>
      <c r="D1128" s="21" t="s">
        <v>3008</v>
      </c>
      <c r="E1128" s="21" t="s">
        <v>4169</v>
      </c>
      <c r="F1128" s="21" t="s">
        <v>3010</v>
      </c>
      <c r="G1128" s="21" t="s">
        <v>3011</v>
      </c>
      <c r="H1128" s="21" t="s">
        <v>2875</v>
      </c>
      <c r="I1128" s="15"/>
      <c r="J1128" s="15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</row>
    <row r="1129" ht="22.5" hidden="1" customHeight="1">
      <c r="A1129" s="35">
        <v>1127.0</v>
      </c>
      <c r="B1129" s="20">
        <v>36.0</v>
      </c>
      <c r="C1129" s="40" t="s">
        <v>1163</v>
      </c>
      <c r="D1129" s="21" t="s">
        <v>4170</v>
      </c>
      <c r="E1129" s="21" t="s">
        <v>4171</v>
      </c>
      <c r="F1129" s="21" t="s">
        <v>4172</v>
      </c>
      <c r="G1129" s="21" t="s">
        <v>4173</v>
      </c>
      <c r="H1129" s="21" t="s">
        <v>4174</v>
      </c>
      <c r="I1129" s="14" t="s">
        <v>18</v>
      </c>
      <c r="J1129" s="15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</row>
    <row r="1130" ht="22.5" customHeight="1">
      <c r="A1130" s="35">
        <v>1128.0</v>
      </c>
      <c r="B1130" s="20">
        <v>36.0</v>
      </c>
      <c r="C1130" s="40" t="s">
        <v>1168</v>
      </c>
      <c r="D1130" s="21" t="s">
        <v>4175</v>
      </c>
      <c r="E1130" s="21" t="s">
        <v>3937</v>
      </c>
      <c r="F1130" s="21" t="s">
        <v>336</v>
      </c>
      <c r="G1130" s="21" t="s">
        <v>337</v>
      </c>
      <c r="H1130" s="21" t="s">
        <v>4176</v>
      </c>
      <c r="I1130" s="14" t="s">
        <v>18</v>
      </c>
      <c r="J1130" s="15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</row>
    <row r="1131" ht="22.5" customHeight="1">
      <c r="A1131" s="35">
        <v>1129.0</v>
      </c>
      <c r="B1131" s="20">
        <v>36.0</v>
      </c>
      <c r="C1131" s="40" t="s">
        <v>1168</v>
      </c>
      <c r="D1131" s="21" t="s">
        <v>1568</v>
      </c>
      <c r="E1131" s="21" t="s">
        <v>3640</v>
      </c>
      <c r="F1131" s="21" t="s">
        <v>1570</v>
      </c>
      <c r="G1131" s="21" t="s">
        <v>1571</v>
      </c>
      <c r="H1131" s="21" t="s">
        <v>1222</v>
      </c>
      <c r="I1131" s="15"/>
      <c r="J1131" s="15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</row>
    <row r="1132" ht="22.5" hidden="1" customHeight="1">
      <c r="A1132" s="35">
        <v>1130.0</v>
      </c>
      <c r="B1132" s="20">
        <v>36.0</v>
      </c>
      <c r="C1132" s="40" t="s">
        <v>1163</v>
      </c>
      <c r="D1132" s="21" t="s">
        <v>4177</v>
      </c>
      <c r="E1132" s="21" t="s">
        <v>4178</v>
      </c>
      <c r="F1132" s="21" t="s">
        <v>986</v>
      </c>
      <c r="G1132" s="21" t="s">
        <v>987</v>
      </c>
      <c r="H1132" s="21" t="s">
        <v>4094</v>
      </c>
      <c r="I1132" s="15"/>
      <c r="J1132" s="15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</row>
    <row r="1133" ht="22.5" hidden="1" customHeight="1">
      <c r="A1133" s="35">
        <v>1131.0</v>
      </c>
      <c r="B1133" s="20">
        <v>36.0</v>
      </c>
      <c r="C1133" s="40" t="s">
        <v>1163</v>
      </c>
      <c r="D1133" s="21" t="s">
        <v>4179</v>
      </c>
      <c r="E1133" s="21" t="s">
        <v>4180</v>
      </c>
      <c r="F1133" s="21" t="s">
        <v>4181</v>
      </c>
      <c r="G1133" s="21" t="s">
        <v>4182</v>
      </c>
      <c r="H1133" s="21" t="s">
        <v>2297</v>
      </c>
      <c r="I1133" s="15"/>
      <c r="J1133" s="15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</row>
    <row r="1134" ht="22.5" customHeight="1">
      <c r="A1134" s="35">
        <v>1132.0</v>
      </c>
      <c r="B1134" s="20">
        <v>36.0</v>
      </c>
      <c r="C1134" s="40" t="s">
        <v>1168</v>
      </c>
      <c r="D1134" s="21" t="s">
        <v>1279</v>
      </c>
      <c r="E1134" s="21" t="s">
        <v>1280</v>
      </c>
      <c r="F1134" s="21" t="s">
        <v>1281</v>
      </c>
      <c r="G1134" s="21" t="s">
        <v>1282</v>
      </c>
      <c r="H1134" s="21" t="s">
        <v>1283</v>
      </c>
      <c r="I1134" s="15"/>
      <c r="J1134" s="15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</row>
    <row r="1135" ht="22.5" hidden="1" customHeight="1">
      <c r="A1135" s="35">
        <v>1133.0</v>
      </c>
      <c r="B1135" s="20">
        <v>36.0</v>
      </c>
      <c r="C1135" s="40" t="s">
        <v>1163</v>
      </c>
      <c r="D1135" s="21" t="s">
        <v>4043</v>
      </c>
      <c r="E1135" s="21" t="s">
        <v>4183</v>
      </c>
      <c r="F1135" s="21" t="s">
        <v>4045</v>
      </c>
      <c r="G1135" s="21" t="s">
        <v>4046</v>
      </c>
      <c r="H1135" s="21" t="s">
        <v>2420</v>
      </c>
      <c r="I1135" s="15"/>
      <c r="J1135" s="15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</row>
    <row r="1136" ht="22.5" customHeight="1">
      <c r="A1136" s="35">
        <v>1134.0</v>
      </c>
      <c r="B1136" s="20">
        <v>35.0</v>
      </c>
      <c r="C1136" s="40" t="s">
        <v>1218</v>
      </c>
      <c r="D1136" s="21" t="s">
        <v>4184</v>
      </c>
      <c r="E1136" s="21" t="s">
        <v>4185</v>
      </c>
      <c r="F1136" s="21" t="s">
        <v>4186</v>
      </c>
      <c r="G1136" s="21" t="s">
        <v>4187</v>
      </c>
      <c r="H1136" s="21" t="s">
        <v>4188</v>
      </c>
      <c r="I1136" s="14" t="s">
        <v>18</v>
      </c>
      <c r="J1136" s="15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</row>
    <row r="1137" ht="22.5" hidden="1" customHeight="1">
      <c r="A1137" s="35">
        <v>1135.0</v>
      </c>
      <c r="B1137" s="20">
        <v>35.0</v>
      </c>
      <c r="C1137" s="40" t="s">
        <v>1163</v>
      </c>
      <c r="D1137" s="21" t="s">
        <v>4189</v>
      </c>
      <c r="E1137" s="21" t="s">
        <v>4190</v>
      </c>
      <c r="F1137" s="21" t="s">
        <v>4191</v>
      </c>
      <c r="G1137" s="21" t="s">
        <v>4192</v>
      </c>
      <c r="H1137" s="21" t="s">
        <v>4193</v>
      </c>
      <c r="I1137" s="14" t="s">
        <v>18</v>
      </c>
      <c r="J1137" s="15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</row>
    <row r="1138" ht="22.5" customHeight="1">
      <c r="A1138" s="35">
        <v>1136.0</v>
      </c>
      <c r="B1138" s="20">
        <v>35.0</v>
      </c>
      <c r="C1138" s="40" t="s">
        <v>1218</v>
      </c>
      <c r="D1138" s="21" t="s">
        <v>2534</v>
      </c>
      <c r="E1138" s="21" t="s">
        <v>4194</v>
      </c>
      <c r="F1138" s="21" t="s">
        <v>2536</v>
      </c>
      <c r="G1138" s="21" t="s">
        <v>4195</v>
      </c>
      <c r="H1138" s="21" t="s">
        <v>4196</v>
      </c>
      <c r="I1138" s="15"/>
      <c r="J1138" s="15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</row>
    <row r="1139" ht="22.5" customHeight="1">
      <c r="A1139" s="35">
        <v>1137.0</v>
      </c>
      <c r="B1139" s="20">
        <v>35.0</v>
      </c>
      <c r="C1139" s="40" t="s">
        <v>1218</v>
      </c>
      <c r="D1139" s="21" t="s">
        <v>3099</v>
      </c>
      <c r="E1139" s="21" t="s">
        <v>4197</v>
      </c>
      <c r="F1139" s="21" t="s">
        <v>3101</v>
      </c>
      <c r="G1139" s="21" t="s">
        <v>3102</v>
      </c>
      <c r="H1139" s="21" t="s">
        <v>4198</v>
      </c>
      <c r="I1139" s="14" t="s">
        <v>18</v>
      </c>
      <c r="J1139" s="15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</row>
    <row r="1140" ht="22.5" hidden="1" customHeight="1">
      <c r="A1140" s="35">
        <v>1138.0</v>
      </c>
      <c r="B1140" s="20">
        <v>35.0</v>
      </c>
      <c r="C1140" s="40" t="s">
        <v>1163</v>
      </c>
      <c r="D1140" s="21" t="s">
        <v>4199</v>
      </c>
      <c r="E1140" s="21" t="s">
        <v>4200</v>
      </c>
      <c r="F1140" s="21" t="s">
        <v>475</v>
      </c>
      <c r="G1140" s="21" t="s">
        <v>476</v>
      </c>
      <c r="H1140" s="21" t="s">
        <v>4201</v>
      </c>
      <c r="I1140" s="15"/>
      <c r="J1140" s="15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</row>
    <row r="1141" ht="22.5" customHeight="1">
      <c r="A1141" s="35">
        <v>1139.0</v>
      </c>
      <c r="B1141" s="20">
        <v>35.0</v>
      </c>
      <c r="C1141" s="40" t="s">
        <v>1218</v>
      </c>
      <c r="D1141" s="21" t="s">
        <v>4202</v>
      </c>
      <c r="E1141" s="21" t="s">
        <v>4203</v>
      </c>
      <c r="F1141" s="21" t="s">
        <v>4204</v>
      </c>
      <c r="G1141" s="21" t="s">
        <v>4205</v>
      </c>
      <c r="H1141" s="21" t="s">
        <v>4206</v>
      </c>
      <c r="I1141" s="14" t="s">
        <v>18</v>
      </c>
      <c r="J1141" s="15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</row>
    <row r="1142" ht="22.5" hidden="1" customHeight="1">
      <c r="A1142" s="35">
        <v>1140.0</v>
      </c>
      <c r="B1142" s="20">
        <v>35.0</v>
      </c>
      <c r="C1142" s="40" t="s">
        <v>1163</v>
      </c>
      <c r="D1142" s="21" t="s">
        <v>4207</v>
      </c>
      <c r="E1142" s="21" t="s">
        <v>4208</v>
      </c>
      <c r="F1142" s="21" t="s">
        <v>1343</v>
      </c>
      <c r="G1142" s="21" t="s">
        <v>1344</v>
      </c>
      <c r="H1142" s="21" t="s">
        <v>1861</v>
      </c>
      <c r="I1142" s="14" t="s">
        <v>18</v>
      </c>
      <c r="J1142" s="15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</row>
    <row r="1143" ht="22.5" hidden="1" customHeight="1">
      <c r="A1143" s="35">
        <v>1141.0</v>
      </c>
      <c r="B1143" s="20">
        <v>35.0</v>
      </c>
      <c r="C1143" s="40" t="s">
        <v>1163</v>
      </c>
      <c r="D1143" s="21" t="s">
        <v>4209</v>
      </c>
      <c r="E1143" s="21" t="s">
        <v>4210</v>
      </c>
      <c r="F1143" s="21" t="s">
        <v>4211</v>
      </c>
      <c r="G1143" s="21" t="s">
        <v>4212</v>
      </c>
      <c r="H1143" s="21" t="s">
        <v>1398</v>
      </c>
      <c r="I1143" s="15"/>
      <c r="J1143" s="15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</row>
    <row r="1144" ht="22.5" customHeight="1">
      <c r="A1144" s="35">
        <v>1142.0</v>
      </c>
      <c r="B1144" s="20">
        <v>35.0</v>
      </c>
      <c r="C1144" s="40" t="s">
        <v>1168</v>
      </c>
      <c r="D1144" s="21" t="s">
        <v>1198</v>
      </c>
      <c r="E1144" s="21" t="s">
        <v>2608</v>
      </c>
      <c r="F1144" s="21" t="s">
        <v>1199</v>
      </c>
      <c r="G1144" s="21" t="s">
        <v>1200</v>
      </c>
      <c r="H1144" s="21" t="s">
        <v>1201</v>
      </c>
      <c r="I1144" s="15"/>
      <c r="J1144" s="15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</row>
    <row r="1145" ht="22.5" customHeight="1">
      <c r="A1145" s="35">
        <v>1143.0</v>
      </c>
      <c r="B1145" s="20">
        <v>35.0</v>
      </c>
      <c r="C1145" s="40" t="s">
        <v>1168</v>
      </c>
      <c r="D1145" s="21" t="s">
        <v>1265</v>
      </c>
      <c r="E1145" s="21" t="s">
        <v>1266</v>
      </c>
      <c r="F1145" s="21" t="s">
        <v>1267</v>
      </c>
      <c r="G1145" s="21" t="s">
        <v>1268</v>
      </c>
      <c r="H1145" s="21" t="s">
        <v>1269</v>
      </c>
      <c r="I1145" s="15"/>
      <c r="J1145" s="15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</row>
    <row r="1146" ht="22.5" customHeight="1">
      <c r="A1146" s="35">
        <v>1144.0</v>
      </c>
      <c r="B1146" s="20">
        <v>35.0</v>
      </c>
      <c r="C1146" s="40" t="s">
        <v>1218</v>
      </c>
      <c r="D1146" s="21" t="s">
        <v>1270</v>
      </c>
      <c r="E1146" s="13" t="s">
        <v>2776</v>
      </c>
      <c r="F1146" s="21" t="s">
        <v>1272</v>
      </c>
      <c r="G1146" s="21" t="s">
        <v>2553</v>
      </c>
      <c r="H1146" s="21" t="s">
        <v>4213</v>
      </c>
      <c r="I1146" s="15"/>
      <c r="J1146" s="15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</row>
    <row r="1147" ht="22.5" customHeight="1">
      <c r="A1147" s="35">
        <v>1145.0</v>
      </c>
      <c r="B1147" s="20">
        <v>35.0</v>
      </c>
      <c r="C1147" s="40" t="s">
        <v>1168</v>
      </c>
      <c r="D1147" s="21" t="s">
        <v>2981</v>
      </c>
      <c r="E1147" s="21" t="s">
        <v>2843</v>
      </c>
      <c r="F1147" s="21" t="s">
        <v>4214</v>
      </c>
      <c r="G1147" s="21" t="s">
        <v>4215</v>
      </c>
      <c r="H1147" s="21" t="s">
        <v>2844</v>
      </c>
      <c r="I1147" s="14" t="s">
        <v>18</v>
      </c>
      <c r="J1147" s="15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</row>
    <row r="1148" ht="22.5" hidden="1" customHeight="1">
      <c r="A1148" s="35">
        <v>1146.0</v>
      </c>
      <c r="B1148" s="20">
        <v>35.0</v>
      </c>
      <c r="C1148" s="40" t="s">
        <v>1163</v>
      </c>
      <c r="D1148" s="21" t="s">
        <v>3972</v>
      </c>
      <c r="E1148" s="21" t="s">
        <v>4216</v>
      </c>
      <c r="F1148" s="21" t="s">
        <v>3417</v>
      </c>
      <c r="G1148" s="21" t="s">
        <v>3418</v>
      </c>
      <c r="H1148" s="21" t="s">
        <v>4217</v>
      </c>
      <c r="I1148" s="15"/>
      <c r="J1148" s="15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</row>
    <row r="1149" ht="22.5" customHeight="1">
      <c r="A1149" s="35">
        <v>1147.0</v>
      </c>
      <c r="B1149" s="20">
        <v>35.0</v>
      </c>
      <c r="C1149" s="40" t="s">
        <v>1218</v>
      </c>
      <c r="D1149" s="21" t="s">
        <v>4218</v>
      </c>
      <c r="E1149" s="21" t="s">
        <v>4219</v>
      </c>
      <c r="F1149" s="21" t="s">
        <v>4220</v>
      </c>
      <c r="G1149" s="21" t="s">
        <v>4221</v>
      </c>
      <c r="H1149" s="21" t="s">
        <v>4222</v>
      </c>
      <c r="I1149" s="15"/>
      <c r="J1149" s="15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</row>
    <row r="1150" ht="22.5" customHeight="1">
      <c r="A1150" s="35">
        <v>1148.0</v>
      </c>
      <c r="B1150" s="20">
        <v>35.0</v>
      </c>
      <c r="C1150" s="40" t="s">
        <v>1168</v>
      </c>
      <c r="D1150" s="21" t="s">
        <v>2077</v>
      </c>
      <c r="E1150" s="21" t="s">
        <v>4223</v>
      </c>
      <c r="F1150" s="21" t="s">
        <v>957</v>
      </c>
      <c r="G1150" s="21" t="s">
        <v>958</v>
      </c>
      <c r="H1150" s="21" t="s">
        <v>2710</v>
      </c>
      <c r="I1150" s="15"/>
      <c r="J1150" s="15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</row>
    <row r="1151" ht="22.5" hidden="1" customHeight="1">
      <c r="A1151" s="6"/>
      <c r="B1151" s="20"/>
      <c r="C1151" s="36"/>
      <c r="D1151" s="13"/>
      <c r="E1151" s="13"/>
      <c r="F1151" s="13"/>
      <c r="G1151" s="13"/>
      <c r="H1151" s="13"/>
      <c r="I1151" s="15"/>
      <c r="J1151" s="15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</row>
    <row r="1152" ht="22.5" hidden="1" customHeight="1">
      <c r="A1152" s="6"/>
      <c r="B1152" s="20"/>
      <c r="C1152" s="36"/>
      <c r="D1152" s="13"/>
      <c r="E1152" s="13"/>
      <c r="F1152" s="13"/>
      <c r="G1152" s="13"/>
      <c r="H1152" s="13"/>
      <c r="I1152" s="15"/>
      <c r="J1152" s="15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</row>
    <row r="1153" ht="22.5" hidden="1" customHeight="1">
      <c r="A1153" s="6"/>
      <c r="B1153" s="20"/>
      <c r="C1153" s="36"/>
      <c r="D1153" s="13"/>
      <c r="E1153" s="13"/>
      <c r="F1153" s="13"/>
      <c r="G1153" s="13"/>
      <c r="H1153" s="13"/>
      <c r="I1153" s="15"/>
      <c r="J1153" s="15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</row>
    <row r="1154" ht="22.5" hidden="1" customHeight="1">
      <c r="A1154" s="6"/>
      <c r="B1154" s="20"/>
      <c r="C1154" s="36"/>
      <c r="D1154" s="13"/>
      <c r="E1154" s="13"/>
      <c r="F1154" s="13"/>
      <c r="G1154" s="13"/>
      <c r="H1154" s="13"/>
      <c r="I1154" s="15"/>
      <c r="J1154" s="15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</row>
    <row r="1155" ht="22.5" hidden="1" customHeight="1">
      <c r="A1155" s="6"/>
      <c r="B1155" s="20"/>
      <c r="C1155" s="36"/>
      <c r="D1155" s="13"/>
      <c r="E1155" s="13"/>
      <c r="F1155" s="13"/>
      <c r="G1155" s="13"/>
      <c r="H1155" s="13"/>
      <c r="I1155" s="15"/>
      <c r="J1155" s="15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</row>
    <row r="1156" ht="22.5" hidden="1" customHeight="1">
      <c r="A1156" s="6"/>
      <c r="B1156" s="20"/>
      <c r="C1156" s="36"/>
      <c r="D1156" s="13"/>
      <c r="E1156" s="13"/>
      <c r="F1156" s="13"/>
      <c r="G1156" s="13"/>
      <c r="H1156" s="13"/>
      <c r="I1156" s="15"/>
      <c r="J1156" s="15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</row>
    <row r="1157" ht="22.5" hidden="1" customHeight="1">
      <c r="A1157" s="6"/>
      <c r="B1157" s="20"/>
      <c r="C1157" s="36"/>
      <c r="D1157" s="13"/>
      <c r="E1157" s="13"/>
      <c r="F1157" s="13"/>
      <c r="G1157" s="13"/>
      <c r="H1157" s="13"/>
      <c r="I1157" s="15"/>
      <c r="J1157" s="15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</row>
    <row r="1158" ht="22.5" hidden="1" customHeight="1">
      <c r="A1158" s="6"/>
      <c r="B1158" s="20"/>
      <c r="C1158" s="36"/>
      <c r="D1158" s="13"/>
      <c r="E1158" s="13"/>
      <c r="F1158" s="13"/>
      <c r="G1158" s="13"/>
      <c r="H1158" s="13"/>
      <c r="I1158" s="15"/>
      <c r="J1158" s="15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</row>
    <row r="1159" ht="22.5" hidden="1" customHeight="1">
      <c r="A1159" s="6"/>
      <c r="B1159" s="20"/>
      <c r="C1159" s="36"/>
      <c r="D1159" s="13"/>
      <c r="E1159" s="13"/>
      <c r="F1159" s="13"/>
      <c r="G1159" s="13"/>
      <c r="H1159" s="13"/>
      <c r="I1159" s="15"/>
      <c r="J1159" s="15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</row>
    <row r="1160" ht="22.5" hidden="1" customHeight="1">
      <c r="A1160" s="6"/>
      <c r="B1160" s="20"/>
      <c r="C1160" s="36"/>
      <c r="D1160" s="13"/>
      <c r="E1160" s="13"/>
      <c r="F1160" s="13"/>
      <c r="G1160" s="13"/>
      <c r="H1160" s="13"/>
      <c r="I1160" s="15"/>
      <c r="J1160" s="15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</row>
    <row r="1161" ht="22.5" hidden="1" customHeight="1">
      <c r="A1161" s="6"/>
      <c r="B1161" s="20"/>
      <c r="C1161" s="36"/>
      <c r="D1161" s="13"/>
      <c r="E1161" s="13"/>
      <c r="F1161" s="13"/>
      <c r="G1161" s="13"/>
      <c r="H1161" s="13"/>
      <c r="I1161" s="15"/>
      <c r="J1161" s="15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</row>
    <row r="1162" ht="22.5" hidden="1" customHeight="1">
      <c r="A1162" s="6"/>
      <c r="B1162" s="20"/>
      <c r="C1162" s="36"/>
      <c r="D1162" s="13"/>
      <c r="E1162" s="13"/>
      <c r="F1162" s="13"/>
      <c r="G1162" s="13"/>
      <c r="H1162" s="13"/>
      <c r="I1162" s="15"/>
      <c r="J1162" s="15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</row>
    <row r="1163" ht="22.5" hidden="1" customHeight="1">
      <c r="A1163" s="6"/>
      <c r="B1163" s="20"/>
      <c r="C1163" s="36"/>
      <c r="D1163" s="13"/>
      <c r="E1163" s="13"/>
      <c r="F1163" s="13"/>
      <c r="G1163" s="13"/>
      <c r="H1163" s="13"/>
      <c r="I1163" s="15"/>
      <c r="J1163" s="15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</row>
    <row r="1164" ht="22.5" hidden="1" customHeight="1">
      <c r="A1164" s="6"/>
      <c r="B1164" s="20"/>
      <c r="C1164" s="36"/>
      <c r="D1164" s="13"/>
      <c r="E1164" s="13"/>
      <c r="F1164" s="13"/>
      <c r="G1164" s="13"/>
      <c r="H1164" s="13"/>
      <c r="I1164" s="15"/>
      <c r="J1164" s="15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</row>
    <row r="1165" ht="22.5" hidden="1" customHeight="1">
      <c r="A1165" s="6"/>
      <c r="B1165" s="20"/>
      <c r="C1165" s="36"/>
      <c r="D1165" s="13"/>
      <c r="E1165" s="13"/>
      <c r="F1165" s="13"/>
      <c r="G1165" s="13"/>
      <c r="H1165" s="13"/>
      <c r="I1165" s="15"/>
      <c r="J1165" s="15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</row>
    <row r="1166" ht="22.5" hidden="1" customHeight="1">
      <c r="A1166" s="6"/>
      <c r="B1166" s="20"/>
      <c r="C1166" s="36"/>
      <c r="D1166" s="13"/>
      <c r="E1166" s="13"/>
      <c r="F1166" s="13"/>
      <c r="G1166" s="13"/>
      <c r="H1166" s="13"/>
      <c r="I1166" s="15"/>
      <c r="J1166" s="15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</row>
    <row r="1167" ht="22.5" hidden="1" customHeight="1">
      <c r="A1167" s="6"/>
      <c r="B1167" s="20"/>
      <c r="C1167" s="36"/>
      <c r="D1167" s="13"/>
      <c r="E1167" s="13"/>
      <c r="F1167" s="13"/>
      <c r="G1167" s="13"/>
      <c r="H1167" s="13"/>
      <c r="I1167" s="15"/>
      <c r="J1167" s="15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</row>
    <row r="1168" ht="22.5" hidden="1" customHeight="1">
      <c r="A1168" s="6"/>
      <c r="B1168" s="20"/>
      <c r="C1168" s="36"/>
      <c r="D1168" s="13"/>
      <c r="E1168" s="13"/>
      <c r="F1168" s="13"/>
      <c r="G1168" s="13"/>
      <c r="H1168" s="13"/>
      <c r="I1168" s="15"/>
      <c r="J1168" s="15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</row>
    <row r="1169" ht="22.5" hidden="1" customHeight="1">
      <c r="A1169" s="6"/>
      <c r="B1169" s="20"/>
      <c r="C1169" s="36"/>
      <c r="D1169" s="13"/>
      <c r="E1169" s="13"/>
      <c r="F1169" s="13"/>
      <c r="G1169" s="13"/>
      <c r="H1169" s="13"/>
      <c r="I1169" s="15"/>
      <c r="J1169" s="15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</row>
    <row r="1170" ht="22.5" hidden="1" customHeight="1">
      <c r="A1170" s="6"/>
      <c r="B1170" s="20"/>
      <c r="C1170" s="36"/>
      <c r="D1170" s="13"/>
      <c r="E1170" s="13"/>
      <c r="F1170" s="13"/>
      <c r="G1170" s="13"/>
      <c r="H1170" s="13"/>
      <c r="I1170" s="15"/>
      <c r="J1170" s="15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</row>
    <row r="1171" ht="22.5" hidden="1" customHeight="1">
      <c r="A1171" s="6"/>
      <c r="B1171" s="20"/>
      <c r="C1171" s="36"/>
      <c r="D1171" s="13"/>
      <c r="E1171" s="13"/>
      <c r="F1171" s="13"/>
      <c r="G1171" s="13"/>
      <c r="H1171" s="13"/>
      <c r="I1171" s="15"/>
      <c r="J1171" s="15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</row>
    <row r="1172" ht="22.5" hidden="1" customHeight="1">
      <c r="A1172" s="6"/>
      <c r="B1172" s="20"/>
      <c r="C1172" s="36"/>
      <c r="D1172" s="13"/>
      <c r="E1172" s="13"/>
      <c r="F1172" s="13"/>
      <c r="G1172" s="13"/>
      <c r="H1172" s="13"/>
      <c r="I1172" s="15"/>
      <c r="J1172" s="15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</row>
    <row r="1173" ht="22.5" hidden="1" customHeight="1">
      <c r="A1173" s="6"/>
      <c r="B1173" s="20"/>
      <c r="C1173" s="36"/>
      <c r="D1173" s="13"/>
      <c r="E1173" s="13"/>
      <c r="F1173" s="13"/>
      <c r="G1173" s="13"/>
      <c r="H1173" s="13"/>
      <c r="I1173" s="15"/>
      <c r="J1173" s="15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</row>
    <row r="1174" ht="22.5" hidden="1" customHeight="1">
      <c r="A1174" s="6"/>
      <c r="B1174" s="20"/>
      <c r="C1174" s="36"/>
      <c r="D1174" s="13"/>
      <c r="E1174" s="13"/>
      <c r="F1174" s="13"/>
      <c r="G1174" s="13"/>
      <c r="H1174" s="13"/>
      <c r="I1174" s="15"/>
      <c r="J1174" s="15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</row>
    <row r="1175" ht="22.5" hidden="1" customHeight="1">
      <c r="A1175" s="6"/>
      <c r="B1175" s="20"/>
      <c r="C1175" s="36"/>
      <c r="D1175" s="13"/>
      <c r="E1175" s="13"/>
      <c r="F1175" s="13"/>
      <c r="G1175" s="13"/>
      <c r="H1175" s="13"/>
      <c r="I1175" s="15"/>
      <c r="J1175" s="15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</row>
    <row r="1176" ht="22.5" hidden="1" customHeight="1">
      <c r="A1176" s="6"/>
      <c r="B1176" s="20"/>
      <c r="C1176" s="36"/>
      <c r="D1176" s="13"/>
      <c r="E1176" s="13"/>
      <c r="F1176" s="13"/>
      <c r="G1176" s="13"/>
      <c r="H1176" s="13"/>
      <c r="I1176" s="15"/>
      <c r="J1176" s="15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</row>
    <row r="1177" ht="22.5" hidden="1" customHeight="1">
      <c r="A1177" s="6"/>
      <c r="B1177" s="20"/>
      <c r="C1177" s="36"/>
      <c r="D1177" s="13"/>
      <c r="E1177" s="13"/>
      <c r="F1177" s="13"/>
      <c r="G1177" s="13"/>
      <c r="H1177" s="13"/>
      <c r="I1177" s="15"/>
      <c r="J1177" s="15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</row>
    <row r="1178" ht="22.5" hidden="1" customHeight="1">
      <c r="A1178" s="6"/>
      <c r="B1178" s="20"/>
      <c r="C1178" s="36"/>
      <c r="D1178" s="13"/>
      <c r="E1178" s="13"/>
      <c r="F1178" s="13"/>
      <c r="G1178" s="13"/>
      <c r="H1178" s="13"/>
      <c r="I1178" s="15"/>
      <c r="J1178" s="15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</row>
    <row r="1179" ht="22.5" hidden="1" customHeight="1">
      <c r="A1179" s="6"/>
      <c r="B1179" s="20"/>
      <c r="C1179" s="36"/>
      <c r="D1179" s="13"/>
      <c r="E1179" s="13"/>
      <c r="F1179" s="13"/>
      <c r="G1179" s="13"/>
      <c r="H1179" s="13"/>
      <c r="I1179" s="15"/>
      <c r="J1179" s="15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</row>
    <row r="1180" ht="22.5" hidden="1" customHeight="1">
      <c r="A1180" s="6"/>
      <c r="B1180" s="20"/>
      <c r="C1180" s="36"/>
      <c r="D1180" s="13"/>
      <c r="E1180" s="13"/>
      <c r="F1180" s="13"/>
      <c r="G1180" s="13"/>
      <c r="H1180" s="13"/>
      <c r="I1180" s="15"/>
      <c r="J1180" s="15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</row>
    <row r="1181" ht="22.5" hidden="1" customHeight="1">
      <c r="A1181" s="6"/>
      <c r="B1181" s="20"/>
      <c r="C1181" s="36"/>
      <c r="D1181" s="13"/>
      <c r="E1181" s="13"/>
      <c r="F1181" s="13"/>
      <c r="G1181" s="13"/>
      <c r="H1181" s="13"/>
      <c r="I1181" s="15"/>
      <c r="J1181" s="15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</row>
    <row r="1182" ht="22.5" hidden="1" customHeight="1">
      <c r="A1182" s="6"/>
      <c r="B1182" s="20"/>
      <c r="C1182" s="36"/>
      <c r="D1182" s="13"/>
      <c r="E1182" s="13"/>
      <c r="F1182" s="13"/>
      <c r="G1182" s="13"/>
      <c r="H1182" s="13"/>
      <c r="I1182" s="15"/>
      <c r="J1182" s="15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</row>
    <row r="1183" ht="22.5" hidden="1" customHeight="1">
      <c r="A1183" s="6"/>
      <c r="B1183" s="20"/>
      <c r="C1183" s="36"/>
      <c r="D1183" s="13"/>
      <c r="E1183" s="13"/>
      <c r="F1183" s="13"/>
      <c r="G1183" s="13"/>
      <c r="H1183" s="13"/>
      <c r="I1183" s="15"/>
      <c r="J1183" s="15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</row>
    <row r="1184" ht="22.5" hidden="1" customHeight="1">
      <c r="A1184" s="6"/>
      <c r="B1184" s="20"/>
      <c r="C1184" s="36"/>
      <c r="D1184" s="13"/>
      <c r="E1184" s="13"/>
      <c r="F1184" s="13"/>
      <c r="G1184" s="13"/>
      <c r="H1184" s="13"/>
      <c r="I1184" s="15"/>
      <c r="J1184" s="15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</row>
    <row r="1185" ht="22.5" hidden="1" customHeight="1">
      <c r="A1185" s="6"/>
      <c r="B1185" s="20"/>
      <c r="C1185" s="36"/>
      <c r="D1185" s="13"/>
      <c r="E1185" s="13"/>
      <c r="F1185" s="13"/>
      <c r="G1185" s="13"/>
      <c r="H1185" s="13"/>
      <c r="I1185" s="15"/>
      <c r="J1185" s="15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</row>
    <row r="1186" ht="22.5" hidden="1" customHeight="1">
      <c r="A1186" s="6"/>
      <c r="B1186" s="20"/>
      <c r="C1186" s="36"/>
      <c r="D1186" s="13"/>
      <c r="E1186" s="13"/>
      <c r="F1186" s="13"/>
      <c r="G1186" s="13"/>
      <c r="H1186" s="13"/>
      <c r="I1186" s="15"/>
      <c r="J1186" s="15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</row>
    <row r="1187" ht="22.5" hidden="1" customHeight="1">
      <c r="A1187" s="6"/>
      <c r="B1187" s="20"/>
      <c r="C1187" s="36"/>
      <c r="D1187" s="13"/>
      <c r="E1187" s="13"/>
      <c r="F1187" s="13"/>
      <c r="G1187" s="13"/>
      <c r="H1187" s="13"/>
      <c r="I1187" s="15"/>
      <c r="J1187" s="15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</row>
    <row r="1188" ht="22.5" hidden="1" customHeight="1">
      <c r="A1188" s="6"/>
      <c r="B1188" s="20"/>
      <c r="C1188" s="36"/>
      <c r="D1188" s="13"/>
      <c r="E1188" s="13"/>
      <c r="F1188" s="13"/>
      <c r="G1188" s="13"/>
      <c r="H1188" s="13"/>
      <c r="I1188" s="15"/>
      <c r="J1188" s="15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</row>
    <row r="1189" ht="22.5" hidden="1" customHeight="1">
      <c r="A1189" s="6"/>
      <c r="B1189" s="20"/>
      <c r="C1189" s="36"/>
      <c r="D1189" s="13"/>
      <c r="E1189" s="13"/>
      <c r="F1189" s="13"/>
      <c r="G1189" s="13"/>
      <c r="H1189" s="13"/>
      <c r="I1189" s="15"/>
      <c r="J1189" s="15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</row>
    <row r="1190" ht="22.5" hidden="1" customHeight="1">
      <c r="A1190" s="6"/>
      <c r="B1190" s="20"/>
      <c r="C1190" s="36"/>
      <c r="D1190" s="13"/>
      <c r="E1190" s="13"/>
      <c r="F1190" s="13"/>
      <c r="G1190" s="13"/>
      <c r="H1190" s="13"/>
      <c r="I1190" s="15"/>
      <c r="J1190" s="15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</row>
    <row r="1191" ht="22.5" hidden="1" customHeight="1">
      <c r="A1191" s="6"/>
      <c r="B1191" s="20"/>
      <c r="C1191" s="36"/>
      <c r="D1191" s="13"/>
      <c r="E1191" s="13"/>
      <c r="F1191" s="13"/>
      <c r="G1191" s="13"/>
      <c r="H1191" s="13"/>
      <c r="I1191" s="15"/>
      <c r="J1191" s="15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</row>
    <row r="1192" ht="22.5" hidden="1" customHeight="1">
      <c r="A1192" s="6"/>
      <c r="B1192" s="20"/>
      <c r="C1192" s="36"/>
      <c r="D1192" s="13"/>
      <c r="E1192" s="13"/>
      <c r="F1192" s="13"/>
      <c r="G1192" s="13"/>
      <c r="H1192" s="13"/>
      <c r="I1192" s="15"/>
      <c r="J1192" s="15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</row>
    <row r="1193" ht="22.5" hidden="1" customHeight="1">
      <c r="A1193" s="6"/>
      <c r="B1193" s="20"/>
      <c r="C1193" s="36"/>
      <c r="D1193" s="13"/>
      <c r="E1193" s="13"/>
      <c r="F1193" s="13"/>
      <c r="G1193" s="13"/>
      <c r="H1193" s="13"/>
      <c r="I1193" s="15"/>
      <c r="J1193" s="15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</row>
    <row r="1194" ht="22.5" hidden="1" customHeight="1">
      <c r="A1194" s="6"/>
      <c r="B1194" s="20"/>
      <c r="C1194" s="36"/>
      <c r="D1194" s="13"/>
      <c r="E1194" s="13"/>
      <c r="F1194" s="13"/>
      <c r="G1194" s="13"/>
      <c r="H1194" s="13"/>
      <c r="I1194" s="15"/>
      <c r="J1194" s="15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</row>
    <row r="1195" ht="22.5" hidden="1" customHeight="1">
      <c r="A1195" s="6"/>
      <c r="B1195" s="20"/>
      <c r="C1195" s="36"/>
      <c r="D1195" s="13"/>
      <c r="E1195" s="13"/>
      <c r="F1195" s="13"/>
      <c r="G1195" s="13"/>
      <c r="H1195" s="13"/>
      <c r="I1195" s="15"/>
      <c r="J1195" s="15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</row>
    <row r="1196" ht="22.5" hidden="1" customHeight="1">
      <c r="A1196" s="6"/>
      <c r="B1196" s="20"/>
      <c r="C1196" s="36"/>
      <c r="D1196" s="13"/>
      <c r="E1196" s="13"/>
      <c r="F1196" s="13"/>
      <c r="G1196" s="13"/>
      <c r="H1196" s="13"/>
      <c r="I1196" s="15"/>
      <c r="J1196" s="15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</row>
    <row r="1197" ht="22.5" hidden="1" customHeight="1">
      <c r="A1197" s="6"/>
      <c r="B1197" s="20"/>
      <c r="C1197" s="36"/>
      <c r="D1197" s="13"/>
      <c r="E1197" s="13"/>
      <c r="F1197" s="13"/>
      <c r="G1197" s="13"/>
      <c r="H1197" s="13"/>
      <c r="I1197" s="15"/>
      <c r="J1197" s="15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</row>
    <row r="1198" ht="22.5" hidden="1" customHeight="1">
      <c r="A1198" s="6"/>
      <c r="B1198" s="20"/>
      <c r="C1198" s="36"/>
      <c r="D1198" s="13"/>
      <c r="E1198" s="13"/>
      <c r="F1198" s="13"/>
      <c r="G1198" s="13"/>
      <c r="H1198" s="13"/>
      <c r="I1198" s="15"/>
      <c r="J1198" s="15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</row>
    <row r="1199" ht="22.5" hidden="1" customHeight="1">
      <c r="A1199" s="6"/>
      <c r="B1199" s="20"/>
      <c r="C1199" s="36"/>
      <c r="D1199" s="13"/>
      <c r="E1199" s="13"/>
      <c r="F1199" s="13"/>
      <c r="G1199" s="13"/>
      <c r="H1199" s="13"/>
      <c r="I1199" s="15"/>
      <c r="J1199" s="15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</row>
    <row r="1200" ht="22.5" hidden="1" customHeight="1">
      <c r="A1200" s="6"/>
      <c r="B1200" s="20"/>
      <c r="C1200" s="36"/>
      <c r="D1200" s="13"/>
      <c r="E1200" s="13"/>
      <c r="F1200" s="13"/>
      <c r="G1200" s="13"/>
      <c r="H1200" s="13"/>
      <c r="I1200" s="15"/>
      <c r="J1200" s="15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</row>
    <row r="1201" ht="22.5" hidden="1" customHeight="1">
      <c r="A1201" s="6"/>
      <c r="B1201" s="20"/>
      <c r="C1201" s="36"/>
      <c r="D1201" s="13"/>
      <c r="E1201" s="13"/>
      <c r="F1201" s="13"/>
      <c r="G1201" s="13"/>
      <c r="H1201" s="13"/>
      <c r="I1201" s="15"/>
      <c r="J1201" s="15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</row>
    <row r="1202" ht="22.5" hidden="1" customHeight="1">
      <c r="A1202" s="6"/>
      <c r="B1202" s="20"/>
      <c r="C1202" s="36"/>
      <c r="D1202" s="13"/>
      <c r="E1202" s="13"/>
      <c r="F1202" s="13"/>
      <c r="G1202" s="13"/>
      <c r="H1202" s="13"/>
      <c r="I1202" s="15"/>
      <c r="J1202" s="15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</row>
    <row r="1203" ht="22.5" hidden="1" customHeight="1">
      <c r="A1203" s="6"/>
      <c r="B1203" s="20"/>
      <c r="C1203" s="36"/>
      <c r="D1203" s="13"/>
      <c r="E1203" s="13"/>
      <c r="F1203" s="13"/>
      <c r="G1203" s="13"/>
      <c r="H1203" s="13"/>
      <c r="I1203" s="15"/>
      <c r="J1203" s="15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</row>
    <row r="1204" ht="22.5" hidden="1" customHeight="1">
      <c r="A1204" s="6"/>
      <c r="B1204" s="20"/>
      <c r="C1204" s="36"/>
      <c r="D1204" s="13"/>
      <c r="E1204" s="13"/>
      <c r="F1204" s="13"/>
      <c r="G1204" s="13"/>
      <c r="H1204" s="13"/>
      <c r="I1204" s="15"/>
      <c r="J1204" s="15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</row>
    <row r="1205" ht="22.5" hidden="1" customHeight="1">
      <c r="A1205" s="6"/>
      <c r="B1205" s="20"/>
      <c r="C1205" s="36"/>
      <c r="D1205" s="13"/>
      <c r="E1205" s="13"/>
      <c r="F1205" s="13"/>
      <c r="G1205" s="13"/>
      <c r="H1205" s="13"/>
      <c r="I1205" s="15"/>
      <c r="J1205" s="15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</row>
    <row r="1206" ht="22.5" hidden="1" customHeight="1">
      <c r="A1206" s="6"/>
      <c r="B1206" s="20"/>
      <c r="C1206" s="36"/>
      <c r="D1206" s="13"/>
      <c r="E1206" s="13"/>
      <c r="F1206" s="13"/>
      <c r="G1206" s="13"/>
      <c r="H1206" s="13"/>
      <c r="I1206" s="15"/>
      <c r="J1206" s="15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</row>
    <row r="1207" ht="22.5" hidden="1" customHeight="1">
      <c r="A1207" s="6"/>
      <c r="B1207" s="20"/>
      <c r="C1207" s="36"/>
      <c r="D1207" s="13"/>
      <c r="E1207" s="13"/>
      <c r="F1207" s="13"/>
      <c r="G1207" s="13"/>
      <c r="H1207" s="13"/>
      <c r="I1207" s="15"/>
      <c r="J1207" s="15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</row>
    <row r="1208" ht="22.5" hidden="1" customHeight="1">
      <c r="A1208" s="6"/>
      <c r="B1208" s="20"/>
      <c r="C1208" s="36"/>
      <c r="D1208" s="13"/>
      <c r="E1208" s="13"/>
      <c r="F1208" s="13"/>
      <c r="G1208" s="13"/>
      <c r="H1208" s="13"/>
      <c r="I1208" s="15"/>
      <c r="J1208" s="15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</row>
    <row r="1209" ht="22.5" hidden="1" customHeight="1">
      <c r="A1209" s="6"/>
      <c r="B1209" s="20"/>
      <c r="C1209" s="36"/>
      <c r="D1209" s="13"/>
      <c r="E1209" s="13"/>
      <c r="F1209" s="13"/>
      <c r="G1209" s="13"/>
      <c r="H1209" s="13"/>
      <c r="I1209" s="15"/>
      <c r="J1209" s="15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</row>
    <row r="1210" ht="22.5" hidden="1" customHeight="1">
      <c r="A1210" s="6"/>
      <c r="B1210" s="20"/>
      <c r="C1210" s="36"/>
      <c r="D1210" s="13"/>
      <c r="E1210" s="13"/>
      <c r="F1210" s="13"/>
      <c r="G1210" s="13"/>
      <c r="H1210" s="13"/>
      <c r="I1210" s="15"/>
      <c r="J1210" s="15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</row>
    <row r="1211" ht="22.5" hidden="1" customHeight="1">
      <c r="A1211" s="6"/>
      <c r="B1211" s="20"/>
      <c r="C1211" s="36"/>
      <c r="D1211" s="13"/>
      <c r="E1211" s="13"/>
      <c r="F1211" s="13"/>
      <c r="G1211" s="13"/>
      <c r="H1211" s="13"/>
      <c r="I1211" s="15"/>
      <c r="J1211" s="15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</row>
    <row r="1212" ht="22.5" hidden="1" customHeight="1">
      <c r="A1212" s="6"/>
      <c r="B1212" s="20"/>
      <c r="C1212" s="36"/>
      <c r="D1212" s="13"/>
      <c r="E1212" s="13"/>
      <c r="F1212" s="13"/>
      <c r="G1212" s="13"/>
      <c r="H1212" s="13"/>
      <c r="I1212" s="15"/>
      <c r="J1212" s="15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</row>
    <row r="1213" ht="22.5" hidden="1" customHeight="1">
      <c r="A1213" s="6"/>
      <c r="B1213" s="20"/>
      <c r="C1213" s="36"/>
      <c r="D1213" s="13"/>
      <c r="E1213" s="13"/>
      <c r="F1213" s="13"/>
      <c r="G1213" s="13"/>
      <c r="H1213" s="13"/>
      <c r="I1213" s="15"/>
      <c r="J1213" s="15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</row>
    <row r="1214" ht="22.5" hidden="1" customHeight="1">
      <c r="A1214" s="6"/>
      <c r="B1214" s="20"/>
      <c r="C1214" s="36"/>
      <c r="D1214" s="13"/>
      <c r="E1214" s="13"/>
      <c r="F1214" s="13"/>
      <c r="G1214" s="13"/>
      <c r="H1214" s="13"/>
      <c r="I1214" s="15"/>
      <c r="J1214" s="15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</row>
    <row r="1215" ht="22.5" hidden="1" customHeight="1">
      <c r="A1215" s="6"/>
      <c r="B1215" s="20"/>
      <c r="C1215" s="36"/>
      <c r="D1215" s="13"/>
      <c r="E1215" s="13"/>
      <c r="F1215" s="13"/>
      <c r="G1215" s="13"/>
      <c r="H1215" s="13"/>
      <c r="I1215" s="15"/>
      <c r="J1215" s="15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</row>
    <row r="1216" ht="22.5" hidden="1" customHeight="1">
      <c r="A1216" s="6"/>
      <c r="B1216" s="20"/>
      <c r="C1216" s="36"/>
      <c r="D1216" s="13"/>
      <c r="E1216" s="13"/>
      <c r="F1216" s="13"/>
      <c r="G1216" s="13"/>
      <c r="H1216" s="13"/>
      <c r="I1216" s="15"/>
      <c r="J1216" s="15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</row>
    <row r="1217" ht="22.5" hidden="1" customHeight="1">
      <c r="A1217" s="6"/>
      <c r="B1217" s="20"/>
      <c r="C1217" s="36"/>
      <c r="D1217" s="13"/>
      <c r="E1217" s="13"/>
      <c r="F1217" s="13"/>
      <c r="G1217" s="13"/>
      <c r="H1217" s="13"/>
      <c r="I1217" s="15"/>
      <c r="J1217" s="15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</row>
    <row r="1218" ht="22.5" hidden="1" customHeight="1">
      <c r="A1218" s="6"/>
      <c r="B1218" s="20"/>
      <c r="C1218" s="36"/>
      <c r="D1218" s="13"/>
      <c r="E1218" s="13"/>
      <c r="F1218" s="13"/>
      <c r="G1218" s="13"/>
      <c r="H1218" s="13"/>
      <c r="I1218" s="15"/>
      <c r="J1218" s="15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</row>
    <row r="1219" ht="22.5" hidden="1" customHeight="1">
      <c r="A1219" s="6"/>
      <c r="B1219" s="20"/>
      <c r="C1219" s="36"/>
      <c r="D1219" s="13"/>
      <c r="E1219" s="13"/>
      <c r="F1219" s="13"/>
      <c r="G1219" s="13"/>
      <c r="H1219" s="13"/>
      <c r="I1219" s="15"/>
      <c r="J1219" s="15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</row>
    <row r="1220" ht="22.5" hidden="1" customHeight="1">
      <c r="A1220" s="6"/>
      <c r="B1220" s="20"/>
      <c r="C1220" s="36"/>
      <c r="D1220" s="13"/>
      <c r="E1220" s="13"/>
      <c r="F1220" s="13"/>
      <c r="G1220" s="13"/>
      <c r="H1220" s="13"/>
      <c r="I1220" s="15"/>
      <c r="J1220" s="15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</row>
    <row r="1221" ht="22.5" hidden="1" customHeight="1">
      <c r="A1221" s="6"/>
      <c r="B1221" s="20"/>
      <c r="C1221" s="36"/>
      <c r="D1221" s="13"/>
      <c r="E1221" s="13"/>
      <c r="F1221" s="13"/>
      <c r="G1221" s="13"/>
      <c r="H1221" s="13"/>
      <c r="I1221" s="15"/>
      <c r="J1221" s="15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</row>
    <row r="1222" ht="22.5" hidden="1" customHeight="1">
      <c r="A1222" s="6"/>
      <c r="B1222" s="20"/>
      <c r="C1222" s="36"/>
      <c r="D1222" s="13"/>
      <c r="E1222" s="13"/>
      <c r="F1222" s="13"/>
      <c r="G1222" s="13"/>
      <c r="H1222" s="13"/>
      <c r="I1222" s="15"/>
      <c r="J1222" s="15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</row>
    <row r="1223" ht="22.5" hidden="1" customHeight="1">
      <c r="A1223" s="6"/>
      <c r="B1223" s="20"/>
      <c r="C1223" s="36"/>
      <c r="D1223" s="13"/>
      <c r="E1223" s="13"/>
      <c r="F1223" s="13"/>
      <c r="G1223" s="13"/>
      <c r="H1223" s="13"/>
      <c r="I1223" s="15"/>
      <c r="J1223" s="15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</row>
    <row r="1224" ht="22.5" hidden="1" customHeight="1">
      <c r="A1224" s="6"/>
      <c r="B1224" s="20"/>
      <c r="C1224" s="36"/>
      <c r="D1224" s="13"/>
      <c r="E1224" s="13"/>
      <c r="F1224" s="13"/>
      <c r="G1224" s="13"/>
      <c r="H1224" s="13"/>
      <c r="I1224" s="15"/>
      <c r="J1224" s="15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</row>
    <row r="1225" ht="22.5" hidden="1" customHeight="1">
      <c r="A1225" s="6"/>
      <c r="B1225" s="20"/>
      <c r="C1225" s="36"/>
      <c r="D1225" s="13"/>
      <c r="E1225" s="13"/>
      <c r="F1225" s="13"/>
      <c r="G1225" s="13"/>
      <c r="H1225" s="13"/>
      <c r="I1225" s="15"/>
      <c r="J1225" s="15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</row>
    <row r="1226" ht="22.5" hidden="1" customHeight="1">
      <c r="A1226" s="6"/>
      <c r="B1226" s="20"/>
      <c r="C1226" s="36"/>
      <c r="D1226" s="13"/>
      <c r="E1226" s="13"/>
      <c r="F1226" s="13"/>
      <c r="G1226" s="13"/>
      <c r="H1226" s="13"/>
      <c r="I1226" s="15"/>
      <c r="J1226" s="15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</row>
    <row r="1227" ht="22.5" hidden="1" customHeight="1">
      <c r="A1227" s="6"/>
      <c r="B1227" s="20"/>
      <c r="C1227" s="36"/>
      <c r="D1227" s="13"/>
      <c r="E1227" s="13"/>
      <c r="F1227" s="13"/>
      <c r="G1227" s="13"/>
      <c r="H1227" s="13"/>
      <c r="I1227" s="15"/>
      <c r="J1227" s="15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</row>
    <row r="1228" ht="22.5" hidden="1" customHeight="1">
      <c r="A1228" s="6"/>
      <c r="B1228" s="20"/>
      <c r="C1228" s="36"/>
      <c r="D1228" s="13"/>
      <c r="E1228" s="13"/>
      <c r="F1228" s="13"/>
      <c r="G1228" s="13"/>
      <c r="H1228" s="13"/>
      <c r="I1228" s="15"/>
      <c r="J1228" s="15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</row>
    <row r="1229" ht="22.5" hidden="1" customHeight="1">
      <c r="A1229" s="6"/>
      <c r="B1229" s="20"/>
      <c r="C1229" s="36"/>
      <c r="D1229" s="13"/>
      <c r="E1229" s="13"/>
      <c r="F1229" s="13"/>
      <c r="G1229" s="13"/>
      <c r="H1229" s="13"/>
      <c r="I1229" s="15"/>
      <c r="J1229" s="15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</row>
    <row r="1230" ht="22.5" hidden="1" customHeight="1">
      <c r="A1230" s="6"/>
      <c r="B1230" s="20"/>
      <c r="C1230" s="36"/>
      <c r="D1230" s="13"/>
      <c r="E1230" s="13"/>
      <c r="F1230" s="13"/>
      <c r="G1230" s="13"/>
      <c r="H1230" s="13"/>
      <c r="I1230" s="15"/>
      <c r="J1230" s="15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</row>
    <row r="1231" ht="22.5" hidden="1" customHeight="1">
      <c r="A1231" s="6"/>
      <c r="B1231" s="20"/>
      <c r="C1231" s="36"/>
      <c r="D1231" s="13"/>
      <c r="E1231" s="13"/>
      <c r="F1231" s="13"/>
      <c r="G1231" s="13"/>
      <c r="H1231" s="13"/>
      <c r="I1231" s="15"/>
      <c r="J1231" s="15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</row>
    <row r="1232" ht="22.5" hidden="1" customHeight="1">
      <c r="A1232" s="6"/>
      <c r="B1232" s="20"/>
      <c r="C1232" s="36"/>
      <c r="D1232" s="13"/>
      <c r="E1232" s="13"/>
      <c r="F1232" s="13"/>
      <c r="G1232" s="13"/>
      <c r="H1232" s="13"/>
      <c r="I1232" s="15"/>
      <c r="J1232" s="15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</row>
    <row r="1233" ht="22.5" hidden="1" customHeight="1">
      <c r="A1233" s="6"/>
      <c r="B1233" s="20"/>
      <c r="C1233" s="36"/>
      <c r="D1233" s="13"/>
      <c r="E1233" s="13"/>
      <c r="F1233" s="13"/>
      <c r="G1233" s="13"/>
      <c r="H1233" s="13"/>
      <c r="I1233" s="15"/>
      <c r="J1233" s="15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</row>
    <row r="1234" ht="22.5" hidden="1" customHeight="1">
      <c r="A1234" s="6"/>
      <c r="B1234" s="20"/>
      <c r="C1234" s="36"/>
      <c r="D1234" s="13"/>
      <c r="E1234" s="13"/>
      <c r="F1234" s="13"/>
      <c r="G1234" s="13"/>
      <c r="H1234" s="13"/>
      <c r="I1234" s="15"/>
      <c r="J1234" s="15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</row>
    <row r="1235" ht="22.5" hidden="1" customHeight="1">
      <c r="A1235" s="6"/>
      <c r="B1235" s="20"/>
      <c r="C1235" s="36"/>
      <c r="D1235" s="13"/>
      <c r="E1235" s="13"/>
      <c r="F1235" s="13"/>
      <c r="G1235" s="13"/>
      <c r="H1235" s="13"/>
      <c r="I1235" s="15"/>
      <c r="J1235" s="15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</row>
    <row r="1236" ht="22.5" hidden="1" customHeight="1">
      <c r="A1236" s="6"/>
      <c r="B1236" s="20"/>
      <c r="C1236" s="36"/>
      <c r="D1236" s="13"/>
      <c r="E1236" s="13"/>
      <c r="F1236" s="13"/>
      <c r="G1236" s="13"/>
      <c r="H1236" s="13"/>
      <c r="I1236" s="15"/>
      <c r="J1236" s="15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</row>
    <row r="1237" ht="22.5" hidden="1" customHeight="1">
      <c r="A1237" s="6"/>
      <c r="B1237" s="20"/>
      <c r="C1237" s="36"/>
      <c r="D1237" s="13"/>
      <c r="E1237" s="13"/>
      <c r="F1237" s="13"/>
      <c r="G1237" s="13"/>
      <c r="H1237" s="13"/>
      <c r="I1237" s="15"/>
      <c r="J1237" s="15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</row>
    <row r="1238" ht="22.5" hidden="1" customHeight="1">
      <c r="A1238" s="6"/>
      <c r="B1238" s="20"/>
      <c r="C1238" s="36"/>
      <c r="D1238" s="13"/>
      <c r="E1238" s="13"/>
      <c r="F1238" s="13"/>
      <c r="G1238" s="13"/>
      <c r="H1238" s="13"/>
      <c r="I1238" s="15"/>
      <c r="J1238" s="15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</row>
    <row r="1239" ht="22.5" hidden="1" customHeight="1">
      <c r="A1239" s="6"/>
      <c r="B1239" s="20"/>
      <c r="C1239" s="36"/>
      <c r="D1239" s="13"/>
      <c r="E1239" s="13"/>
      <c r="F1239" s="13"/>
      <c r="G1239" s="13"/>
      <c r="H1239" s="13"/>
      <c r="I1239" s="15"/>
      <c r="J1239" s="15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</row>
    <row r="1240" ht="22.5" hidden="1" customHeight="1">
      <c r="A1240" s="6"/>
      <c r="B1240" s="20"/>
      <c r="C1240" s="36"/>
      <c r="D1240" s="13"/>
      <c r="E1240" s="13"/>
      <c r="F1240" s="13"/>
      <c r="G1240" s="13"/>
      <c r="H1240" s="13"/>
      <c r="I1240" s="15"/>
      <c r="J1240" s="15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</row>
    <row r="1241" ht="22.5" hidden="1" customHeight="1">
      <c r="A1241" s="6"/>
      <c r="B1241" s="20"/>
      <c r="C1241" s="36"/>
      <c r="D1241" s="13"/>
      <c r="E1241" s="13"/>
      <c r="F1241" s="13"/>
      <c r="G1241" s="13"/>
      <c r="H1241" s="13"/>
      <c r="I1241" s="15"/>
      <c r="J1241" s="15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</row>
    <row r="1242" ht="22.5" hidden="1" customHeight="1">
      <c r="A1242" s="6"/>
      <c r="B1242" s="20"/>
      <c r="C1242" s="36"/>
      <c r="D1242" s="13"/>
      <c r="E1242" s="13"/>
      <c r="F1242" s="13"/>
      <c r="G1242" s="13"/>
      <c r="H1242" s="13"/>
      <c r="I1242" s="15"/>
      <c r="J1242" s="15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</row>
    <row r="1243" ht="22.5" hidden="1" customHeight="1">
      <c r="A1243" s="6"/>
      <c r="B1243" s="20"/>
      <c r="C1243" s="36"/>
      <c r="D1243" s="13"/>
      <c r="E1243" s="13"/>
      <c r="F1243" s="13"/>
      <c r="G1243" s="13"/>
      <c r="H1243" s="13"/>
      <c r="I1243" s="15"/>
      <c r="J1243" s="15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</row>
    <row r="1244" ht="22.5" hidden="1" customHeight="1">
      <c r="A1244" s="6"/>
      <c r="B1244" s="20"/>
      <c r="C1244" s="36"/>
      <c r="D1244" s="13"/>
      <c r="E1244" s="13"/>
      <c r="F1244" s="13"/>
      <c r="G1244" s="13"/>
      <c r="H1244" s="13"/>
      <c r="I1244" s="15"/>
      <c r="J1244" s="15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</row>
    <row r="1245" ht="22.5" hidden="1" customHeight="1">
      <c r="A1245" s="6"/>
      <c r="B1245" s="20"/>
      <c r="C1245" s="36"/>
      <c r="D1245" s="13"/>
      <c r="E1245" s="13"/>
      <c r="F1245" s="13"/>
      <c r="G1245" s="13"/>
      <c r="H1245" s="13"/>
      <c r="I1245" s="15"/>
      <c r="J1245" s="15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</row>
    <row r="1246" ht="22.5" hidden="1" customHeight="1">
      <c r="A1246" s="6"/>
      <c r="B1246" s="20"/>
      <c r="C1246" s="36"/>
      <c r="D1246" s="13"/>
      <c r="E1246" s="13"/>
      <c r="F1246" s="13"/>
      <c r="G1246" s="13"/>
      <c r="H1246" s="13"/>
      <c r="I1246" s="15"/>
      <c r="J1246" s="15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</row>
    <row r="1247" ht="22.5" hidden="1" customHeight="1">
      <c r="A1247" s="6"/>
      <c r="B1247" s="20"/>
      <c r="C1247" s="36"/>
      <c r="D1247" s="13"/>
      <c r="E1247" s="13"/>
      <c r="F1247" s="13"/>
      <c r="G1247" s="13"/>
      <c r="H1247" s="13"/>
      <c r="I1247" s="15"/>
      <c r="J1247" s="15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</row>
    <row r="1248" ht="22.5" hidden="1" customHeight="1">
      <c r="A1248" s="6"/>
      <c r="B1248" s="20"/>
      <c r="C1248" s="36"/>
      <c r="D1248" s="13"/>
      <c r="E1248" s="13"/>
      <c r="F1248" s="13"/>
      <c r="G1248" s="13"/>
      <c r="H1248" s="13"/>
      <c r="I1248" s="15"/>
      <c r="J1248" s="15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</row>
    <row r="1249" ht="22.5" hidden="1" customHeight="1">
      <c r="A1249" s="6"/>
      <c r="B1249" s="20"/>
      <c r="C1249" s="36"/>
      <c r="D1249" s="13"/>
      <c r="E1249" s="13"/>
      <c r="F1249" s="13"/>
      <c r="G1249" s="13"/>
      <c r="H1249" s="13"/>
      <c r="I1249" s="15"/>
      <c r="J1249" s="15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</row>
    <row r="1250" ht="22.5" hidden="1" customHeight="1">
      <c r="A1250" s="6"/>
      <c r="B1250" s="20"/>
      <c r="C1250" s="36"/>
      <c r="D1250" s="13"/>
      <c r="E1250" s="13"/>
      <c r="F1250" s="13"/>
      <c r="G1250" s="13"/>
      <c r="H1250" s="13"/>
      <c r="I1250" s="15"/>
      <c r="J1250" s="15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</row>
    <row r="1251" ht="22.5" hidden="1" customHeight="1">
      <c r="A1251" s="6"/>
      <c r="B1251" s="20"/>
      <c r="C1251" s="36"/>
      <c r="D1251" s="13"/>
      <c r="E1251" s="13"/>
      <c r="F1251" s="13"/>
      <c r="G1251" s="13"/>
      <c r="H1251" s="13"/>
      <c r="I1251" s="15"/>
      <c r="J1251" s="15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</row>
    <row r="1252" ht="22.5" hidden="1" customHeight="1">
      <c r="A1252" s="6"/>
      <c r="B1252" s="20"/>
      <c r="C1252" s="36"/>
      <c r="D1252" s="13"/>
      <c r="E1252" s="13"/>
      <c r="F1252" s="13"/>
      <c r="G1252" s="13"/>
      <c r="H1252" s="13"/>
      <c r="I1252" s="15"/>
      <c r="J1252" s="15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</row>
    <row r="1253" ht="22.5" hidden="1" customHeight="1">
      <c r="A1253" s="6"/>
      <c r="B1253" s="20"/>
      <c r="C1253" s="36"/>
      <c r="D1253" s="13"/>
      <c r="E1253" s="13"/>
      <c r="F1253" s="13"/>
      <c r="G1253" s="13"/>
      <c r="H1253" s="13"/>
      <c r="I1253" s="15"/>
      <c r="J1253" s="15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</row>
    <row r="1254" ht="22.5" hidden="1" customHeight="1">
      <c r="A1254" s="6"/>
      <c r="B1254" s="20"/>
      <c r="C1254" s="36"/>
      <c r="D1254" s="13"/>
      <c r="E1254" s="13"/>
      <c r="F1254" s="13"/>
      <c r="G1254" s="13"/>
      <c r="H1254" s="13"/>
      <c r="I1254" s="15"/>
      <c r="J1254" s="15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</row>
    <row r="1255" ht="22.5" hidden="1" customHeight="1">
      <c r="A1255" s="6"/>
      <c r="B1255" s="20"/>
      <c r="C1255" s="36"/>
      <c r="D1255" s="13"/>
      <c r="E1255" s="13"/>
      <c r="F1255" s="13"/>
      <c r="G1255" s="13"/>
      <c r="H1255" s="13"/>
      <c r="I1255" s="15"/>
      <c r="J1255" s="15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</row>
    <row r="1256" ht="22.5" hidden="1" customHeight="1">
      <c r="A1256" s="6"/>
      <c r="B1256" s="20"/>
      <c r="C1256" s="36"/>
      <c r="D1256" s="13"/>
      <c r="E1256" s="13"/>
      <c r="F1256" s="13"/>
      <c r="G1256" s="13"/>
      <c r="H1256" s="13"/>
      <c r="I1256" s="15"/>
      <c r="J1256" s="15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</row>
    <row r="1257" ht="22.5" hidden="1" customHeight="1">
      <c r="A1257" s="6"/>
      <c r="B1257" s="20"/>
      <c r="C1257" s="36"/>
      <c r="D1257" s="13"/>
      <c r="E1257" s="13"/>
      <c r="F1257" s="13"/>
      <c r="G1257" s="13"/>
      <c r="H1257" s="13"/>
      <c r="I1257" s="15"/>
      <c r="J1257" s="15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</row>
    <row r="1258" ht="22.5" hidden="1" customHeight="1">
      <c r="A1258" s="6"/>
      <c r="B1258" s="20"/>
      <c r="C1258" s="36"/>
      <c r="D1258" s="13"/>
      <c r="E1258" s="13"/>
      <c r="F1258" s="13"/>
      <c r="G1258" s="13"/>
      <c r="H1258" s="13"/>
      <c r="I1258" s="15"/>
      <c r="J1258" s="15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</row>
    <row r="1259" ht="22.5" hidden="1" customHeight="1">
      <c r="A1259" s="6"/>
      <c r="B1259" s="20"/>
      <c r="C1259" s="36"/>
      <c r="D1259" s="13"/>
      <c r="E1259" s="13"/>
      <c r="F1259" s="13"/>
      <c r="G1259" s="13"/>
      <c r="H1259" s="13"/>
      <c r="I1259" s="15"/>
      <c r="J1259" s="15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</row>
    <row r="1260" ht="22.5" hidden="1" customHeight="1">
      <c r="A1260" s="6"/>
      <c r="B1260" s="20"/>
      <c r="C1260" s="36"/>
      <c r="D1260" s="13"/>
      <c r="E1260" s="13"/>
      <c r="F1260" s="13"/>
      <c r="G1260" s="13"/>
      <c r="H1260" s="13"/>
      <c r="I1260" s="15"/>
      <c r="J1260" s="15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</row>
    <row r="1261" ht="22.5" hidden="1" customHeight="1">
      <c r="A1261" s="6"/>
      <c r="B1261" s="20"/>
      <c r="C1261" s="36"/>
      <c r="D1261" s="13"/>
      <c r="E1261" s="13"/>
      <c r="F1261" s="13"/>
      <c r="G1261" s="13"/>
      <c r="H1261" s="13"/>
      <c r="I1261" s="15"/>
      <c r="J1261" s="15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</row>
    <row r="1262" ht="22.5" hidden="1" customHeight="1">
      <c r="A1262" s="6"/>
      <c r="B1262" s="20"/>
      <c r="C1262" s="36"/>
      <c r="D1262" s="13"/>
      <c r="E1262" s="13"/>
      <c r="F1262" s="13"/>
      <c r="G1262" s="13"/>
      <c r="H1262" s="13"/>
      <c r="I1262" s="15"/>
      <c r="J1262" s="15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</row>
    <row r="1263" ht="22.5" hidden="1" customHeight="1">
      <c r="A1263" s="6"/>
      <c r="B1263" s="20"/>
      <c r="C1263" s="36"/>
      <c r="D1263" s="13"/>
      <c r="E1263" s="13"/>
      <c r="F1263" s="13"/>
      <c r="G1263" s="13"/>
      <c r="H1263" s="13"/>
      <c r="I1263" s="15"/>
      <c r="J1263" s="15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</row>
    <row r="1264" ht="22.5" hidden="1" customHeight="1">
      <c r="A1264" s="6"/>
      <c r="B1264" s="20"/>
      <c r="C1264" s="36"/>
      <c r="D1264" s="13"/>
      <c r="E1264" s="13"/>
      <c r="F1264" s="13"/>
      <c r="G1264" s="13"/>
      <c r="H1264" s="13"/>
      <c r="I1264" s="15"/>
      <c r="J1264" s="15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</row>
    <row r="1265" ht="22.5" hidden="1" customHeight="1">
      <c r="A1265" s="6"/>
      <c r="B1265" s="20"/>
      <c r="C1265" s="36"/>
      <c r="D1265" s="13"/>
      <c r="E1265" s="13"/>
      <c r="F1265" s="13"/>
      <c r="G1265" s="13"/>
      <c r="H1265" s="13"/>
      <c r="I1265" s="15"/>
      <c r="J1265" s="15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</row>
    <row r="1266" ht="22.5" hidden="1" customHeight="1">
      <c r="A1266" s="6"/>
      <c r="B1266" s="20"/>
      <c r="C1266" s="36"/>
      <c r="D1266" s="13"/>
      <c r="E1266" s="13"/>
      <c r="F1266" s="13"/>
      <c r="G1266" s="13"/>
      <c r="H1266" s="13"/>
      <c r="I1266" s="15"/>
      <c r="J1266" s="15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</row>
    <row r="1267" ht="22.5" hidden="1" customHeight="1">
      <c r="A1267" s="6"/>
      <c r="B1267" s="20"/>
      <c r="C1267" s="36"/>
      <c r="D1267" s="13"/>
      <c r="E1267" s="13"/>
      <c r="F1267" s="13"/>
      <c r="G1267" s="13"/>
      <c r="H1267" s="13"/>
      <c r="I1267" s="15"/>
      <c r="J1267" s="15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</row>
    <row r="1268" ht="22.5" hidden="1" customHeight="1">
      <c r="A1268" s="6"/>
      <c r="B1268" s="20"/>
      <c r="C1268" s="36"/>
      <c r="D1268" s="13"/>
      <c r="E1268" s="13"/>
      <c r="F1268" s="13"/>
      <c r="G1268" s="13"/>
      <c r="H1268" s="13"/>
      <c r="I1268" s="15"/>
      <c r="J1268" s="15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</row>
    <row r="1269" ht="22.5" hidden="1" customHeight="1">
      <c r="A1269" s="6"/>
      <c r="B1269" s="20"/>
      <c r="C1269" s="36"/>
      <c r="D1269" s="13"/>
      <c r="E1269" s="13"/>
      <c r="F1269" s="13"/>
      <c r="G1269" s="13"/>
      <c r="H1269" s="13"/>
      <c r="I1269" s="15"/>
      <c r="J1269" s="15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</row>
    <row r="1270" ht="22.5" hidden="1" customHeight="1">
      <c r="A1270" s="6"/>
      <c r="B1270" s="20"/>
      <c r="C1270" s="36"/>
      <c r="D1270" s="13"/>
      <c r="E1270" s="13"/>
      <c r="F1270" s="13"/>
      <c r="G1270" s="13"/>
      <c r="H1270" s="13"/>
      <c r="I1270" s="15"/>
      <c r="J1270" s="15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</row>
    <row r="1271" ht="22.5" hidden="1" customHeight="1">
      <c r="A1271" s="6"/>
      <c r="B1271" s="20"/>
      <c r="C1271" s="36"/>
      <c r="D1271" s="13"/>
      <c r="E1271" s="13"/>
      <c r="F1271" s="13"/>
      <c r="G1271" s="13"/>
      <c r="H1271" s="13"/>
      <c r="I1271" s="15"/>
      <c r="J1271" s="15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</row>
    <row r="1272" ht="22.5" hidden="1" customHeight="1">
      <c r="A1272" s="6"/>
      <c r="B1272" s="20"/>
      <c r="C1272" s="36"/>
      <c r="D1272" s="13"/>
      <c r="E1272" s="13"/>
      <c r="F1272" s="13"/>
      <c r="G1272" s="13"/>
      <c r="H1272" s="13"/>
      <c r="I1272" s="15"/>
      <c r="J1272" s="15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</row>
    <row r="1273" ht="22.5" hidden="1" customHeight="1">
      <c r="A1273" s="6"/>
      <c r="B1273" s="20"/>
      <c r="C1273" s="36"/>
      <c r="D1273" s="13"/>
      <c r="E1273" s="13"/>
      <c r="F1273" s="13"/>
      <c r="G1273" s="13"/>
      <c r="H1273" s="13"/>
      <c r="I1273" s="15"/>
      <c r="J1273" s="15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</row>
    <row r="1274" ht="22.5" hidden="1" customHeight="1">
      <c r="A1274" s="6"/>
      <c r="B1274" s="20"/>
      <c r="C1274" s="36"/>
      <c r="D1274" s="13"/>
      <c r="E1274" s="13"/>
      <c r="F1274" s="13"/>
      <c r="G1274" s="13"/>
      <c r="H1274" s="13"/>
      <c r="I1274" s="15"/>
      <c r="J1274" s="15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</row>
    <row r="1275" ht="22.5" hidden="1" customHeight="1">
      <c r="A1275" s="6"/>
      <c r="B1275" s="20"/>
      <c r="C1275" s="36"/>
      <c r="D1275" s="13"/>
      <c r="E1275" s="13"/>
      <c r="F1275" s="13"/>
      <c r="G1275" s="13"/>
      <c r="H1275" s="13"/>
      <c r="I1275" s="15"/>
      <c r="J1275" s="15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</row>
    <row r="1276" ht="22.5" hidden="1" customHeight="1">
      <c r="A1276" s="6"/>
      <c r="B1276" s="20"/>
      <c r="C1276" s="36"/>
      <c r="D1276" s="13"/>
      <c r="E1276" s="13"/>
      <c r="F1276" s="13"/>
      <c r="G1276" s="13"/>
      <c r="H1276" s="13"/>
      <c r="I1276" s="15"/>
      <c r="J1276" s="15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</row>
    <row r="1277" ht="22.5" hidden="1" customHeight="1">
      <c r="A1277" s="6"/>
      <c r="B1277" s="20"/>
      <c r="C1277" s="36"/>
      <c r="D1277" s="13"/>
      <c r="E1277" s="13"/>
      <c r="F1277" s="13"/>
      <c r="G1277" s="13"/>
      <c r="H1277" s="13"/>
      <c r="I1277" s="15"/>
      <c r="J1277" s="15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</row>
    <row r="1278" ht="22.5" hidden="1" customHeight="1">
      <c r="A1278" s="6"/>
      <c r="B1278" s="20"/>
      <c r="C1278" s="36"/>
      <c r="D1278" s="13"/>
      <c r="E1278" s="13"/>
      <c r="F1278" s="13"/>
      <c r="G1278" s="13"/>
      <c r="H1278" s="13"/>
      <c r="I1278" s="15"/>
      <c r="J1278" s="15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</row>
    <row r="1279" ht="22.5" hidden="1" customHeight="1">
      <c r="A1279" s="6"/>
      <c r="B1279" s="20"/>
      <c r="C1279" s="36"/>
      <c r="D1279" s="13"/>
      <c r="E1279" s="13"/>
      <c r="F1279" s="13"/>
      <c r="G1279" s="13"/>
      <c r="H1279" s="13"/>
      <c r="I1279" s="15"/>
      <c r="J1279" s="15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</row>
    <row r="1280" ht="22.5" hidden="1" customHeight="1">
      <c r="A1280" s="6"/>
      <c r="B1280" s="20"/>
      <c r="C1280" s="36"/>
      <c r="D1280" s="13"/>
      <c r="E1280" s="13"/>
      <c r="F1280" s="13"/>
      <c r="G1280" s="13"/>
      <c r="H1280" s="13"/>
      <c r="I1280" s="15"/>
      <c r="J1280" s="15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</row>
    <row r="1281" ht="22.5" hidden="1" customHeight="1">
      <c r="A1281" s="6"/>
      <c r="B1281" s="20"/>
      <c r="C1281" s="36"/>
      <c r="D1281" s="13"/>
      <c r="E1281" s="13"/>
      <c r="F1281" s="13"/>
      <c r="G1281" s="13"/>
      <c r="H1281" s="13"/>
      <c r="I1281" s="15"/>
      <c r="J1281" s="15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</row>
    <row r="1282" ht="22.5" hidden="1" customHeight="1">
      <c r="A1282" s="6"/>
      <c r="B1282" s="20"/>
      <c r="C1282" s="36"/>
      <c r="D1282" s="13"/>
      <c r="E1282" s="13"/>
      <c r="F1282" s="13"/>
      <c r="G1282" s="13"/>
      <c r="H1282" s="13"/>
      <c r="I1282" s="15"/>
      <c r="J1282" s="15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</row>
    <row r="1283" ht="22.5" hidden="1" customHeight="1">
      <c r="A1283" s="6"/>
      <c r="B1283" s="20"/>
      <c r="C1283" s="36"/>
      <c r="D1283" s="13"/>
      <c r="E1283" s="13"/>
      <c r="F1283" s="13"/>
      <c r="G1283" s="13"/>
      <c r="H1283" s="13"/>
      <c r="I1283" s="15"/>
      <c r="J1283" s="15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</row>
    <row r="1284" ht="22.5" hidden="1" customHeight="1">
      <c r="A1284" s="6"/>
      <c r="B1284" s="20"/>
      <c r="C1284" s="36"/>
      <c r="D1284" s="13"/>
      <c r="E1284" s="13"/>
      <c r="F1284" s="13"/>
      <c r="G1284" s="13"/>
      <c r="H1284" s="13"/>
      <c r="I1284" s="15"/>
      <c r="J1284" s="15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</row>
    <row r="1285" ht="22.5" hidden="1" customHeight="1">
      <c r="A1285" s="6"/>
      <c r="B1285" s="20"/>
      <c r="C1285" s="36"/>
      <c r="D1285" s="13"/>
      <c r="E1285" s="13"/>
      <c r="F1285" s="13"/>
      <c r="G1285" s="13"/>
      <c r="H1285" s="13"/>
      <c r="I1285" s="15"/>
      <c r="J1285" s="15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</row>
    <row r="1286" ht="22.5" hidden="1" customHeight="1">
      <c r="A1286" s="6"/>
      <c r="B1286" s="20"/>
      <c r="C1286" s="36"/>
      <c r="D1286" s="13"/>
      <c r="E1286" s="13"/>
      <c r="F1286" s="13"/>
      <c r="G1286" s="13"/>
      <c r="H1286" s="13"/>
      <c r="I1286" s="15"/>
      <c r="J1286" s="15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</row>
    <row r="1287" ht="22.5" hidden="1" customHeight="1">
      <c r="A1287" s="6"/>
      <c r="B1287" s="20"/>
      <c r="C1287" s="36"/>
      <c r="D1287" s="13"/>
      <c r="E1287" s="13"/>
      <c r="F1287" s="13"/>
      <c r="G1287" s="13"/>
      <c r="H1287" s="13"/>
      <c r="I1287" s="15"/>
      <c r="J1287" s="15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</row>
    <row r="1288" ht="22.5" hidden="1" customHeight="1">
      <c r="A1288" s="6"/>
      <c r="B1288" s="20"/>
      <c r="C1288" s="36"/>
      <c r="D1288" s="13"/>
      <c r="E1288" s="13"/>
      <c r="F1288" s="13"/>
      <c r="G1288" s="13"/>
      <c r="H1288" s="13"/>
      <c r="I1288" s="15"/>
      <c r="J1288" s="15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</row>
    <row r="1289" ht="22.5" hidden="1" customHeight="1">
      <c r="A1289" s="6"/>
      <c r="B1289" s="20"/>
      <c r="C1289" s="36"/>
      <c r="D1289" s="13"/>
      <c r="E1289" s="13"/>
      <c r="F1289" s="13"/>
      <c r="G1289" s="13"/>
      <c r="H1289" s="13"/>
      <c r="I1289" s="15"/>
      <c r="J1289" s="15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</row>
    <row r="1290" ht="22.5" hidden="1" customHeight="1">
      <c r="A1290" s="6"/>
      <c r="B1290" s="20"/>
      <c r="C1290" s="36"/>
      <c r="D1290" s="13"/>
      <c r="E1290" s="13"/>
      <c r="F1290" s="13"/>
      <c r="G1290" s="13"/>
      <c r="H1290" s="13"/>
      <c r="I1290" s="15"/>
      <c r="J1290" s="15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</row>
    <row r="1291" ht="22.5" hidden="1" customHeight="1">
      <c r="A1291" s="6"/>
      <c r="B1291" s="20"/>
      <c r="C1291" s="36"/>
      <c r="D1291" s="13"/>
      <c r="E1291" s="13"/>
      <c r="F1291" s="13"/>
      <c r="G1291" s="13"/>
      <c r="H1291" s="13"/>
      <c r="I1291" s="15"/>
      <c r="J1291" s="15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</row>
    <row r="1292" ht="22.5" hidden="1" customHeight="1">
      <c r="A1292" s="6"/>
      <c r="B1292" s="20"/>
      <c r="C1292" s="36"/>
      <c r="D1292" s="13"/>
      <c r="E1292" s="13"/>
      <c r="F1292" s="13"/>
      <c r="G1292" s="13"/>
      <c r="H1292" s="13"/>
      <c r="I1292" s="15"/>
      <c r="J1292" s="15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</row>
    <row r="1293" ht="22.5" hidden="1" customHeight="1">
      <c r="A1293" s="6"/>
      <c r="B1293" s="20"/>
      <c r="C1293" s="36"/>
      <c r="D1293" s="13"/>
      <c r="E1293" s="13"/>
      <c r="F1293" s="13"/>
      <c r="G1293" s="13"/>
      <c r="H1293" s="13"/>
      <c r="I1293" s="15"/>
      <c r="J1293" s="15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</row>
    <row r="1294" ht="22.5" hidden="1" customHeight="1">
      <c r="A1294" s="6"/>
      <c r="B1294" s="20"/>
      <c r="C1294" s="36"/>
      <c r="D1294" s="13"/>
      <c r="E1294" s="13"/>
      <c r="F1294" s="13"/>
      <c r="G1294" s="13"/>
      <c r="H1294" s="13"/>
      <c r="I1294" s="15"/>
      <c r="J1294" s="15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</row>
    <row r="1295" ht="22.5" hidden="1" customHeight="1">
      <c r="A1295" s="6"/>
      <c r="B1295" s="20"/>
      <c r="C1295" s="36"/>
      <c r="D1295" s="13"/>
      <c r="E1295" s="13"/>
      <c r="F1295" s="13"/>
      <c r="G1295" s="13"/>
      <c r="H1295" s="13"/>
      <c r="I1295" s="15"/>
      <c r="J1295" s="15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</row>
    <row r="1296" ht="22.5" hidden="1" customHeight="1">
      <c r="A1296" s="6"/>
      <c r="B1296" s="20"/>
      <c r="C1296" s="36"/>
      <c r="D1296" s="13"/>
      <c r="E1296" s="13"/>
      <c r="F1296" s="13"/>
      <c r="G1296" s="13"/>
      <c r="H1296" s="13"/>
      <c r="I1296" s="15"/>
      <c r="J1296" s="15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</row>
    <row r="1297" ht="22.5" hidden="1" customHeight="1">
      <c r="A1297" s="6"/>
      <c r="B1297" s="20"/>
      <c r="C1297" s="36"/>
      <c r="D1297" s="13"/>
      <c r="E1297" s="13"/>
      <c r="F1297" s="13"/>
      <c r="G1297" s="13"/>
      <c r="H1297" s="13"/>
      <c r="I1297" s="15"/>
      <c r="J1297" s="15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</row>
    <row r="1298" ht="22.5" hidden="1" customHeight="1">
      <c r="A1298" s="6"/>
      <c r="B1298" s="20"/>
      <c r="C1298" s="36"/>
      <c r="D1298" s="13"/>
      <c r="E1298" s="13"/>
      <c r="F1298" s="13"/>
      <c r="G1298" s="13"/>
      <c r="H1298" s="13"/>
      <c r="I1298" s="15"/>
      <c r="J1298" s="15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</row>
    <row r="1299" ht="22.5" hidden="1" customHeight="1">
      <c r="A1299" s="6"/>
      <c r="B1299" s="20"/>
      <c r="C1299" s="36"/>
      <c r="D1299" s="13"/>
      <c r="E1299" s="13"/>
      <c r="F1299" s="13"/>
      <c r="G1299" s="13"/>
      <c r="H1299" s="13"/>
      <c r="I1299" s="15"/>
      <c r="J1299" s="15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</row>
    <row r="1300" ht="22.5" hidden="1" customHeight="1">
      <c r="A1300" s="6"/>
      <c r="B1300" s="20"/>
      <c r="C1300" s="36"/>
      <c r="D1300" s="13"/>
      <c r="E1300" s="13"/>
      <c r="F1300" s="13"/>
      <c r="G1300" s="13"/>
      <c r="H1300" s="13"/>
      <c r="I1300" s="15"/>
      <c r="J1300" s="15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</row>
    <row r="1301" ht="22.5" hidden="1" customHeight="1">
      <c r="A1301" s="6"/>
      <c r="B1301" s="20"/>
      <c r="C1301" s="36"/>
      <c r="D1301" s="13"/>
      <c r="E1301" s="13"/>
      <c r="F1301" s="13"/>
      <c r="G1301" s="13"/>
      <c r="H1301" s="13"/>
      <c r="I1301" s="15"/>
      <c r="J1301" s="15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</row>
    <row r="1302" ht="22.5" hidden="1" customHeight="1">
      <c r="A1302" s="6"/>
      <c r="B1302" s="20"/>
      <c r="C1302" s="36"/>
      <c r="D1302" s="13"/>
      <c r="E1302" s="13"/>
      <c r="F1302" s="13"/>
      <c r="G1302" s="13"/>
      <c r="H1302" s="13"/>
      <c r="I1302" s="15"/>
      <c r="J1302" s="15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</row>
    <row r="1303" ht="22.5" hidden="1" customHeight="1">
      <c r="A1303" s="6"/>
      <c r="B1303" s="20"/>
      <c r="C1303" s="36"/>
      <c r="D1303" s="13"/>
      <c r="E1303" s="13"/>
      <c r="F1303" s="13"/>
      <c r="G1303" s="13"/>
      <c r="H1303" s="13"/>
      <c r="I1303" s="15"/>
      <c r="J1303" s="15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</row>
    <row r="1304" ht="22.5" hidden="1" customHeight="1">
      <c r="A1304" s="6"/>
      <c r="B1304" s="20"/>
      <c r="C1304" s="36"/>
      <c r="D1304" s="13"/>
      <c r="E1304" s="13"/>
      <c r="F1304" s="13"/>
      <c r="G1304" s="13"/>
      <c r="H1304" s="13"/>
      <c r="I1304" s="15"/>
      <c r="J1304" s="15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</row>
    <row r="1305" ht="22.5" hidden="1" customHeight="1">
      <c r="A1305" s="6"/>
      <c r="B1305" s="20"/>
      <c r="C1305" s="36"/>
      <c r="D1305" s="13"/>
      <c r="E1305" s="13"/>
      <c r="F1305" s="13"/>
      <c r="G1305" s="13"/>
      <c r="H1305" s="13"/>
      <c r="I1305" s="15"/>
      <c r="J1305" s="15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</row>
    <row r="1306" ht="22.5" hidden="1" customHeight="1">
      <c r="A1306" s="6"/>
      <c r="B1306" s="20"/>
      <c r="C1306" s="36"/>
      <c r="D1306" s="13"/>
      <c r="E1306" s="13"/>
      <c r="F1306" s="13"/>
      <c r="G1306" s="13"/>
      <c r="H1306" s="13"/>
      <c r="I1306" s="15"/>
      <c r="J1306" s="15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</row>
    <row r="1307" ht="22.5" hidden="1" customHeight="1">
      <c r="A1307" s="6"/>
      <c r="B1307" s="20"/>
      <c r="C1307" s="36"/>
      <c r="D1307" s="13"/>
      <c r="E1307" s="13"/>
      <c r="F1307" s="13"/>
      <c r="G1307" s="13"/>
      <c r="H1307" s="13"/>
      <c r="I1307" s="15"/>
      <c r="J1307" s="15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</row>
    <row r="1308" ht="22.5" hidden="1" customHeight="1">
      <c r="A1308" s="6"/>
      <c r="B1308" s="20"/>
      <c r="C1308" s="36"/>
      <c r="D1308" s="13"/>
      <c r="E1308" s="13"/>
      <c r="F1308" s="13"/>
      <c r="G1308" s="13"/>
      <c r="H1308" s="13"/>
      <c r="I1308" s="15"/>
      <c r="J1308" s="15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</row>
    <row r="1309" ht="22.5" hidden="1" customHeight="1">
      <c r="A1309" s="6"/>
      <c r="B1309" s="20"/>
      <c r="C1309" s="36"/>
      <c r="D1309" s="13"/>
      <c r="E1309" s="13"/>
      <c r="F1309" s="13"/>
      <c r="G1309" s="13"/>
      <c r="H1309" s="13"/>
      <c r="I1309" s="15"/>
      <c r="J1309" s="15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</row>
    <row r="1310" ht="22.5" hidden="1" customHeight="1">
      <c r="A1310" s="6"/>
      <c r="B1310" s="20"/>
      <c r="C1310" s="36"/>
      <c r="D1310" s="13"/>
      <c r="E1310" s="13"/>
      <c r="F1310" s="13"/>
      <c r="G1310" s="13"/>
      <c r="H1310" s="13"/>
      <c r="I1310" s="15"/>
      <c r="J1310" s="15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</row>
    <row r="1311" ht="22.5" hidden="1" customHeight="1">
      <c r="A1311" s="6"/>
      <c r="B1311" s="20"/>
      <c r="C1311" s="36"/>
      <c r="D1311" s="13"/>
      <c r="E1311" s="13"/>
      <c r="F1311" s="13"/>
      <c r="G1311" s="13"/>
      <c r="H1311" s="13"/>
      <c r="I1311" s="15"/>
      <c r="J1311" s="15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</row>
    <row r="1312" ht="22.5" hidden="1" customHeight="1">
      <c r="A1312" s="6"/>
      <c r="B1312" s="20"/>
      <c r="C1312" s="36"/>
      <c r="D1312" s="13"/>
      <c r="E1312" s="13"/>
      <c r="F1312" s="13"/>
      <c r="G1312" s="13"/>
      <c r="H1312" s="13"/>
      <c r="I1312" s="15"/>
      <c r="J1312" s="15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</row>
    <row r="1313" ht="22.5" hidden="1" customHeight="1">
      <c r="A1313" s="6"/>
      <c r="B1313" s="20"/>
      <c r="C1313" s="36"/>
      <c r="D1313" s="13"/>
      <c r="E1313" s="13"/>
      <c r="F1313" s="13"/>
      <c r="G1313" s="13"/>
      <c r="H1313" s="13"/>
      <c r="I1313" s="15"/>
      <c r="J1313" s="15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</row>
    <row r="1314" ht="22.5" hidden="1" customHeight="1">
      <c r="A1314" s="6"/>
      <c r="B1314" s="20"/>
      <c r="C1314" s="36"/>
      <c r="D1314" s="13"/>
      <c r="E1314" s="13"/>
      <c r="F1314" s="13"/>
      <c r="G1314" s="13"/>
      <c r="H1314" s="13"/>
      <c r="I1314" s="15"/>
      <c r="J1314" s="15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</row>
    <row r="1315" ht="22.5" hidden="1" customHeight="1">
      <c r="A1315" s="6"/>
      <c r="B1315" s="20"/>
      <c r="C1315" s="36"/>
      <c r="D1315" s="13"/>
      <c r="E1315" s="13"/>
      <c r="F1315" s="13"/>
      <c r="G1315" s="13"/>
      <c r="H1315" s="13"/>
      <c r="I1315" s="15"/>
      <c r="J1315" s="15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</row>
    <row r="1316" ht="22.5" hidden="1" customHeight="1">
      <c r="A1316" s="6"/>
      <c r="B1316" s="20"/>
      <c r="C1316" s="36"/>
      <c r="D1316" s="13"/>
      <c r="E1316" s="13"/>
      <c r="F1316" s="13"/>
      <c r="G1316" s="13"/>
      <c r="H1316" s="13"/>
      <c r="I1316" s="15"/>
      <c r="J1316" s="15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</row>
    <row r="1317" ht="22.5" hidden="1" customHeight="1">
      <c r="A1317" s="6"/>
      <c r="B1317" s="20"/>
      <c r="C1317" s="36"/>
      <c r="D1317" s="13"/>
      <c r="E1317" s="13"/>
      <c r="F1317" s="13"/>
      <c r="G1317" s="13"/>
      <c r="H1317" s="13"/>
      <c r="I1317" s="15"/>
      <c r="J1317" s="15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</row>
    <row r="1318" ht="22.5" hidden="1" customHeight="1">
      <c r="A1318" s="6"/>
      <c r="B1318" s="20"/>
      <c r="C1318" s="36"/>
      <c r="D1318" s="13"/>
      <c r="E1318" s="13"/>
      <c r="F1318" s="13"/>
      <c r="G1318" s="13"/>
      <c r="H1318" s="13"/>
      <c r="I1318" s="15"/>
      <c r="J1318" s="15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</row>
    <row r="1319" ht="22.5" hidden="1" customHeight="1">
      <c r="A1319" s="6"/>
      <c r="B1319" s="20"/>
      <c r="C1319" s="36"/>
      <c r="D1319" s="13"/>
      <c r="E1319" s="13"/>
      <c r="F1319" s="13"/>
      <c r="G1319" s="13"/>
      <c r="H1319" s="13"/>
      <c r="I1319" s="15"/>
      <c r="J1319" s="15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</row>
    <row r="1320" ht="22.5" hidden="1" customHeight="1">
      <c r="A1320" s="6"/>
      <c r="B1320" s="20"/>
      <c r="C1320" s="36"/>
      <c r="D1320" s="13"/>
      <c r="E1320" s="13"/>
      <c r="F1320" s="13"/>
      <c r="G1320" s="13"/>
      <c r="H1320" s="13"/>
      <c r="I1320" s="15"/>
      <c r="J1320" s="15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</row>
    <row r="1321" ht="22.5" hidden="1" customHeight="1">
      <c r="A1321" s="6"/>
      <c r="B1321" s="20"/>
      <c r="C1321" s="36"/>
      <c r="D1321" s="13"/>
      <c r="E1321" s="13"/>
      <c r="F1321" s="13"/>
      <c r="G1321" s="13"/>
      <c r="H1321" s="13"/>
      <c r="I1321" s="15"/>
      <c r="J1321" s="15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</row>
    <row r="1322" ht="22.5" hidden="1" customHeight="1">
      <c r="A1322" s="6"/>
      <c r="B1322" s="20"/>
      <c r="C1322" s="36"/>
      <c r="D1322" s="13"/>
      <c r="E1322" s="13"/>
      <c r="F1322" s="13"/>
      <c r="G1322" s="13"/>
      <c r="H1322" s="13"/>
      <c r="I1322" s="15"/>
      <c r="J1322" s="15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</row>
    <row r="1323" ht="22.5" hidden="1" customHeight="1">
      <c r="A1323" s="6"/>
      <c r="B1323" s="20"/>
      <c r="C1323" s="36"/>
      <c r="D1323" s="13"/>
      <c r="E1323" s="13"/>
      <c r="F1323" s="13"/>
      <c r="G1323" s="13"/>
      <c r="H1323" s="13"/>
      <c r="I1323" s="15"/>
      <c r="J1323" s="15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</row>
    <row r="1324" ht="22.5" hidden="1" customHeight="1">
      <c r="A1324" s="6"/>
      <c r="B1324" s="20"/>
      <c r="C1324" s="36"/>
      <c r="D1324" s="13"/>
      <c r="E1324" s="13"/>
      <c r="F1324" s="13"/>
      <c r="G1324" s="13"/>
      <c r="H1324" s="13"/>
      <c r="I1324" s="15"/>
      <c r="J1324" s="15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</row>
    <row r="1325" ht="22.5" hidden="1" customHeight="1">
      <c r="A1325" s="6"/>
      <c r="B1325" s="20"/>
      <c r="C1325" s="36"/>
      <c r="D1325" s="13"/>
      <c r="E1325" s="13"/>
      <c r="F1325" s="13"/>
      <c r="G1325" s="13"/>
      <c r="H1325" s="13"/>
      <c r="I1325" s="15"/>
      <c r="J1325" s="15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</row>
    <row r="1326" ht="22.5" hidden="1" customHeight="1">
      <c r="A1326" s="6"/>
      <c r="B1326" s="20"/>
      <c r="C1326" s="36"/>
      <c r="D1326" s="13"/>
      <c r="E1326" s="13"/>
      <c r="F1326" s="13"/>
      <c r="G1326" s="13"/>
      <c r="H1326" s="13"/>
      <c r="I1326" s="15"/>
      <c r="J1326" s="15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</row>
    <row r="1327" ht="22.5" hidden="1" customHeight="1">
      <c r="A1327" s="6"/>
      <c r="B1327" s="20"/>
      <c r="C1327" s="36"/>
      <c r="D1327" s="13"/>
      <c r="E1327" s="13"/>
      <c r="F1327" s="13"/>
      <c r="G1327" s="13"/>
      <c r="H1327" s="13"/>
      <c r="I1327" s="15"/>
      <c r="J1327" s="15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</row>
    <row r="1328" ht="22.5" hidden="1" customHeight="1">
      <c r="A1328" s="6"/>
      <c r="B1328" s="20"/>
      <c r="C1328" s="36"/>
      <c r="D1328" s="13"/>
      <c r="E1328" s="13"/>
      <c r="F1328" s="13"/>
      <c r="G1328" s="13"/>
      <c r="H1328" s="13"/>
      <c r="I1328" s="15"/>
      <c r="J1328" s="15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</row>
    <row r="1329" ht="22.5" hidden="1" customHeight="1">
      <c r="A1329" s="6"/>
      <c r="B1329" s="20"/>
      <c r="C1329" s="36"/>
      <c r="D1329" s="13"/>
      <c r="E1329" s="13"/>
      <c r="F1329" s="13"/>
      <c r="G1329" s="13"/>
      <c r="H1329" s="13"/>
      <c r="I1329" s="15"/>
      <c r="J1329" s="15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</row>
    <row r="1330" ht="22.5" hidden="1" customHeight="1">
      <c r="A1330" s="6"/>
      <c r="B1330" s="20"/>
      <c r="C1330" s="36"/>
      <c r="D1330" s="13"/>
      <c r="E1330" s="13"/>
      <c r="F1330" s="13"/>
      <c r="G1330" s="13"/>
      <c r="H1330" s="13"/>
      <c r="I1330" s="15"/>
      <c r="J1330" s="15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</row>
    <row r="1331" ht="22.5" hidden="1" customHeight="1">
      <c r="A1331" s="6"/>
      <c r="B1331" s="20"/>
      <c r="C1331" s="36"/>
      <c r="D1331" s="13"/>
      <c r="E1331" s="13"/>
      <c r="F1331" s="13"/>
      <c r="G1331" s="13"/>
      <c r="H1331" s="13"/>
      <c r="I1331" s="15"/>
      <c r="J1331" s="15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</row>
    <row r="1332" ht="22.5" hidden="1" customHeight="1">
      <c r="A1332" s="6"/>
      <c r="B1332" s="20"/>
      <c r="C1332" s="36"/>
      <c r="D1332" s="13"/>
      <c r="E1332" s="13"/>
      <c r="F1332" s="13"/>
      <c r="G1332" s="13"/>
      <c r="H1332" s="13"/>
      <c r="I1332" s="15"/>
      <c r="J1332" s="15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</row>
    <row r="1333" ht="22.5" hidden="1" customHeight="1">
      <c r="A1333" s="6"/>
      <c r="B1333" s="20"/>
      <c r="C1333" s="36"/>
      <c r="D1333" s="13"/>
      <c r="E1333" s="13"/>
      <c r="F1333" s="13"/>
      <c r="G1333" s="13"/>
      <c r="H1333" s="13"/>
      <c r="I1333" s="15"/>
      <c r="J1333" s="15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</row>
    <row r="1334" ht="22.5" hidden="1" customHeight="1">
      <c r="A1334" s="6"/>
      <c r="B1334" s="20"/>
      <c r="C1334" s="36"/>
      <c r="D1334" s="13"/>
      <c r="E1334" s="13"/>
      <c r="F1334" s="13"/>
      <c r="G1334" s="13"/>
      <c r="H1334" s="13"/>
      <c r="I1334" s="15"/>
      <c r="J1334" s="15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</row>
    <row r="1335" ht="22.5" hidden="1" customHeight="1">
      <c r="A1335" s="6"/>
      <c r="B1335" s="20"/>
      <c r="C1335" s="36"/>
      <c r="D1335" s="13"/>
      <c r="E1335" s="13"/>
      <c r="F1335" s="13"/>
      <c r="G1335" s="13"/>
      <c r="H1335" s="13"/>
      <c r="I1335" s="15"/>
      <c r="J1335" s="15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</row>
    <row r="1336" ht="22.5" hidden="1" customHeight="1">
      <c r="A1336" s="6"/>
      <c r="B1336" s="20"/>
      <c r="C1336" s="36"/>
      <c r="D1336" s="13"/>
      <c r="E1336" s="13"/>
      <c r="F1336" s="13"/>
      <c r="G1336" s="13"/>
      <c r="H1336" s="13"/>
      <c r="I1336" s="15"/>
      <c r="J1336" s="15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</row>
    <row r="1337" ht="22.5" hidden="1" customHeight="1">
      <c r="A1337" s="6"/>
      <c r="B1337" s="20"/>
      <c r="C1337" s="36"/>
      <c r="D1337" s="13"/>
      <c r="E1337" s="13"/>
      <c r="F1337" s="13"/>
      <c r="G1337" s="13"/>
      <c r="H1337" s="13"/>
      <c r="I1337" s="15"/>
      <c r="J1337" s="15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</row>
    <row r="1338" ht="22.5" hidden="1" customHeight="1">
      <c r="A1338" s="6"/>
      <c r="B1338" s="20"/>
      <c r="C1338" s="36"/>
      <c r="D1338" s="13"/>
      <c r="E1338" s="13"/>
      <c r="F1338" s="13"/>
      <c r="G1338" s="13"/>
      <c r="H1338" s="13"/>
      <c r="I1338" s="15"/>
      <c r="J1338" s="15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</row>
    <row r="1339" ht="22.5" hidden="1" customHeight="1">
      <c r="A1339" s="6"/>
      <c r="B1339" s="20"/>
      <c r="C1339" s="36"/>
      <c r="D1339" s="13"/>
      <c r="E1339" s="13"/>
      <c r="F1339" s="13"/>
      <c r="G1339" s="13"/>
      <c r="H1339" s="13"/>
      <c r="I1339" s="15"/>
      <c r="J1339" s="15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</row>
    <row r="1340" ht="22.5" hidden="1" customHeight="1">
      <c r="A1340" s="6"/>
      <c r="B1340" s="20"/>
      <c r="C1340" s="36"/>
      <c r="D1340" s="13"/>
      <c r="E1340" s="13"/>
      <c r="F1340" s="13"/>
      <c r="G1340" s="13"/>
      <c r="H1340" s="13"/>
      <c r="I1340" s="15"/>
      <c r="J1340" s="15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</row>
    <row r="1341" ht="22.5" hidden="1" customHeight="1">
      <c r="A1341" s="6"/>
      <c r="B1341" s="20"/>
      <c r="C1341" s="36"/>
      <c r="D1341" s="13"/>
      <c r="E1341" s="13"/>
      <c r="F1341" s="13"/>
      <c r="G1341" s="13"/>
      <c r="H1341" s="13"/>
      <c r="I1341" s="15"/>
      <c r="J1341" s="15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</row>
    <row r="1342" ht="22.5" hidden="1" customHeight="1">
      <c r="A1342" s="6"/>
      <c r="B1342" s="20"/>
      <c r="C1342" s="36"/>
      <c r="D1342" s="13"/>
      <c r="E1342" s="13"/>
      <c r="F1342" s="13"/>
      <c r="G1342" s="13"/>
      <c r="H1342" s="13"/>
      <c r="I1342" s="15"/>
      <c r="J1342" s="15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</row>
    <row r="1343" ht="22.5" hidden="1" customHeight="1">
      <c r="A1343" s="6"/>
      <c r="B1343" s="20"/>
      <c r="C1343" s="36"/>
      <c r="D1343" s="13"/>
      <c r="E1343" s="13"/>
      <c r="F1343" s="13"/>
      <c r="G1343" s="13"/>
      <c r="H1343" s="13"/>
      <c r="I1343" s="15"/>
      <c r="J1343" s="15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</row>
    <row r="1344" ht="22.5" hidden="1" customHeight="1">
      <c r="A1344" s="6"/>
      <c r="B1344" s="20"/>
      <c r="C1344" s="36"/>
      <c r="D1344" s="13"/>
      <c r="E1344" s="13"/>
      <c r="F1344" s="13"/>
      <c r="G1344" s="13"/>
      <c r="H1344" s="13"/>
      <c r="I1344" s="15"/>
      <c r="J1344" s="15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</row>
    <row r="1345" ht="22.5" hidden="1" customHeight="1">
      <c r="A1345" s="6"/>
      <c r="B1345" s="20"/>
      <c r="C1345" s="36"/>
      <c r="D1345" s="13"/>
      <c r="E1345" s="13"/>
      <c r="F1345" s="13"/>
      <c r="G1345" s="13"/>
      <c r="H1345" s="13"/>
      <c r="I1345" s="15"/>
      <c r="J1345" s="15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</row>
    <row r="1346" ht="22.5" hidden="1" customHeight="1">
      <c r="A1346" s="6"/>
      <c r="B1346" s="20"/>
      <c r="C1346" s="36"/>
      <c r="D1346" s="13"/>
      <c r="E1346" s="13"/>
      <c r="F1346" s="13"/>
      <c r="G1346" s="13"/>
      <c r="H1346" s="13"/>
      <c r="I1346" s="15"/>
      <c r="J1346" s="15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</row>
    <row r="1347" ht="22.5" hidden="1" customHeight="1">
      <c r="A1347" s="6"/>
      <c r="B1347" s="20"/>
      <c r="C1347" s="36"/>
      <c r="D1347" s="13"/>
      <c r="E1347" s="13"/>
      <c r="F1347" s="13"/>
      <c r="G1347" s="13"/>
      <c r="H1347" s="13"/>
      <c r="I1347" s="15"/>
      <c r="J1347" s="15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</row>
    <row r="1348" ht="22.5" hidden="1" customHeight="1">
      <c r="A1348" s="6"/>
      <c r="B1348" s="20"/>
      <c r="C1348" s="36"/>
      <c r="D1348" s="13"/>
      <c r="E1348" s="13"/>
      <c r="F1348" s="13"/>
      <c r="G1348" s="13"/>
      <c r="H1348" s="13"/>
      <c r="I1348" s="15"/>
      <c r="J1348" s="15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</row>
    <row r="1349" ht="22.5" hidden="1" customHeight="1">
      <c r="A1349" s="6"/>
      <c r="B1349" s="20"/>
      <c r="C1349" s="36"/>
      <c r="D1349" s="13"/>
      <c r="E1349" s="13"/>
      <c r="F1349" s="13"/>
      <c r="G1349" s="13"/>
      <c r="H1349" s="13"/>
      <c r="I1349" s="15"/>
      <c r="J1349" s="15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</row>
    <row r="1350" ht="22.5" hidden="1" customHeight="1">
      <c r="A1350" s="6"/>
      <c r="B1350" s="20"/>
      <c r="C1350" s="36"/>
      <c r="D1350" s="13"/>
      <c r="E1350" s="13"/>
      <c r="F1350" s="13"/>
      <c r="G1350" s="13"/>
      <c r="H1350" s="13"/>
      <c r="I1350" s="15"/>
      <c r="J1350" s="15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</row>
    <row r="1351" ht="22.5" hidden="1" customHeight="1">
      <c r="A1351" s="6"/>
      <c r="B1351" s="20"/>
      <c r="C1351" s="36"/>
      <c r="D1351" s="13"/>
      <c r="E1351" s="13"/>
      <c r="F1351" s="13"/>
      <c r="G1351" s="13"/>
      <c r="H1351" s="13"/>
      <c r="I1351" s="15"/>
      <c r="J1351" s="15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</row>
    <row r="1352" ht="22.5" hidden="1" customHeight="1">
      <c r="A1352" s="6"/>
      <c r="B1352" s="20"/>
      <c r="C1352" s="36"/>
      <c r="D1352" s="13"/>
      <c r="E1352" s="13"/>
      <c r="F1352" s="13"/>
      <c r="G1352" s="13"/>
      <c r="H1352" s="13"/>
      <c r="I1352" s="15"/>
      <c r="J1352" s="15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</row>
    <row r="1353" ht="22.5" hidden="1" customHeight="1">
      <c r="A1353" s="6"/>
      <c r="B1353" s="20"/>
      <c r="C1353" s="36"/>
      <c r="D1353" s="13"/>
      <c r="E1353" s="13"/>
      <c r="F1353" s="13"/>
      <c r="G1353" s="13"/>
      <c r="H1353" s="13"/>
      <c r="I1353" s="15"/>
      <c r="J1353" s="15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</row>
    <row r="1354" ht="22.5" hidden="1" customHeight="1">
      <c r="A1354" s="6"/>
      <c r="B1354" s="20"/>
      <c r="C1354" s="36"/>
      <c r="D1354" s="13"/>
      <c r="E1354" s="13"/>
      <c r="F1354" s="13"/>
      <c r="G1354" s="13"/>
      <c r="H1354" s="13"/>
      <c r="I1354" s="15"/>
      <c r="J1354" s="15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</row>
    <row r="1355" ht="22.5" hidden="1" customHeight="1">
      <c r="A1355" s="6"/>
      <c r="B1355" s="20"/>
      <c r="C1355" s="36"/>
      <c r="D1355" s="13"/>
      <c r="E1355" s="13"/>
      <c r="F1355" s="13"/>
      <c r="G1355" s="13"/>
      <c r="H1355" s="13"/>
      <c r="I1355" s="15"/>
      <c r="J1355" s="15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</row>
    <row r="1356" ht="22.5" hidden="1" customHeight="1">
      <c r="A1356" s="6"/>
      <c r="B1356" s="20"/>
      <c r="C1356" s="36"/>
      <c r="D1356" s="13"/>
      <c r="E1356" s="13"/>
      <c r="F1356" s="13"/>
      <c r="G1356" s="13"/>
      <c r="H1356" s="13"/>
      <c r="I1356" s="15"/>
      <c r="J1356" s="15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</row>
    <row r="1357" ht="22.5" hidden="1" customHeight="1">
      <c r="A1357" s="6"/>
      <c r="B1357" s="20"/>
      <c r="C1357" s="36"/>
      <c r="D1357" s="13"/>
      <c r="E1357" s="13"/>
      <c r="F1357" s="13"/>
      <c r="G1357" s="13"/>
      <c r="H1357" s="13"/>
      <c r="I1357" s="15"/>
      <c r="J1357" s="15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</row>
    <row r="1358" ht="22.5" hidden="1" customHeight="1">
      <c r="A1358" s="6"/>
      <c r="B1358" s="20"/>
      <c r="C1358" s="36"/>
      <c r="D1358" s="13"/>
      <c r="E1358" s="13"/>
      <c r="F1358" s="13"/>
      <c r="G1358" s="13"/>
      <c r="H1358" s="13"/>
      <c r="I1358" s="15"/>
      <c r="J1358" s="15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</row>
    <row r="1359" ht="22.5" hidden="1" customHeight="1">
      <c r="A1359" s="6"/>
      <c r="B1359" s="20"/>
      <c r="C1359" s="36"/>
      <c r="D1359" s="13"/>
      <c r="E1359" s="13"/>
      <c r="F1359" s="13"/>
      <c r="G1359" s="13"/>
      <c r="H1359" s="13"/>
      <c r="I1359" s="15"/>
      <c r="J1359" s="15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</row>
    <row r="1360" ht="22.5" hidden="1" customHeight="1">
      <c r="A1360" s="6"/>
      <c r="B1360" s="20"/>
      <c r="C1360" s="36"/>
      <c r="D1360" s="13"/>
      <c r="E1360" s="13"/>
      <c r="F1360" s="13"/>
      <c r="G1360" s="13"/>
      <c r="H1360" s="13"/>
      <c r="I1360" s="15"/>
      <c r="J1360" s="15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</row>
    <row r="1361" ht="22.5" hidden="1" customHeight="1">
      <c r="A1361" s="6"/>
      <c r="B1361" s="20"/>
      <c r="C1361" s="36"/>
      <c r="D1361" s="13"/>
      <c r="E1361" s="13"/>
      <c r="F1361" s="13"/>
      <c r="G1361" s="13"/>
      <c r="H1361" s="13"/>
      <c r="I1361" s="15"/>
      <c r="J1361" s="15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</row>
    <row r="1362" ht="22.5" hidden="1" customHeight="1">
      <c r="A1362" s="6"/>
      <c r="B1362" s="20"/>
      <c r="C1362" s="36"/>
      <c r="D1362" s="13"/>
      <c r="E1362" s="13"/>
      <c r="F1362" s="13"/>
      <c r="G1362" s="13"/>
      <c r="H1362" s="13"/>
      <c r="I1362" s="15"/>
      <c r="J1362" s="15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</row>
    <row r="1363" ht="22.5" hidden="1" customHeight="1">
      <c r="A1363" s="6"/>
      <c r="B1363" s="20"/>
      <c r="C1363" s="36"/>
      <c r="D1363" s="13"/>
      <c r="E1363" s="13"/>
      <c r="F1363" s="13"/>
      <c r="G1363" s="13"/>
      <c r="H1363" s="13"/>
      <c r="I1363" s="15"/>
      <c r="J1363" s="15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</row>
    <row r="1364" ht="22.5" hidden="1" customHeight="1">
      <c r="A1364" s="6"/>
      <c r="B1364" s="20"/>
      <c r="C1364" s="36"/>
      <c r="D1364" s="13"/>
      <c r="E1364" s="13"/>
      <c r="F1364" s="13"/>
      <c r="G1364" s="13"/>
      <c r="H1364" s="13"/>
      <c r="I1364" s="15"/>
      <c r="J1364" s="15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</row>
    <row r="1365" ht="22.5" hidden="1" customHeight="1">
      <c r="A1365" s="6"/>
      <c r="B1365" s="20"/>
      <c r="C1365" s="36"/>
      <c r="D1365" s="13"/>
      <c r="E1365" s="13"/>
      <c r="F1365" s="13"/>
      <c r="G1365" s="13"/>
      <c r="H1365" s="13"/>
      <c r="I1365" s="15"/>
      <c r="J1365" s="15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</row>
    <row r="1366" ht="22.5" hidden="1" customHeight="1">
      <c r="A1366" s="6"/>
      <c r="B1366" s="20"/>
      <c r="C1366" s="36"/>
      <c r="D1366" s="13"/>
      <c r="E1366" s="13"/>
      <c r="F1366" s="13"/>
      <c r="G1366" s="13"/>
      <c r="H1366" s="13"/>
      <c r="I1366" s="15"/>
      <c r="J1366" s="15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</row>
    <row r="1367" ht="22.5" hidden="1" customHeight="1">
      <c r="A1367" s="6"/>
      <c r="B1367" s="20"/>
      <c r="C1367" s="36"/>
      <c r="D1367" s="13"/>
      <c r="E1367" s="13"/>
      <c r="F1367" s="13"/>
      <c r="G1367" s="13"/>
      <c r="H1367" s="13"/>
      <c r="I1367" s="15"/>
      <c r="J1367" s="15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</row>
    <row r="1368" ht="22.5" hidden="1" customHeight="1">
      <c r="A1368" s="6"/>
      <c r="B1368" s="20"/>
      <c r="C1368" s="36"/>
      <c r="D1368" s="13"/>
      <c r="E1368" s="13"/>
      <c r="F1368" s="13"/>
      <c r="G1368" s="13"/>
      <c r="H1368" s="13"/>
      <c r="I1368" s="15"/>
      <c r="J1368" s="15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</row>
    <row r="1369" ht="22.5" hidden="1" customHeight="1">
      <c r="A1369" s="6"/>
      <c r="B1369" s="20"/>
      <c r="C1369" s="36"/>
      <c r="D1369" s="13"/>
      <c r="E1369" s="13"/>
      <c r="F1369" s="13"/>
      <c r="G1369" s="13"/>
      <c r="H1369" s="13"/>
      <c r="I1369" s="15"/>
      <c r="J1369" s="15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</row>
    <row r="1370" ht="22.5" hidden="1" customHeight="1">
      <c r="A1370" s="6"/>
      <c r="B1370" s="20"/>
      <c r="C1370" s="36"/>
      <c r="D1370" s="13"/>
      <c r="E1370" s="13"/>
      <c r="F1370" s="13"/>
      <c r="G1370" s="13"/>
      <c r="H1370" s="13"/>
      <c r="I1370" s="15"/>
      <c r="J1370" s="15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</row>
    <row r="1371" ht="22.5" hidden="1" customHeight="1">
      <c r="A1371" s="6"/>
      <c r="B1371" s="20"/>
      <c r="C1371" s="36"/>
      <c r="D1371" s="13"/>
      <c r="E1371" s="13"/>
      <c r="F1371" s="13"/>
      <c r="G1371" s="13"/>
      <c r="H1371" s="13"/>
      <c r="I1371" s="15"/>
      <c r="J1371" s="15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</row>
    <row r="1372" ht="22.5" hidden="1" customHeight="1">
      <c r="A1372" s="6"/>
      <c r="B1372" s="20"/>
      <c r="C1372" s="36"/>
      <c r="D1372" s="13"/>
      <c r="E1372" s="13"/>
      <c r="F1372" s="13"/>
      <c r="G1372" s="13"/>
      <c r="H1372" s="13"/>
      <c r="I1372" s="15"/>
      <c r="J1372" s="15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</row>
    <row r="1373" ht="22.5" hidden="1" customHeight="1">
      <c r="A1373" s="6"/>
      <c r="B1373" s="20"/>
      <c r="C1373" s="36"/>
      <c r="D1373" s="13"/>
      <c r="E1373" s="13"/>
      <c r="F1373" s="13"/>
      <c r="G1373" s="13"/>
      <c r="H1373" s="13"/>
      <c r="I1373" s="15"/>
      <c r="J1373" s="15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</row>
    <row r="1374" ht="22.5" hidden="1" customHeight="1">
      <c r="A1374" s="6"/>
      <c r="B1374" s="20"/>
      <c r="C1374" s="36"/>
      <c r="D1374" s="13"/>
      <c r="E1374" s="13"/>
      <c r="F1374" s="13"/>
      <c r="G1374" s="13"/>
      <c r="H1374" s="13"/>
      <c r="I1374" s="15"/>
      <c r="J1374" s="15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</row>
    <row r="1375" ht="22.5" hidden="1" customHeight="1">
      <c r="A1375" s="6"/>
      <c r="B1375" s="20"/>
      <c r="C1375" s="36"/>
      <c r="D1375" s="13"/>
      <c r="E1375" s="13"/>
      <c r="F1375" s="13"/>
      <c r="G1375" s="13"/>
      <c r="H1375" s="13"/>
      <c r="I1375" s="15"/>
      <c r="J1375" s="15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</row>
    <row r="1376" ht="22.5" hidden="1" customHeight="1">
      <c r="A1376" s="6"/>
      <c r="B1376" s="20"/>
      <c r="C1376" s="36"/>
      <c r="D1376" s="13"/>
      <c r="E1376" s="13"/>
      <c r="F1376" s="13"/>
      <c r="G1376" s="13"/>
      <c r="H1376" s="13"/>
      <c r="I1376" s="15"/>
      <c r="J1376" s="15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</row>
    <row r="1377" ht="22.5" hidden="1" customHeight="1">
      <c r="A1377" s="6"/>
      <c r="B1377" s="20"/>
      <c r="C1377" s="36"/>
      <c r="D1377" s="13"/>
      <c r="E1377" s="13"/>
      <c r="F1377" s="13"/>
      <c r="G1377" s="13"/>
      <c r="H1377" s="13"/>
      <c r="I1377" s="15"/>
      <c r="J1377" s="15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</row>
    <row r="1378" ht="22.5" hidden="1" customHeight="1">
      <c r="A1378" s="6"/>
      <c r="B1378" s="20"/>
      <c r="C1378" s="36"/>
      <c r="D1378" s="13"/>
      <c r="E1378" s="13"/>
      <c r="F1378" s="13"/>
      <c r="G1378" s="13"/>
      <c r="H1378" s="13"/>
      <c r="I1378" s="15"/>
      <c r="J1378" s="15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</row>
    <row r="1379" ht="22.5" hidden="1" customHeight="1">
      <c r="A1379" s="6"/>
      <c r="B1379" s="20"/>
      <c r="C1379" s="36"/>
      <c r="D1379" s="13"/>
      <c r="E1379" s="13"/>
      <c r="F1379" s="13"/>
      <c r="G1379" s="13"/>
      <c r="H1379" s="13"/>
      <c r="I1379" s="15"/>
      <c r="J1379" s="15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</row>
    <row r="1380" ht="22.5" hidden="1" customHeight="1">
      <c r="A1380" s="6"/>
      <c r="B1380" s="20"/>
      <c r="C1380" s="36"/>
      <c r="D1380" s="13"/>
      <c r="E1380" s="13"/>
      <c r="F1380" s="13"/>
      <c r="G1380" s="13"/>
      <c r="H1380" s="13"/>
      <c r="I1380" s="15"/>
      <c r="J1380" s="15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</row>
    <row r="1381" ht="22.5" hidden="1" customHeight="1">
      <c r="A1381" s="6"/>
      <c r="B1381" s="20"/>
      <c r="C1381" s="36"/>
      <c r="D1381" s="13"/>
      <c r="E1381" s="13"/>
      <c r="F1381" s="13"/>
      <c r="G1381" s="13"/>
      <c r="H1381" s="13"/>
      <c r="I1381" s="15"/>
      <c r="J1381" s="15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</row>
    <row r="1382" ht="22.5" hidden="1" customHeight="1">
      <c r="A1382" s="6"/>
      <c r="B1382" s="20"/>
      <c r="C1382" s="36"/>
      <c r="D1382" s="13"/>
      <c r="E1382" s="13"/>
      <c r="F1382" s="13"/>
      <c r="G1382" s="13"/>
      <c r="H1382" s="13"/>
      <c r="I1382" s="15"/>
      <c r="J1382" s="15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</row>
    <row r="1383" ht="22.5" hidden="1" customHeight="1">
      <c r="A1383" s="6"/>
      <c r="B1383" s="20"/>
      <c r="C1383" s="36"/>
      <c r="D1383" s="13"/>
      <c r="E1383" s="13"/>
      <c r="F1383" s="13"/>
      <c r="G1383" s="13"/>
      <c r="H1383" s="13"/>
      <c r="I1383" s="15"/>
      <c r="J1383" s="15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</row>
    <row r="1384" ht="22.5" hidden="1" customHeight="1">
      <c r="A1384" s="6"/>
      <c r="B1384" s="20"/>
      <c r="C1384" s="36"/>
      <c r="D1384" s="13"/>
      <c r="E1384" s="13"/>
      <c r="F1384" s="13"/>
      <c r="G1384" s="13"/>
      <c r="H1384" s="13"/>
      <c r="I1384" s="15"/>
      <c r="J1384" s="15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</row>
    <row r="1385" ht="22.5" hidden="1" customHeight="1">
      <c r="A1385" s="6"/>
      <c r="B1385" s="20"/>
      <c r="C1385" s="36"/>
      <c r="D1385" s="13"/>
      <c r="E1385" s="13"/>
      <c r="F1385" s="13"/>
      <c r="G1385" s="13"/>
      <c r="H1385" s="13"/>
      <c r="I1385" s="15"/>
      <c r="J1385" s="15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</row>
    <row r="1386" ht="22.5" hidden="1" customHeight="1">
      <c r="A1386" s="6"/>
      <c r="B1386" s="20"/>
      <c r="C1386" s="36"/>
      <c r="D1386" s="13"/>
      <c r="E1386" s="13"/>
      <c r="F1386" s="13"/>
      <c r="G1386" s="13"/>
      <c r="H1386" s="13"/>
      <c r="I1386" s="15"/>
      <c r="J1386" s="15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</row>
    <row r="1387" ht="22.5" hidden="1" customHeight="1">
      <c r="A1387" s="6"/>
      <c r="B1387" s="20"/>
      <c r="C1387" s="36"/>
      <c r="D1387" s="13"/>
      <c r="E1387" s="13"/>
      <c r="F1387" s="13"/>
      <c r="G1387" s="13"/>
      <c r="H1387" s="13"/>
      <c r="I1387" s="15"/>
      <c r="J1387" s="15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</row>
    <row r="1388" ht="22.5" hidden="1" customHeight="1">
      <c r="A1388" s="6"/>
      <c r="B1388" s="20"/>
      <c r="C1388" s="36"/>
      <c r="D1388" s="13"/>
      <c r="E1388" s="13"/>
      <c r="F1388" s="13"/>
      <c r="G1388" s="13"/>
      <c r="H1388" s="13"/>
      <c r="I1388" s="15"/>
      <c r="J1388" s="15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</row>
    <row r="1389" ht="22.5" hidden="1" customHeight="1">
      <c r="A1389" s="6"/>
      <c r="B1389" s="20"/>
      <c r="C1389" s="36"/>
      <c r="D1389" s="13"/>
      <c r="E1389" s="13"/>
      <c r="F1389" s="13"/>
      <c r="G1389" s="13"/>
      <c r="H1389" s="13"/>
      <c r="I1389" s="15"/>
      <c r="J1389" s="15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</row>
    <row r="1390" ht="22.5" hidden="1" customHeight="1">
      <c r="A1390" s="6"/>
      <c r="B1390" s="20"/>
      <c r="C1390" s="36"/>
      <c r="D1390" s="13"/>
      <c r="E1390" s="13"/>
      <c r="F1390" s="13"/>
      <c r="G1390" s="13"/>
      <c r="H1390" s="13"/>
      <c r="I1390" s="15"/>
      <c r="J1390" s="15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</row>
    <row r="1391" ht="22.5" hidden="1" customHeight="1">
      <c r="A1391" s="6"/>
      <c r="B1391" s="20"/>
      <c r="C1391" s="36"/>
      <c r="D1391" s="13"/>
      <c r="E1391" s="13"/>
      <c r="F1391" s="13"/>
      <c r="G1391" s="13"/>
      <c r="H1391" s="13"/>
      <c r="I1391" s="15"/>
      <c r="J1391" s="15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</row>
    <row r="1392" ht="22.5" hidden="1" customHeight="1">
      <c r="A1392" s="6"/>
      <c r="B1392" s="20"/>
      <c r="C1392" s="36"/>
      <c r="D1392" s="13"/>
      <c r="E1392" s="13"/>
      <c r="F1392" s="13"/>
      <c r="G1392" s="13"/>
      <c r="H1392" s="13"/>
      <c r="I1392" s="15"/>
      <c r="J1392" s="15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</row>
    <row r="1393" ht="22.5" hidden="1" customHeight="1">
      <c r="A1393" s="6"/>
      <c r="B1393" s="20"/>
      <c r="C1393" s="36"/>
      <c r="D1393" s="13"/>
      <c r="E1393" s="13"/>
      <c r="F1393" s="13"/>
      <c r="G1393" s="13"/>
      <c r="H1393" s="13"/>
      <c r="I1393" s="15"/>
      <c r="J1393" s="15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</row>
    <row r="1394" ht="22.5" hidden="1" customHeight="1">
      <c r="A1394" s="6"/>
      <c r="B1394" s="20"/>
      <c r="C1394" s="36"/>
      <c r="D1394" s="13"/>
      <c r="E1394" s="13"/>
      <c r="F1394" s="13"/>
      <c r="G1394" s="13"/>
      <c r="H1394" s="13"/>
      <c r="I1394" s="15"/>
      <c r="J1394" s="15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</row>
    <row r="1395" ht="22.5" hidden="1" customHeight="1">
      <c r="A1395" s="6"/>
      <c r="B1395" s="20"/>
      <c r="C1395" s="36"/>
      <c r="D1395" s="13"/>
      <c r="E1395" s="13"/>
      <c r="F1395" s="13"/>
      <c r="G1395" s="13"/>
      <c r="H1395" s="13"/>
      <c r="I1395" s="15"/>
      <c r="J1395" s="15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</row>
    <row r="1396" ht="22.5" hidden="1" customHeight="1">
      <c r="A1396" s="6"/>
      <c r="B1396" s="20"/>
      <c r="C1396" s="36"/>
      <c r="D1396" s="13"/>
      <c r="E1396" s="13"/>
      <c r="F1396" s="13"/>
      <c r="G1396" s="13"/>
      <c r="H1396" s="13"/>
      <c r="I1396" s="15"/>
      <c r="J1396" s="15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</row>
    <row r="1397" ht="22.5" hidden="1" customHeight="1">
      <c r="A1397" s="6"/>
      <c r="B1397" s="20"/>
      <c r="C1397" s="36"/>
      <c r="D1397" s="13"/>
      <c r="E1397" s="13"/>
      <c r="F1397" s="13"/>
      <c r="G1397" s="13"/>
      <c r="H1397" s="13"/>
      <c r="I1397" s="15"/>
      <c r="J1397" s="15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</row>
    <row r="1398" ht="22.5" hidden="1" customHeight="1">
      <c r="A1398" s="6"/>
      <c r="B1398" s="20"/>
      <c r="C1398" s="36"/>
      <c r="D1398" s="13"/>
      <c r="E1398" s="13"/>
      <c r="F1398" s="13"/>
      <c r="G1398" s="13"/>
      <c r="H1398" s="13"/>
      <c r="I1398" s="15"/>
      <c r="J1398" s="15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</row>
    <row r="1399" ht="22.5" hidden="1" customHeight="1">
      <c r="A1399" s="6"/>
      <c r="B1399" s="20"/>
      <c r="C1399" s="36"/>
      <c r="D1399" s="13"/>
      <c r="E1399" s="13"/>
      <c r="F1399" s="13"/>
      <c r="G1399" s="13"/>
      <c r="H1399" s="13"/>
      <c r="I1399" s="15"/>
      <c r="J1399" s="15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</row>
    <row r="1400" ht="22.5" hidden="1" customHeight="1">
      <c r="A1400" s="6"/>
      <c r="B1400" s="20"/>
      <c r="C1400" s="36"/>
      <c r="D1400" s="13"/>
      <c r="E1400" s="13"/>
      <c r="F1400" s="13"/>
      <c r="G1400" s="13"/>
      <c r="H1400" s="13"/>
      <c r="I1400" s="15"/>
      <c r="J1400" s="15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</row>
    <row r="1401" ht="22.5" hidden="1" customHeight="1">
      <c r="A1401" s="6"/>
      <c r="B1401" s="20"/>
      <c r="C1401" s="36"/>
      <c r="D1401" s="13"/>
      <c r="E1401" s="13"/>
      <c r="F1401" s="13"/>
      <c r="G1401" s="13"/>
      <c r="H1401" s="13"/>
      <c r="I1401" s="15"/>
      <c r="J1401" s="15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</row>
    <row r="1402" ht="22.5" hidden="1" customHeight="1">
      <c r="A1402" s="6"/>
      <c r="B1402" s="20"/>
      <c r="C1402" s="36"/>
      <c r="D1402" s="13"/>
      <c r="E1402" s="13"/>
      <c r="F1402" s="13"/>
      <c r="G1402" s="13"/>
      <c r="H1402" s="13"/>
      <c r="I1402" s="15"/>
      <c r="J1402" s="15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</row>
    <row r="1403" ht="22.5" hidden="1" customHeight="1">
      <c r="A1403" s="6"/>
      <c r="B1403" s="20"/>
      <c r="C1403" s="36"/>
      <c r="D1403" s="13"/>
      <c r="E1403" s="13"/>
      <c r="F1403" s="13"/>
      <c r="G1403" s="13"/>
      <c r="H1403" s="13"/>
      <c r="I1403" s="15"/>
      <c r="J1403" s="15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</row>
    <row r="1404" ht="22.5" hidden="1" customHeight="1">
      <c r="A1404" s="6"/>
      <c r="B1404" s="20"/>
      <c r="C1404" s="36"/>
      <c r="D1404" s="13"/>
      <c r="E1404" s="13"/>
      <c r="F1404" s="13"/>
      <c r="G1404" s="13"/>
      <c r="H1404" s="13"/>
      <c r="I1404" s="15"/>
      <c r="J1404" s="15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</row>
    <row r="1405" ht="22.5" hidden="1" customHeight="1">
      <c r="A1405" s="6"/>
      <c r="B1405" s="20"/>
      <c r="C1405" s="36"/>
      <c r="D1405" s="13"/>
      <c r="E1405" s="13"/>
      <c r="F1405" s="13"/>
      <c r="G1405" s="13"/>
      <c r="H1405" s="13"/>
      <c r="I1405" s="15"/>
      <c r="J1405" s="15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</row>
    <row r="1406" ht="22.5" hidden="1" customHeight="1">
      <c r="A1406" s="6"/>
      <c r="B1406" s="20"/>
      <c r="C1406" s="36"/>
      <c r="D1406" s="13"/>
      <c r="E1406" s="13"/>
      <c r="F1406" s="13"/>
      <c r="G1406" s="13"/>
      <c r="H1406" s="13"/>
      <c r="I1406" s="15"/>
      <c r="J1406" s="15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</row>
    <row r="1407" ht="22.5" hidden="1" customHeight="1">
      <c r="A1407" s="6"/>
      <c r="B1407" s="20"/>
      <c r="C1407" s="36"/>
      <c r="D1407" s="13"/>
      <c r="E1407" s="13"/>
      <c r="F1407" s="13"/>
      <c r="G1407" s="13"/>
      <c r="H1407" s="13"/>
      <c r="I1407" s="15"/>
      <c r="J1407" s="15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</row>
    <row r="1408" ht="22.5" hidden="1" customHeight="1">
      <c r="A1408" s="6"/>
      <c r="B1408" s="20"/>
      <c r="C1408" s="36"/>
      <c r="D1408" s="13"/>
      <c r="E1408" s="13"/>
      <c r="F1408" s="13"/>
      <c r="G1408" s="13"/>
      <c r="H1408" s="13"/>
      <c r="I1408" s="15"/>
      <c r="J1408" s="15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</row>
    <row r="1409" ht="22.5" hidden="1" customHeight="1">
      <c r="A1409" s="6"/>
      <c r="B1409" s="20"/>
      <c r="C1409" s="36"/>
      <c r="D1409" s="13"/>
      <c r="E1409" s="13"/>
      <c r="F1409" s="13"/>
      <c r="G1409" s="13"/>
      <c r="H1409" s="13"/>
      <c r="I1409" s="15"/>
      <c r="J1409" s="15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</row>
    <row r="1410" ht="22.5" hidden="1" customHeight="1">
      <c r="A1410" s="6"/>
      <c r="B1410" s="20"/>
      <c r="C1410" s="36"/>
      <c r="D1410" s="13"/>
      <c r="E1410" s="13"/>
      <c r="F1410" s="13"/>
      <c r="G1410" s="13"/>
      <c r="H1410" s="13"/>
      <c r="I1410" s="15"/>
      <c r="J1410" s="15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</row>
    <row r="1411" ht="22.5" hidden="1" customHeight="1">
      <c r="A1411" s="6"/>
      <c r="B1411" s="20"/>
      <c r="C1411" s="36"/>
      <c r="D1411" s="13"/>
      <c r="E1411" s="13"/>
      <c r="F1411" s="13"/>
      <c r="G1411" s="13"/>
      <c r="H1411" s="13"/>
      <c r="I1411" s="15"/>
      <c r="J1411" s="15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</row>
    <row r="1412" ht="22.5" hidden="1" customHeight="1">
      <c r="A1412" s="6"/>
      <c r="B1412" s="20"/>
      <c r="C1412" s="36"/>
      <c r="D1412" s="13"/>
      <c r="E1412" s="13"/>
      <c r="F1412" s="13"/>
      <c r="G1412" s="13"/>
      <c r="H1412" s="13"/>
      <c r="I1412" s="15"/>
      <c r="J1412" s="15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</row>
    <row r="1413" ht="22.5" hidden="1" customHeight="1">
      <c r="A1413" s="6"/>
      <c r="B1413" s="20"/>
      <c r="C1413" s="36"/>
      <c r="D1413" s="13"/>
      <c r="E1413" s="13"/>
      <c r="F1413" s="13"/>
      <c r="G1413" s="13"/>
      <c r="H1413" s="13"/>
      <c r="I1413" s="15"/>
      <c r="J1413" s="15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</row>
    <row r="1414" ht="22.5" hidden="1" customHeight="1">
      <c r="A1414" s="6"/>
      <c r="B1414" s="20"/>
      <c r="C1414" s="36"/>
      <c r="D1414" s="13"/>
      <c r="E1414" s="13"/>
      <c r="F1414" s="13"/>
      <c r="G1414" s="13"/>
      <c r="H1414" s="13"/>
      <c r="I1414" s="15"/>
      <c r="J1414" s="15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</row>
    <row r="1415" ht="22.5" hidden="1" customHeight="1">
      <c r="A1415" s="6"/>
      <c r="B1415" s="20"/>
      <c r="C1415" s="36"/>
      <c r="D1415" s="13"/>
      <c r="E1415" s="13"/>
      <c r="F1415" s="13"/>
      <c r="G1415" s="13"/>
      <c r="H1415" s="13"/>
      <c r="I1415" s="15"/>
      <c r="J1415" s="15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</row>
    <row r="1416" ht="22.5" hidden="1" customHeight="1">
      <c r="A1416" s="6"/>
      <c r="B1416" s="20"/>
      <c r="C1416" s="36"/>
      <c r="D1416" s="13"/>
      <c r="E1416" s="13"/>
      <c r="F1416" s="13"/>
      <c r="G1416" s="13"/>
      <c r="H1416" s="13"/>
      <c r="I1416" s="15"/>
      <c r="J1416" s="15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</row>
    <row r="1417" ht="22.5" hidden="1" customHeight="1">
      <c r="A1417" s="6"/>
      <c r="B1417" s="20"/>
      <c r="C1417" s="36"/>
      <c r="D1417" s="13"/>
      <c r="E1417" s="13"/>
      <c r="F1417" s="13"/>
      <c r="G1417" s="13"/>
      <c r="H1417" s="13"/>
      <c r="I1417" s="15"/>
      <c r="J1417" s="15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</row>
    <row r="1418" ht="22.5" hidden="1" customHeight="1">
      <c r="A1418" s="6"/>
      <c r="B1418" s="20"/>
      <c r="C1418" s="36"/>
      <c r="D1418" s="13"/>
      <c r="E1418" s="13"/>
      <c r="F1418" s="13"/>
      <c r="G1418" s="13"/>
      <c r="H1418" s="13"/>
      <c r="I1418" s="15"/>
      <c r="J1418" s="15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</row>
    <row r="1419" ht="22.5" hidden="1" customHeight="1">
      <c r="A1419" s="6"/>
      <c r="B1419" s="20"/>
      <c r="C1419" s="36"/>
      <c r="D1419" s="13"/>
      <c r="E1419" s="13"/>
      <c r="F1419" s="13"/>
      <c r="G1419" s="13"/>
      <c r="H1419" s="13"/>
      <c r="I1419" s="15"/>
      <c r="J1419" s="15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</row>
    <row r="1420" ht="22.5" hidden="1" customHeight="1">
      <c r="A1420" s="6"/>
      <c r="B1420" s="20"/>
      <c r="C1420" s="36"/>
      <c r="D1420" s="13"/>
      <c r="E1420" s="13"/>
      <c r="F1420" s="13"/>
      <c r="G1420" s="13"/>
      <c r="H1420" s="13"/>
      <c r="I1420" s="15"/>
      <c r="J1420" s="15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</row>
    <row r="1421" ht="22.5" hidden="1" customHeight="1">
      <c r="A1421" s="6"/>
      <c r="B1421" s="20"/>
      <c r="C1421" s="36"/>
      <c r="D1421" s="13"/>
      <c r="E1421" s="13"/>
      <c r="F1421" s="13"/>
      <c r="G1421" s="13"/>
      <c r="H1421" s="13"/>
      <c r="I1421" s="15"/>
      <c r="J1421" s="15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</row>
    <row r="1422" ht="22.5" hidden="1" customHeight="1">
      <c r="A1422" s="6"/>
      <c r="B1422" s="20"/>
      <c r="C1422" s="36"/>
      <c r="D1422" s="13"/>
      <c r="E1422" s="13"/>
      <c r="F1422" s="13"/>
      <c r="G1422" s="13"/>
      <c r="H1422" s="13"/>
      <c r="I1422" s="15"/>
      <c r="J1422" s="15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</row>
    <row r="1423" ht="22.5" hidden="1" customHeight="1">
      <c r="A1423" s="6"/>
      <c r="B1423" s="20"/>
      <c r="C1423" s="36"/>
      <c r="D1423" s="13"/>
      <c r="E1423" s="13"/>
      <c r="F1423" s="13"/>
      <c r="G1423" s="13"/>
      <c r="H1423" s="13"/>
      <c r="I1423" s="15"/>
      <c r="J1423" s="15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</row>
    <row r="1424" ht="22.5" hidden="1" customHeight="1">
      <c r="A1424" s="6"/>
      <c r="B1424" s="20"/>
      <c r="C1424" s="36"/>
      <c r="D1424" s="13"/>
      <c r="E1424" s="13"/>
      <c r="F1424" s="13"/>
      <c r="G1424" s="13"/>
      <c r="H1424" s="13"/>
      <c r="I1424" s="15"/>
      <c r="J1424" s="15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</row>
    <row r="1425" ht="22.5" hidden="1" customHeight="1">
      <c r="A1425" s="6"/>
      <c r="B1425" s="20"/>
      <c r="C1425" s="36"/>
      <c r="D1425" s="13"/>
      <c r="E1425" s="13"/>
      <c r="F1425" s="13"/>
      <c r="G1425" s="13"/>
      <c r="H1425" s="13"/>
      <c r="I1425" s="15"/>
      <c r="J1425" s="15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</row>
    <row r="1426" ht="22.5" hidden="1" customHeight="1">
      <c r="A1426" s="6"/>
      <c r="B1426" s="20"/>
      <c r="C1426" s="36"/>
      <c r="D1426" s="13"/>
      <c r="E1426" s="13"/>
      <c r="F1426" s="13"/>
      <c r="G1426" s="13"/>
      <c r="H1426" s="13"/>
      <c r="I1426" s="15"/>
      <c r="J1426" s="15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</row>
    <row r="1427" ht="22.5" hidden="1" customHeight="1">
      <c r="A1427" s="6"/>
      <c r="B1427" s="20"/>
      <c r="C1427" s="36"/>
      <c r="D1427" s="13"/>
      <c r="E1427" s="13"/>
      <c r="F1427" s="13"/>
      <c r="G1427" s="13"/>
      <c r="H1427" s="13"/>
      <c r="I1427" s="15"/>
      <c r="J1427" s="15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</row>
    <row r="1428" ht="22.5" hidden="1" customHeight="1">
      <c r="A1428" s="6"/>
      <c r="B1428" s="20"/>
      <c r="C1428" s="36"/>
      <c r="D1428" s="13"/>
      <c r="E1428" s="13"/>
      <c r="F1428" s="13"/>
      <c r="G1428" s="13"/>
      <c r="H1428" s="13"/>
      <c r="I1428" s="15"/>
      <c r="J1428" s="15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</row>
    <row r="1429" ht="22.5" hidden="1" customHeight="1">
      <c r="A1429" s="6"/>
      <c r="B1429" s="20"/>
      <c r="C1429" s="36"/>
      <c r="D1429" s="13"/>
      <c r="E1429" s="13"/>
      <c r="F1429" s="13"/>
      <c r="G1429" s="13"/>
      <c r="H1429" s="13"/>
      <c r="I1429" s="15"/>
      <c r="J1429" s="15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</row>
    <row r="1430" ht="22.5" hidden="1" customHeight="1">
      <c r="A1430" s="6"/>
      <c r="B1430" s="20"/>
      <c r="C1430" s="36"/>
      <c r="D1430" s="13"/>
      <c r="E1430" s="13"/>
      <c r="F1430" s="13"/>
      <c r="G1430" s="13"/>
      <c r="H1430" s="13"/>
      <c r="I1430" s="15"/>
      <c r="J1430" s="15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</row>
    <row r="1431" ht="22.5" hidden="1" customHeight="1">
      <c r="A1431" s="6"/>
      <c r="B1431" s="20"/>
      <c r="C1431" s="36"/>
      <c r="D1431" s="13"/>
      <c r="E1431" s="13"/>
      <c r="F1431" s="13"/>
      <c r="G1431" s="13"/>
      <c r="H1431" s="13"/>
      <c r="I1431" s="15"/>
      <c r="J1431" s="15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</row>
    <row r="1432" ht="22.5" hidden="1" customHeight="1">
      <c r="A1432" s="6"/>
      <c r="B1432" s="20"/>
      <c r="C1432" s="36"/>
      <c r="D1432" s="13"/>
      <c r="E1432" s="13"/>
      <c r="F1432" s="13"/>
      <c r="G1432" s="13"/>
      <c r="H1432" s="13"/>
      <c r="I1432" s="15"/>
      <c r="J1432" s="15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</row>
    <row r="1433" ht="22.5" hidden="1" customHeight="1">
      <c r="A1433" s="6"/>
      <c r="B1433" s="20"/>
      <c r="C1433" s="36"/>
      <c r="D1433" s="13"/>
      <c r="E1433" s="13"/>
      <c r="F1433" s="13"/>
      <c r="G1433" s="13"/>
      <c r="H1433" s="13"/>
      <c r="I1433" s="15"/>
      <c r="J1433" s="15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</row>
    <row r="1434" ht="22.5" hidden="1" customHeight="1">
      <c r="A1434" s="6"/>
      <c r="B1434" s="20"/>
      <c r="C1434" s="36"/>
      <c r="D1434" s="13"/>
      <c r="E1434" s="13"/>
      <c r="F1434" s="13"/>
      <c r="G1434" s="13"/>
      <c r="H1434" s="13"/>
      <c r="I1434" s="15"/>
      <c r="J1434" s="15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</row>
    <row r="1435" ht="22.5" hidden="1" customHeight="1">
      <c r="A1435" s="6"/>
      <c r="B1435" s="20"/>
      <c r="C1435" s="36"/>
      <c r="D1435" s="13"/>
      <c r="E1435" s="13"/>
      <c r="F1435" s="13"/>
      <c r="G1435" s="13"/>
      <c r="H1435" s="13"/>
      <c r="I1435" s="15"/>
      <c r="J1435" s="15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</row>
    <row r="1436" ht="22.5" hidden="1" customHeight="1">
      <c r="A1436" s="6"/>
      <c r="B1436" s="20"/>
      <c r="C1436" s="36"/>
      <c r="D1436" s="13"/>
      <c r="E1436" s="13"/>
      <c r="F1436" s="13"/>
      <c r="G1436" s="13"/>
      <c r="H1436" s="13"/>
      <c r="I1436" s="15"/>
      <c r="J1436" s="15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</row>
    <row r="1437" ht="22.5" hidden="1" customHeight="1">
      <c r="A1437" s="6"/>
      <c r="B1437" s="20"/>
      <c r="C1437" s="36"/>
      <c r="D1437" s="13"/>
      <c r="E1437" s="13"/>
      <c r="F1437" s="13"/>
      <c r="G1437" s="13"/>
      <c r="H1437" s="13"/>
      <c r="I1437" s="15"/>
      <c r="J1437" s="15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</row>
    <row r="1438" ht="22.5" hidden="1" customHeight="1">
      <c r="A1438" s="6"/>
      <c r="B1438" s="20"/>
      <c r="C1438" s="36"/>
      <c r="D1438" s="13"/>
      <c r="E1438" s="13"/>
      <c r="F1438" s="13"/>
      <c r="G1438" s="13"/>
      <c r="H1438" s="13"/>
      <c r="I1438" s="15"/>
      <c r="J1438" s="15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</row>
    <row r="1439" ht="22.5" hidden="1" customHeight="1">
      <c r="A1439" s="6"/>
      <c r="B1439" s="20"/>
      <c r="C1439" s="36"/>
      <c r="D1439" s="13"/>
      <c r="E1439" s="13"/>
      <c r="F1439" s="13"/>
      <c r="G1439" s="13"/>
      <c r="H1439" s="13"/>
      <c r="I1439" s="15"/>
      <c r="J1439" s="15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</row>
    <row r="1440" ht="22.5" hidden="1" customHeight="1">
      <c r="A1440" s="6"/>
      <c r="B1440" s="20"/>
      <c r="C1440" s="36"/>
      <c r="D1440" s="13"/>
      <c r="E1440" s="13"/>
      <c r="F1440" s="13"/>
      <c r="G1440" s="13"/>
      <c r="H1440" s="13"/>
      <c r="I1440" s="15"/>
      <c r="J1440" s="15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</row>
    <row r="1441" ht="22.5" hidden="1" customHeight="1">
      <c r="A1441" s="6"/>
      <c r="B1441" s="20"/>
      <c r="C1441" s="36"/>
      <c r="D1441" s="13"/>
      <c r="E1441" s="13"/>
      <c r="F1441" s="13"/>
      <c r="G1441" s="13"/>
      <c r="H1441" s="13"/>
      <c r="I1441" s="15"/>
      <c r="J1441" s="15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</row>
    <row r="1442" ht="22.5" hidden="1" customHeight="1">
      <c r="A1442" s="6"/>
      <c r="B1442" s="20"/>
      <c r="C1442" s="36"/>
      <c r="D1442" s="13"/>
      <c r="E1442" s="13"/>
      <c r="F1442" s="13"/>
      <c r="G1442" s="13"/>
      <c r="H1442" s="13"/>
      <c r="I1442" s="15"/>
      <c r="J1442" s="15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</row>
    <row r="1443" ht="22.5" hidden="1" customHeight="1">
      <c r="A1443" s="6"/>
      <c r="B1443" s="20"/>
      <c r="C1443" s="36"/>
      <c r="D1443" s="13"/>
      <c r="E1443" s="13"/>
      <c r="F1443" s="13"/>
      <c r="G1443" s="13"/>
      <c r="H1443" s="13"/>
      <c r="I1443" s="15"/>
      <c r="J1443" s="15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</row>
    <row r="1444" ht="22.5" hidden="1" customHeight="1">
      <c r="A1444" s="6"/>
      <c r="B1444" s="20"/>
      <c r="C1444" s="36"/>
      <c r="D1444" s="13"/>
      <c r="E1444" s="13"/>
      <c r="F1444" s="13"/>
      <c r="G1444" s="13"/>
      <c r="H1444" s="13"/>
      <c r="I1444" s="15"/>
      <c r="J1444" s="15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</row>
    <row r="1445" ht="22.5" hidden="1" customHeight="1">
      <c r="A1445" s="6"/>
      <c r="B1445" s="20"/>
      <c r="C1445" s="36"/>
      <c r="D1445" s="13"/>
      <c r="E1445" s="13"/>
      <c r="F1445" s="13"/>
      <c r="G1445" s="13"/>
      <c r="H1445" s="13"/>
      <c r="I1445" s="15"/>
      <c r="J1445" s="15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</row>
    <row r="1446" ht="22.5" hidden="1" customHeight="1">
      <c r="A1446" s="6"/>
      <c r="B1446" s="20"/>
      <c r="C1446" s="36"/>
      <c r="D1446" s="13"/>
      <c r="E1446" s="13"/>
      <c r="F1446" s="13"/>
      <c r="G1446" s="13"/>
      <c r="H1446" s="13"/>
      <c r="I1446" s="15"/>
      <c r="J1446" s="15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</row>
    <row r="1447" ht="22.5" hidden="1" customHeight="1">
      <c r="A1447" s="6"/>
      <c r="B1447" s="20"/>
      <c r="C1447" s="36"/>
      <c r="D1447" s="13"/>
      <c r="E1447" s="13"/>
      <c r="F1447" s="13"/>
      <c r="G1447" s="13"/>
      <c r="H1447" s="13"/>
      <c r="I1447" s="15"/>
      <c r="J1447" s="15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</row>
    <row r="1448" ht="22.5" hidden="1" customHeight="1">
      <c r="A1448" s="6"/>
      <c r="B1448" s="20"/>
      <c r="C1448" s="36"/>
      <c r="D1448" s="13"/>
      <c r="E1448" s="13"/>
      <c r="F1448" s="13"/>
      <c r="G1448" s="13"/>
      <c r="H1448" s="13"/>
      <c r="I1448" s="15"/>
      <c r="J1448" s="15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</row>
    <row r="1449" ht="22.5" hidden="1" customHeight="1">
      <c r="A1449" s="6"/>
      <c r="B1449" s="20"/>
      <c r="C1449" s="36"/>
      <c r="D1449" s="13"/>
      <c r="E1449" s="13"/>
      <c r="F1449" s="13"/>
      <c r="G1449" s="13"/>
      <c r="H1449" s="13"/>
      <c r="I1449" s="15"/>
      <c r="J1449" s="15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</row>
    <row r="1450" ht="22.5" hidden="1" customHeight="1">
      <c r="A1450" s="6"/>
      <c r="B1450" s="20"/>
      <c r="C1450" s="36"/>
      <c r="D1450" s="13"/>
      <c r="E1450" s="13"/>
      <c r="F1450" s="13"/>
      <c r="G1450" s="13"/>
      <c r="H1450" s="13"/>
      <c r="I1450" s="15"/>
      <c r="J1450" s="15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</row>
    <row r="1451" ht="22.5" hidden="1" customHeight="1">
      <c r="A1451" s="6"/>
      <c r="B1451" s="20"/>
      <c r="C1451" s="36"/>
      <c r="D1451" s="13"/>
      <c r="E1451" s="13"/>
      <c r="F1451" s="13"/>
      <c r="G1451" s="13"/>
      <c r="H1451" s="13"/>
      <c r="I1451" s="15"/>
      <c r="J1451" s="15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</row>
    <row r="1452" ht="22.5" hidden="1" customHeight="1">
      <c r="A1452" s="6"/>
      <c r="B1452" s="20"/>
      <c r="C1452" s="36"/>
      <c r="D1452" s="13"/>
      <c r="E1452" s="13"/>
      <c r="F1452" s="13"/>
      <c r="G1452" s="13"/>
      <c r="H1452" s="13"/>
      <c r="I1452" s="15"/>
      <c r="J1452" s="15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</row>
    <row r="1453" ht="22.5" hidden="1" customHeight="1">
      <c r="A1453" s="6"/>
      <c r="B1453" s="20"/>
      <c r="C1453" s="36"/>
      <c r="D1453" s="13"/>
      <c r="E1453" s="13"/>
      <c r="F1453" s="13"/>
      <c r="G1453" s="13"/>
      <c r="H1453" s="13"/>
      <c r="I1453" s="15"/>
      <c r="J1453" s="15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</row>
    <row r="1454" ht="22.5" hidden="1" customHeight="1">
      <c r="A1454" s="6"/>
      <c r="B1454" s="20"/>
      <c r="C1454" s="36"/>
      <c r="D1454" s="13"/>
      <c r="E1454" s="13"/>
      <c r="F1454" s="13"/>
      <c r="G1454" s="13"/>
      <c r="H1454" s="13"/>
      <c r="I1454" s="15"/>
      <c r="J1454" s="15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</row>
    <row r="1455" ht="22.5" hidden="1" customHeight="1">
      <c r="A1455" s="6"/>
      <c r="B1455" s="20"/>
      <c r="C1455" s="36"/>
      <c r="D1455" s="13"/>
      <c r="E1455" s="13"/>
      <c r="F1455" s="13"/>
      <c r="G1455" s="13"/>
      <c r="H1455" s="13"/>
      <c r="I1455" s="15"/>
      <c r="J1455" s="15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</row>
    <row r="1456" ht="22.5" hidden="1" customHeight="1">
      <c r="A1456" s="6"/>
      <c r="B1456" s="20"/>
      <c r="C1456" s="36"/>
      <c r="D1456" s="13"/>
      <c r="E1456" s="13"/>
      <c r="F1456" s="13"/>
      <c r="G1456" s="13"/>
      <c r="H1456" s="13"/>
      <c r="I1456" s="15"/>
      <c r="J1456" s="15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</row>
    <row r="1457" ht="22.5" hidden="1" customHeight="1">
      <c r="A1457" s="6"/>
      <c r="B1457" s="20"/>
      <c r="C1457" s="36"/>
      <c r="D1457" s="13"/>
      <c r="E1457" s="13"/>
      <c r="F1457" s="13"/>
      <c r="G1457" s="13"/>
      <c r="H1457" s="13"/>
      <c r="I1457" s="15"/>
      <c r="J1457" s="15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</row>
    <row r="1458" ht="22.5" hidden="1" customHeight="1">
      <c r="A1458" s="6"/>
      <c r="B1458" s="20"/>
      <c r="C1458" s="36"/>
      <c r="D1458" s="13"/>
      <c r="E1458" s="13"/>
      <c r="F1458" s="13"/>
      <c r="G1458" s="13"/>
      <c r="H1458" s="13"/>
      <c r="I1458" s="15"/>
      <c r="J1458" s="15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</row>
    <row r="1459" ht="22.5" hidden="1" customHeight="1">
      <c r="A1459" s="6"/>
      <c r="B1459" s="20"/>
      <c r="C1459" s="36"/>
      <c r="D1459" s="13"/>
      <c r="E1459" s="13"/>
      <c r="F1459" s="13"/>
      <c r="G1459" s="13"/>
      <c r="H1459" s="13"/>
      <c r="I1459" s="15"/>
      <c r="J1459" s="15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</row>
    <row r="1460" ht="22.5" hidden="1" customHeight="1">
      <c r="A1460" s="6"/>
      <c r="B1460" s="20"/>
      <c r="C1460" s="36"/>
      <c r="D1460" s="13"/>
      <c r="E1460" s="13"/>
      <c r="F1460" s="13"/>
      <c r="G1460" s="13"/>
      <c r="H1460" s="13"/>
      <c r="I1460" s="15"/>
      <c r="J1460" s="15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</row>
    <row r="1461" ht="22.5" hidden="1" customHeight="1">
      <c r="A1461" s="6"/>
      <c r="B1461" s="20"/>
      <c r="C1461" s="36"/>
      <c r="D1461" s="13"/>
      <c r="E1461" s="13"/>
      <c r="F1461" s="13"/>
      <c r="G1461" s="13"/>
      <c r="H1461" s="13"/>
      <c r="I1461" s="15"/>
      <c r="J1461" s="15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</row>
    <row r="1462" ht="22.5" hidden="1" customHeight="1">
      <c r="A1462" s="6"/>
      <c r="B1462" s="20"/>
      <c r="C1462" s="36"/>
      <c r="D1462" s="13"/>
      <c r="E1462" s="13"/>
      <c r="F1462" s="13"/>
      <c r="G1462" s="13"/>
      <c r="H1462" s="13"/>
      <c r="I1462" s="15"/>
      <c r="J1462" s="15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</row>
    <row r="1463" ht="22.5" hidden="1" customHeight="1">
      <c r="A1463" s="6"/>
      <c r="B1463" s="20"/>
      <c r="C1463" s="36"/>
      <c r="D1463" s="13"/>
      <c r="E1463" s="13"/>
      <c r="F1463" s="13"/>
      <c r="G1463" s="13"/>
      <c r="H1463" s="13"/>
      <c r="I1463" s="15"/>
      <c r="J1463" s="15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</row>
    <row r="1464" ht="22.5" hidden="1" customHeight="1">
      <c r="A1464" s="6"/>
      <c r="B1464" s="20"/>
      <c r="C1464" s="36"/>
      <c r="D1464" s="13"/>
      <c r="E1464" s="13"/>
      <c r="F1464" s="13"/>
      <c r="G1464" s="13"/>
      <c r="H1464" s="13"/>
      <c r="I1464" s="15"/>
      <c r="J1464" s="15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</row>
    <row r="1465" ht="22.5" hidden="1" customHeight="1">
      <c r="A1465" s="6"/>
      <c r="B1465" s="20"/>
      <c r="C1465" s="36"/>
      <c r="D1465" s="13"/>
      <c r="E1465" s="13"/>
      <c r="F1465" s="13"/>
      <c r="G1465" s="13"/>
      <c r="H1465" s="13"/>
      <c r="I1465" s="15"/>
      <c r="J1465" s="15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</row>
    <row r="1466" ht="22.5" hidden="1" customHeight="1">
      <c r="A1466" s="6"/>
      <c r="B1466" s="20"/>
      <c r="C1466" s="36"/>
      <c r="D1466" s="13"/>
      <c r="E1466" s="13"/>
      <c r="F1466" s="13"/>
      <c r="G1466" s="13"/>
      <c r="H1466" s="13"/>
      <c r="I1466" s="15"/>
      <c r="J1466" s="15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</row>
    <row r="1467" ht="22.5" hidden="1" customHeight="1">
      <c r="A1467" s="6"/>
      <c r="B1467" s="20"/>
      <c r="C1467" s="36"/>
      <c r="D1467" s="13"/>
      <c r="E1467" s="13"/>
      <c r="F1467" s="13"/>
      <c r="G1467" s="13"/>
      <c r="H1467" s="13"/>
      <c r="I1467" s="15"/>
      <c r="J1467" s="15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</row>
    <row r="1468" ht="22.5" hidden="1" customHeight="1">
      <c r="A1468" s="6"/>
      <c r="B1468" s="20"/>
      <c r="C1468" s="36"/>
      <c r="D1468" s="13"/>
      <c r="E1468" s="13"/>
      <c r="F1468" s="13"/>
      <c r="G1468" s="13"/>
      <c r="H1468" s="13"/>
      <c r="I1468" s="15"/>
      <c r="J1468" s="15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</row>
    <row r="1469" ht="22.5" hidden="1" customHeight="1">
      <c r="A1469" s="6"/>
      <c r="B1469" s="20"/>
      <c r="C1469" s="36"/>
      <c r="D1469" s="13"/>
      <c r="E1469" s="13"/>
      <c r="F1469" s="13"/>
      <c r="G1469" s="13"/>
      <c r="H1469" s="13"/>
      <c r="I1469" s="15"/>
      <c r="J1469" s="15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</row>
    <row r="1470" ht="22.5" hidden="1" customHeight="1">
      <c r="A1470" s="6"/>
      <c r="B1470" s="20"/>
      <c r="C1470" s="36"/>
      <c r="D1470" s="13"/>
      <c r="E1470" s="13"/>
      <c r="F1470" s="13"/>
      <c r="G1470" s="13"/>
      <c r="H1470" s="13"/>
      <c r="I1470" s="15"/>
      <c r="J1470" s="15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</row>
    <row r="1471" ht="22.5" hidden="1" customHeight="1">
      <c r="A1471" s="6"/>
      <c r="B1471" s="20"/>
      <c r="C1471" s="36"/>
      <c r="D1471" s="13"/>
      <c r="E1471" s="13"/>
      <c r="F1471" s="13"/>
      <c r="G1471" s="13"/>
      <c r="H1471" s="13"/>
      <c r="I1471" s="15"/>
      <c r="J1471" s="15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</row>
    <row r="1472" ht="22.5" hidden="1" customHeight="1">
      <c r="A1472" s="6"/>
      <c r="B1472" s="20"/>
      <c r="C1472" s="36"/>
      <c r="D1472" s="13"/>
      <c r="E1472" s="13"/>
      <c r="F1472" s="13"/>
      <c r="G1472" s="13"/>
      <c r="H1472" s="13"/>
      <c r="I1472" s="15"/>
      <c r="J1472" s="15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</row>
    <row r="1473" ht="22.5" hidden="1" customHeight="1">
      <c r="A1473" s="6"/>
      <c r="B1473" s="20"/>
      <c r="C1473" s="36"/>
      <c r="D1473" s="13"/>
      <c r="E1473" s="13"/>
      <c r="F1473" s="13"/>
      <c r="G1473" s="13"/>
      <c r="H1473" s="13"/>
      <c r="I1473" s="15"/>
      <c r="J1473" s="15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</row>
    <row r="1474" ht="22.5" hidden="1" customHeight="1">
      <c r="A1474" s="6"/>
      <c r="B1474" s="20"/>
      <c r="C1474" s="36"/>
      <c r="D1474" s="13"/>
      <c r="E1474" s="13"/>
      <c r="F1474" s="13"/>
      <c r="G1474" s="13"/>
      <c r="H1474" s="13"/>
      <c r="I1474" s="15"/>
      <c r="J1474" s="15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</row>
    <row r="1475" ht="22.5" hidden="1" customHeight="1">
      <c r="A1475" s="6"/>
      <c r="B1475" s="20"/>
      <c r="C1475" s="36"/>
      <c r="D1475" s="13"/>
      <c r="E1475" s="13"/>
      <c r="F1475" s="13"/>
      <c r="G1475" s="13"/>
      <c r="H1475" s="13"/>
      <c r="I1475" s="15"/>
      <c r="J1475" s="15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</row>
    <row r="1476" ht="22.5" hidden="1" customHeight="1">
      <c r="A1476" s="6"/>
      <c r="B1476" s="20"/>
      <c r="C1476" s="36"/>
      <c r="D1476" s="13"/>
      <c r="E1476" s="13"/>
      <c r="F1476" s="13"/>
      <c r="G1476" s="13"/>
      <c r="H1476" s="13"/>
      <c r="I1476" s="15"/>
      <c r="J1476" s="15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</row>
    <row r="1477" ht="22.5" hidden="1" customHeight="1">
      <c r="A1477" s="6"/>
      <c r="B1477" s="20"/>
      <c r="C1477" s="36"/>
      <c r="D1477" s="13"/>
      <c r="E1477" s="13"/>
      <c r="F1477" s="13"/>
      <c r="G1477" s="13"/>
      <c r="H1477" s="13"/>
      <c r="I1477" s="15"/>
      <c r="J1477" s="15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</row>
    <row r="1478" ht="22.5" hidden="1" customHeight="1">
      <c r="A1478" s="6"/>
      <c r="B1478" s="20"/>
      <c r="C1478" s="36"/>
      <c r="D1478" s="13"/>
      <c r="E1478" s="13"/>
      <c r="F1478" s="13"/>
      <c r="G1478" s="13"/>
      <c r="H1478" s="13"/>
      <c r="I1478" s="15"/>
      <c r="J1478" s="15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</row>
    <row r="1479" ht="22.5" hidden="1" customHeight="1">
      <c r="A1479" s="6"/>
      <c r="B1479" s="20"/>
      <c r="C1479" s="36"/>
      <c r="D1479" s="13"/>
      <c r="E1479" s="13"/>
      <c r="F1479" s="13"/>
      <c r="G1479" s="13"/>
      <c r="H1479" s="13"/>
      <c r="I1479" s="15"/>
      <c r="J1479" s="15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</row>
    <row r="1480" ht="22.5" hidden="1" customHeight="1">
      <c r="A1480" s="6"/>
      <c r="B1480" s="20"/>
      <c r="C1480" s="36"/>
      <c r="D1480" s="13"/>
      <c r="E1480" s="13"/>
      <c r="F1480" s="13"/>
      <c r="G1480" s="13"/>
      <c r="H1480" s="13"/>
      <c r="I1480" s="15"/>
      <c r="J1480" s="15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</row>
    <row r="1481" ht="22.5" hidden="1" customHeight="1">
      <c r="A1481" s="6"/>
      <c r="B1481" s="20"/>
      <c r="C1481" s="36"/>
      <c r="D1481" s="13"/>
      <c r="E1481" s="13"/>
      <c r="F1481" s="13"/>
      <c r="G1481" s="13"/>
      <c r="H1481" s="13"/>
      <c r="I1481" s="15"/>
      <c r="J1481" s="15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</row>
    <row r="1482" ht="22.5" hidden="1" customHeight="1">
      <c r="A1482" s="6"/>
      <c r="B1482" s="20"/>
      <c r="C1482" s="36"/>
      <c r="D1482" s="13"/>
      <c r="E1482" s="13"/>
      <c r="F1482" s="13"/>
      <c r="G1482" s="13"/>
      <c r="H1482" s="13"/>
      <c r="I1482" s="15"/>
      <c r="J1482" s="15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</row>
    <row r="1483" ht="22.5" hidden="1" customHeight="1">
      <c r="A1483" s="6"/>
      <c r="B1483" s="20"/>
      <c r="C1483" s="36"/>
      <c r="D1483" s="13"/>
      <c r="E1483" s="13"/>
      <c r="F1483" s="13"/>
      <c r="G1483" s="13"/>
      <c r="H1483" s="13"/>
      <c r="I1483" s="15"/>
      <c r="J1483" s="15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</row>
    <row r="1484" ht="22.5" hidden="1" customHeight="1">
      <c r="A1484" s="6"/>
      <c r="B1484" s="20"/>
      <c r="C1484" s="36"/>
      <c r="D1484" s="13"/>
      <c r="E1484" s="13"/>
      <c r="F1484" s="13"/>
      <c r="G1484" s="13"/>
      <c r="H1484" s="13"/>
      <c r="I1484" s="15"/>
      <c r="J1484" s="15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</row>
    <row r="1485" ht="22.5" hidden="1" customHeight="1">
      <c r="A1485" s="6"/>
      <c r="B1485" s="20"/>
      <c r="C1485" s="36"/>
      <c r="D1485" s="13"/>
      <c r="E1485" s="13"/>
      <c r="F1485" s="13"/>
      <c r="G1485" s="13"/>
      <c r="H1485" s="13"/>
      <c r="I1485" s="15"/>
      <c r="J1485" s="15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</row>
    <row r="1486" ht="22.5" hidden="1" customHeight="1">
      <c r="A1486" s="6"/>
      <c r="B1486" s="20"/>
      <c r="C1486" s="36"/>
      <c r="D1486" s="13"/>
      <c r="E1486" s="13"/>
      <c r="F1486" s="13"/>
      <c r="G1486" s="13"/>
      <c r="H1486" s="13"/>
      <c r="I1486" s="15"/>
      <c r="J1486" s="15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</row>
    <row r="1487" ht="22.5" hidden="1" customHeight="1">
      <c r="A1487" s="6"/>
      <c r="B1487" s="20"/>
      <c r="C1487" s="36"/>
      <c r="D1487" s="13"/>
      <c r="E1487" s="13"/>
      <c r="F1487" s="13"/>
      <c r="G1487" s="13"/>
      <c r="H1487" s="13"/>
      <c r="I1487" s="15"/>
      <c r="J1487" s="15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</row>
    <row r="1488" ht="22.5" hidden="1" customHeight="1">
      <c r="A1488" s="6"/>
      <c r="B1488" s="20"/>
      <c r="C1488" s="36"/>
      <c r="D1488" s="13"/>
      <c r="E1488" s="13"/>
      <c r="F1488" s="13"/>
      <c r="G1488" s="13"/>
      <c r="H1488" s="13"/>
      <c r="I1488" s="15"/>
      <c r="J1488" s="15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</row>
    <row r="1489" ht="22.5" hidden="1" customHeight="1">
      <c r="A1489" s="6"/>
      <c r="B1489" s="20"/>
      <c r="C1489" s="36"/>
      <c r="D1489" s="13"/>
      <c r="E1489" s="13"/>
      <c r="F1489" s="13"/>
      <c r="G1489" s="13"/>
      <c r="H1489" s="13"/>
      <c r="I1489" s="15"/>
      <c r="J1489" s="15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</row>
    <row r="1490" ht="22.5" hidden="1" customHeight="1">
      <c r="A1490" s="6"/>
      <c r="B1490" s="20"/>
      <c r="C1490" s="36"/>
      <c r="D1490" s="13"/>
      <c r="E1490" s="13"/>
      <c r="F1490" s="13"/>
      <c r="G1490" s="13"/>
      <c r="H1490" s="13"/>
      <c r="I1490" s="15"/>
      <c r="J1490" s="15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</row>
    <row r="1491" ht="22.5" hidden="1" customHeight="1">
      <c r="A1491" s="6"/>
      <c r="B1491" s="20"/>
      <c r="C1491" s="36"/>
      <c r="D1491" s="13"/>
      <c r="E1491" s="13"/>
      <c r="F1491" s="13"/>
      <c r="G1491" s="13"/>
      <c r="H1491" s="13"/>
      <c r="I1491" s="15"/>
      <c r="J1491" s="15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</row>
    <row r="1492" ht="22.5" hidden="1" customHeight="1">
      <c r="A1492" s="6"/>
      <c r="B1492" s="20"/>
      <c r="C1492" s="36"/>
      <c r="D1492" s="13"/>
      <c r="E1492" s="13"/>
      <c r="F1492" s="13"/>
      <c r="G1492" s="13"/>
      <c r="H1492" s="13"/>
      <c r="I1492" s="15"/>
      <c r="J1492" s="15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</row>
    <row r="1493" ht="22.5" hidden="1" customHeight="1">
      <c r="A1493" s="6"/>
      <c r="B1493" s="20"/>
      <c r="C1493" s="36"/>
      <c r="D1493" s="13"/>
      <c r="E1493" s="13"/>
      <c r="F1493" s="13"/>
      <c r="G1493" s="13"/>
      <c r="H1493" s="13"/>
      <c r="I1493" s="15"/>
      <c r="J1493" s="15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</row>
    <row r="1494" ht="22.5" hidden="1" customHeight="1">
      <c r="A1494" s="6"/>
      <c r="B1494" s="20"/>
      <c r="C1494" s="36"/>
      <c r="D1494" s="13"/>
      <c r="E1494" s="13"/>
      <c r="F1494" s="13"/>
      <c r="G1494" s="13"/>
      <c r="H1494" s="13"/>
      <c r="I1494" s="15"/>
      <c r="J1494" s="15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</row>
    <row r="1495" ht="22.5" hidden="1" customHeight="1">
      <c r="A1495" s="6"/>
      <c r="B1495" s="20"/>
      <c r="C1495" s="36"/>
      <c r="D1495" s="13"/>
      <c r="E1495" s="13"/>
      <c r="F1495" s="13"/>
      <c r="G1495" s="13"/>
      <c r="H1495" s="13"/>
      <c r="I1495" s="15"/>
      <c r="J1495" s="15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</row>
    <row r="1496" ht="22.5" hidden="1" customHeight="1">
      <c r="A1496" s="6"/>
      <c r="B1496" s="20"/>
      <c r="C1496" s="36"/>
      <c r="D1496" s="13"/>
      <c r="E1496" s="13"/>
      <c r="F1496" s="13"/>
      <c r="G1496" s="13"/>
      <c r="H1496" s="13"/>
      <c r="I1496" s="15"/>
      <c r="J1496" s="15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</row>
    <row r="1497" ht="22.5" hidden="1" customHeight="1">
      <c r="A1497" s="6"/>
      <c r="B1497" s="20"/>
      <c r="C1497" s="36"/>
      <c r="D1497" s="13"/>
      <c r="E1497" s="13"/>
      <c r="F1497" s="13"/>
      <c r="G1497" s="13"/>
      <c r="H1497" s="13"/>
      <c r="I1497" s="15"/>
      <c r="J1497" s="15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</row>
    <row r="1498" ht="22.5" hidden="1" customHeight="1">
      <c r="A1498" s="6"/>
      <c r="B1498" s="20"/>
      <c r="C1498" s="36"/>
      <c r="D1498" s="13"/>
      <c r="E1498" s="13"/>
      <c r="F1498" s="13"/>
      <c r="G1498" s="13"/>
      <c r="H1498" s="13"/>
      <c r="I1498" s="15"/>
      <c r="J1498" s="15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</row>
    <row r="1499" ht="22.5" hidden="1" customHeight="1">
      <c r="A1499" s="6"/>
      <c r="B1499" s="20"/>
      <c r="C1499" s="36"/>
      <c r="D1499" s="13"/>
      <c r="E1499" s="13"/>
      <c r="F1499" s="13"/>
      <c r="G1499" s="13"/>
      <c r="H1499" s="13"/>
      <c r="I1499" s="15"/>
      <c r="J1499" s="15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</row>
    <row r="1500" ht="22.5" hidden="1" customHeight="1">
      <c r="A1500" s="6"/>
      <c r="B1500" s="20"/>
      <c r="C1500" s="36"/>
      <c r="D1500" s="13"/>
      <c r="E1500" s="13"/>
      <c r="F1500" s="13"/>
      <c r="G1500" s="13"/>
      <c r="H1500" s="13"/>
      <c r="I1500" s="15"/>
      <c r="J1500" s="15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</row>
    <row r="1501" ht="22.5" hidden="1" customHeight="1">
      <c r="A1501" s="6"/>
      <c r="B1501" s="20"/>
      <c r="C1501" s="36"/>
      <c r="D1501" s="13"/>
      <c r="E1501" s="13"/>
      <c r="F1501" s="13"/>
      <c r="G1501" s="13"/>
      <c r="H1501" s="13"/>
      <c r="I1501" s="15"/>
      <c r="J1501" s="15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</row>
    <row r="1502" ht="22.5" hidden="1" customHeight="1">
      <c r="A1502" s="6"/>
      <c r="B1502" s="20"/>
      <c r="C1502" s="36"/>
      <c r="D1502" s="13"/>
      <c r="E1502" s="13"/>
      <c r="F1502" s="13"/>
      <c r="G1502" s="13"/>
      <c r="H1502" s="13"/>
      <c r="I1502" s="15"/>
      <c r="J1502" s="15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</row>
    <row r="1503" ht="22.5" hidden="1" customHeight="1">
      <c r="A1503" s="6"/>
      <c r="B1503" s="20"/>
      <c r="C1503" s="36"/>
      <c r="D1503" s="13"/>
      <c r="E1503" s="13"/>
      <c r="F1503" s="13"/>
      <c r="G1503" s="13"/>
      <c r="H1503" s="13"/>
      <c r="I1503" s="15"/>
      <c r="J1503" s="15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</row>
    <row r="1504" ht="22.5" hidden="1" customHeight="1">
      <c r="A1504" s="6"/>
      <c r="B1504" s="20"/>
      <c r="C1504" s="36"/>
      <c r="D1504" s="13"/>
      <c r="E1504" s="13"/>
      <c r="F1504" s="13"/>
      <c r="G1504" s="13"/>
      <c r="H1504" s="13"/>
      <c r="I1504" s="15"/>
      <c r="J1504" s="15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</row>
    <row r="1505" ht="22.5" hidden="1" customHeight="1">
      <c r="A1505" s="6"/>
      <c r="B1505" s="20"/>
      <c r="C1505" s="36"/>
      <c r="D1505" s="13"/>
      <c r="E1505" s="13"/>
      <c r="F1505" s="13"/>
      <c r="G1505" s="13"/>
      <c r="H1505" s="13"/>
      <c r="I1505" s="15"/>
      <c r="J1505" s="15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</row>
    <row r="1506" ht="22.5" hidden="1" customHeight="1">
      <c r="A1506" s="6"/>
      <c r="B1506" s="20"/>
      <c r="C1506" s="36"/>
      <c r="D1506" s="13"/>
      <c r="E1506" s="13"/>
      <c r="F1506" s="13"/>
      <c r="G1506" s="13"/>
      <c r="H1506" s="13"/>
      <c r="I1506" s="15"/>
      <c r="J1506" s="15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</row>
    <row r="1507" ht="22.5" hidden="1" customHeight="1">
      <c r="A1507" s="6"/>
      <c r="B1507" s="20"/>
      <c r="C1507" s="36"/>
      <c r="D1507" s="13"/>
      <c r="E1507" s="13"/>
      <c r="F1507" s="13"/>
      <c r="G1507" s="13"/>
      <c r="H1507" s="13"/>
      <c r="I1507" s="15"/>
      <c r="J1507" s="15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</row>
    <row r="1508" ht="22.5" hidden="1" customHeight="1">
      <c r="A1508" s="6"/>
      <c r="B1508" s="20"/>
      <c r="C1508" s="36"/>
      <c r="D1508" s="13"/>
      <c r="E1508" s="13"/>
      <c r="F1508" s="13"/>
      <c r="G1508" s="13"/>
      <c r="H1508" s="13"/>
      <c r="I1508" s="15"/>
      <c r="J1508" s="15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</row>
    <row r="1509" ht="22.5" hidden="1" customHeight="1">
      <c r="A1509" s="6"/>
      <c r="B1509" s="20"/>
      <c r="C1509" s="36"/>
      <c r="D1509" s="13"/>
      <c r="E1509" s="13"/>
      <c r="F1509" s="13"/>
      <c r="G1509" s="13"/>
      <c r="H1509" s="13"/>
      <c r="I1509" s="15"/>
      <c r="J1509" s="15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</row>
    <row r="1510" ht="22.5" hidden="1" customHeight="1">
      <c r="A1510" s="6"/>
      <c r="B1510" s="20"/>
      <c r="C1510" s="36"/>
      <c r="D1510" s="13"/>
      <c r="E1510" s="13"/>
      <c r="F1510" s="13"/>
      <c r="G1510" s="13"/>
      <c r="H1510" s="13"/>
      <c r="I1510" s="15"/>
      <c r="J1510" s="15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</row>
    <row r="1511" ht="22.5" hidden="1" customHeight="1">
      <c r="A1511" s="6"/>
      <c r="B1511" s="20"/>
      <c r="C1511" s="36"/>
      <c r="D1511" s="13"/>
      <c r="E1511" s="13"/>
      <c r="F1511" s="13"/>
      <c r="G1511" s="13"/>
      <c r="H1511" s="13"/>
      <c r="I1511" s="15"/>
      <c r="J1511" s="15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</row>
    <row r="1512" ht="22.5" hidden="1" customHeight="1">
      <c r="A1512" s="6"/>
      <c r="B1512" s="20"/>
      <c r="C1512" s="36"/>
      <c r="D1512" s="13"/>
      <c r="E1512" s="13"/>
      <c r="F1512" s="13"/>
      <c r="G1512" s="13"/>
      <c r="H1512" s="13"/>
      <c r="I1512" s="15"/>
      <c r="J1512" s="15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</row>
    <row r="1513" ht="22.5" hidden="1" customHeight="1">
      <c r="A1513" s="6"/>
      <c r="B1513" s="20"/>
      <c r="C1513" s="36"/>
      <c r="D1513" s="13"/>
      <c r="E1513" s="13"/>
      <c r="F1513" s="13"/>
      <c r="G1513" s="13"/>
      <c r="H1513" s="13"/>
      <c r="I1513" s="15"/>
      <c r="J1513" s="15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</row>
    <row r="1514" ht="22.5" hidden="1" customHeight="1">
      <c r="A1514" s="6"/>
      <c r="B1514" s="20"/>
      <c r="C1514" s="36"/>
      <c r="D1514" s="13"/>
      <c r="E1514" s="13"/>
      <c r="F1514" s="13"/>
      <c r="G1514" s="13"/>
      <c r="H1514" s="13"/>
      <c r="I1514" s="15"/>
      <c r="J1514" s="15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</row>
    <row r="1515" ht="22.5" hidden="1" customHeight="1">
      <c r="A1515" s="6"/>
      <c r="B1515" s="20"/>
      <c r="C1515" s="36"/>
      <c r="D1515" s="13"/>
      <c r="E1515" s="13"/>
      <c r="F1515" s="13"/>
      <c r="G1515" s="13"/>
      <c r="H1515" s="13"/>
      <c r="I1515" s="15"/>
      <c r="J1515" s="15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</row>
    <row r="1516" ht="22.5" hidden="1" customHeight="1">
      <c r="A1516" s="6"/>
      <c r="B1516" s="20"/>
      <c r="C1516" s="36"/>
      <c r="D1516" s="13"/>
      <c r="E1516" s="13"/>
      <c r="F1516" s="13"/>
      <c r="G1516" s="13"/>
      <c r="H1516" s="13"/>
      <c r="I1516" s="15"/>
      <c r="J1516" s="15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</row>
    <row r="1517" ht="22.5" hidden="1" customHeight="1">
      <c r="A1517" s="6"/>
      <c r="B1517" s="20"/>
      <c r="C1517" s="36"/>
      <c r="D1517" s="13"/>
      <c r="E1517" s="13"/>
      <c r="F1517" s="13"/>
      <c r="G1517" s="13"/>
      <c r="H1517" s="13"/>
      <c r="I1517" s="15"/>
      <c r="J1517" s="15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</row>
    <row r="1518" ht="22.5" hidden="1" customHeight="1">
      <c r="A1518" s="6"/>
      <c r="B1518" s="20"/>
      <c r="C1518" s="36"/>
      <c r="D1518" s="13"/>
      <c r="E1518" s="13"/>
      <c r="F1518" s="13"/>
      <c r="G1518" s="13"/>
      <c r="H1518" s="13"/>
      <c r="I1518" s="15"/>
      <c r="J1518" s="15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</row>
    <row r="1519" ht="22.5" hidden="1" customHeight="1">
      <c r="A1519" s="6"/>
      <c r="B1519" s="20"/>
      <c r="C1519" s="36"/>
      <c r="D1519" s="13"/>
      <c r="E1519" s="13"/>
      <c r="F1519" s="13"/>
      <c r="G1519" s="13"/>
      <c r="H1519" s="13"/>
      <c r="I1519" s="15"/>
      <c r="J1519" s="15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</row>
    <row r="1520" ht="22.5" hidden="1" customHeight="1">
      <c r="A1520" s="6"/>
      <c r="B1520" s="20"/>
      <c r="C1520" s="36"/>
      <c r="D1520" s="13"/>
      <c r="E1520" s="13"/>
      <c r="F1520" s="13"/>
      <c r="G1520" s="13"/>
      <c r="H1520" s="13"/>
      <c r="I1520" s="15"/>
      <c r="J1520" s="15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</row>
    <row r="1521" ht="22.5" hidden="1" customHeight="1">
      <c r="A1521" s="6"/>
      <c r="B1521" s="20"/>
      <c r="C1521" s="36"/>
      <c r="D1521" s="13"/>
      <c r="E1521" s="13"/>
      <c r="F1521" s="13"/>
      <c r="G1521" s="13"/>
      <c r="H1521" s="13"/>
      <c r="I1521" s="15"/>
      <c r="J1521" s="15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</row>
    <row r="1522" ht="22.5" hidden="1" customHeight="1">
      <c r="A1522" s="6"/>
      <c r="B1522" s="20"/>
      <c r="C1522" s="36"/>
      <c r="D1522" s="13"/>
      <c r="E1522" s="13"/>
      <c r="F1522" s="13"/>
      <c r="G1522" s="13"/>
      <c r="H1522" s="13"/>
      <c r="I1522" s="15"/>
      <c r="J1522" s="15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</row>
    <row r="1523" ht="22.5" hidden="1" customHeight="1">
      <c r="A1523" s="6"/>
      <c r="B1523" s="20"/>
      <c r="C1523" s="36"/>
      <c r="D1523" s="13"/>
      <c r="E1523" s="13"/>
      <c r="F1523" s="13"/>
      <c r="G1523" s="13"/>
      <c r="H1523" s="13"/>
      <c r="I1523" s="15"/>
      <c r="J1523" s="15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</row>
    <row r="1524" ht="22.5" hidden="1" customHeight="1">
      <c r="A1524" s="6"/>
      <c r="B1524" s="20"/>
      <c r="C1524" s="36"/>
      <c r="D1524" s="13"/>
      <c r="E1524" s="13"/>
      <c r="F1524" s="13"/>
      <c r="G1524" s="13"/>
      <c r="H1524" s="13"/>
      <c r="I1524" s="15"/>
      <c r="J1524" s="15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</row>
    <row r="1525" ht="22.5" hidden="1" customHeight="1">
      <c r="A1525" s="6"/>
      <c r="B1525" s="20"/>
      <c r="C1525" s="36"/>
      <c r="D1525" s="13"/>
      <c r="E1525" s="13"/>
      <c r="F1525" s="13"/>
      <c r="G1525" s="13"/>
      <c r="H1525" s="13"/>
      <c r="I1525" s="15"/>
      <c r="J1525" s="15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</row>
    <row r="1526" ht="22.5" hidden="1" customHeight="1">
      <c r="A1526" s="6"/>
      <c r="B1526" s="20"/>
      <c r="C1526" s="36"/>
      <c r="D1526" s="13"/>
      <c r="E1526" s="13"/>
      <c r="F1526" s="13"/>
      <c r="G1526" s="13"/>
      <c r="H1526" s="13"/>
      <c r="I1526" s="15"/>
      <c r="J1526" s="15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</row>
    <row r="1527" ht="22.5" hidden="1" customHeight="1">
      <c r="A1527" s="6"/>
      <c r="B1527" s="20"/>
      <c r="C1527" s="36"/>
      <c r="D1527" s="13"/>
      <c r="E1527" s="13"/>
      <c r="F1527" s="13"/>
      <c r="G1527" s="13"/>
      <c r="H1527" s="13"/>
      <c r="I1527" s="15"/>
      <c r="J1527" s="15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</row>
    <row r="1528" ht="22.5" hidden="1" customHeight="1">
      <c r="A1528" s="6"/>
      <c r="B1528" s="20"/>
      <c r="C1528" s="36"/>
      <c r="D1528" s="13"/>
      <c r="E1528" s="13"/>
      <c r="F1528" s="13"/>
      <c r="G1528" s="13"/>
      <c r="H1528" s="13"/>
      <c r="I1528" s="15"/>
      <c r="J1528" s="15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</row>
    <row r="1529" ht="22.5" hidden="1" customHeight="1">
      <c r="A1529" s="6"/>
      <c r="B1529" s="20"/>
      <c r="C1529" s="36"/>
      <c r="D1529" s="13"/>
      <c r="E1529" s="13"/>
      <c r="F1529" s="13"/>
      <c r="G1529" s="13"/>
      <c r="H1529" s="13"/>
      <c r="I1529" s="15"/>
      <c r="J1529" s="15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</row>
    <row r="1530" ht="22.5" hidden="1" customHeight="1">
      <c r="A1530" s="6"/>
      <c r="B1530" s="20"/>
      <c r="C1530" s="36"/>
      <c r="D1530" s="13"/>
      <c r="E1530" s="13"/>
      <c r="F1530" s="13"/>
      <c r="G1530" s="13"/>
      <c r="H1530" s="13"/>
      <c r="I1530" s="15"/>
      <c r="J1530" s="15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</row>
    <row r="1531" ht="22.5" hidden="1" customHeight="1">
      <c r="A1531" s="6"/>
      <c r="B1531" s="20"/>
      <c r="C1531" s="36"/>
      <c r="D1531" s="13"/>
      <c r="E1531" s="13"/>
      <c r="F1531" s="13"/>
      <c r="G1531" s="13"/>
      <c r="H1531" s="13"/>
      <c r="I1531" s="15"/>
      <c r="J1531" s="15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</row>
    <row r="1532" ht="22.5" hidden="1" customHeight="1">
      <c r="A1532" s="6"/>
      <c r="B1532" s="20"/>
      <c r="C1532" s="36"/>
      <c r="D1532" s="13"/>
      <c r="E1532" s="13"/>
      <c r="F1532" s="13"/>
      <c r="G1532" s="13"/>
      <c r="H1532" s="13"/>
      <c r="I1532" s="15"/>
      <c r="J1532" s="15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</row>
    <row r="1533" ht="22.5" hidden="1" customHeight="1">
      <c r="A1533" s="6"/>
      <c r="B1533" s="20"/>
      <c r="C1533" s="36"/>
      <c r="D1533" s="13"/>
      <c r="E1533" s="13"/>
      <c r="F1533" s="13"/>
      <c r="G1533" s="13"/>
      <c r="H1533" s="13"/>
      <c r="I1533" s="15"/>
      <c r="J1533" s="15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</row>
    <row r="1534" ht="22.5" hidden="1" customHeight="1">
      <c r="A1534" s="6"/>
      <c r="B1534" s="20"/>
      <c r="C1534" s="36"/>
      <c r="D1534" s="13"/>
      <c r="E1534" s="13"/>
      <c r="F1534" s="13"/>
      <c r="G1534" s="13"/>
      <c r="H1534" s="13"/>
      <c r="I1534" s="15"/>
      <c r="J1534" s="15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</row>
    <row r="1535" ht="22.5" hidden="1" customHeight="1">
      <c r="A1535" s="6"/>
      <c r="B1535" s="20"/>
      <c r="C1535" s="36"/>
      <c r="D1535" s="13"/>
      <c r="E1535" s="13"/>
      <c r="F1535" s="13"/>
      <c r="G1535" s="13"/>
      <c r="H1535" s="13"/>
      <c r="I1535" s="15"/>
      <c r="J1535" s="15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</row>
    <row r="1536" ht="22.5" hidden="1" customHeight="1">
      <c r="A1536" s="6"/>
      <c r="B1536" s="20"/>
      <c r="C1536" s="36"/>
      <c r="D1536" s="13"/>
      <c r="E1536" s="13"/>
      <c r="F1536" s="13"/>
      <c r="G1536" s="13"/>
      <c r="H1536" s="13"/>
      <c r="I1536" s="15"/>
      <c r="J1536" s="15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</row>
    <row r="1537" ht="22.5" hidden="1" customHeight="1">
      <c r="A1537" s="6"/>
      <c r="B1537" s="20"/>
      <c r="C1537" s="36"/>
      <c r="D1537" s="13"/>
      <c r="E1537" s="13"/>
      <c r="F1537" s="13"/>
      <c r="G1537" s="13"/>
      <c r="H1537" s="13"/>
      <c r="I1537" s="15"/>
      <c r="J1537" s="15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</row>
    <row r="1538" ht="22.5" hidden="1" customHeight="1">
      <c r="A1538" s="6"/>
      <c r="B1538" s="20"/>
      <c r="C1538" s="36"/>
      <c r="D1538" s="13"/>
      <c r="E1538" s="13"/>
      <c r="F1538" s="13"/>
      <c r="G1538" s="13"/>
      <c r="H1538" s="13"/>
      <c r="I1538" s="15"/>
      <c r="J1538" s="15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</row>
    <row r="1539" ht="22.5" hidden="1" customHeight="1">
      <c r="A1539" s="6"/>
      <c r="B1539" s="20"/>
      <c r="C1539" s="36"/>
      <c r="D1539" s="13"/>
      <c r="E1539" s="13"/>
      <c r="F1539" s="13"/>
      <c r="G1539" s="13"/>
      <c r="H1539" s="13"/>
      <c r="I1539" s="15"/>
      <c r="J1539" s="15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</row>
    <row r="1540" ht="22.5" hidden="1" customHeight="1">
      <c r="A1540" s="6"/>
      <c r="B1540" s="20"/>
      <c r="C1540" s="36"/>
      <c r="D1540" s="13"/>
      <c r="E1540" s="13"/>
      <c r="F1540" s="13"/>
      <c r="G1540" s="13"/>
      <c r="H1540" s="13"/>
      <c r="I1540" s="15"/>
      <c r="J1540" s="15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</row>
    <row r="1541" ht="22.5" hidden="1" customHeight="1">
      <c r="A1541" s="6"/>
      <c r="B1541" s="20"/>
      <c r="C1541" s="36"/>
      <c r="D1541" s="13"/>
      <c r="E1541" s="13"/>
      <c r="F1541" s="13"/>
      <c r="G1541" s="13"/>
      <c r="H1541" s="13"/>
      <c r="I1541" s="15"/>
      <c r="J1541" s="15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</row>
    <row r="1542" ht="22.5" hidden="1" customHeight="1">
      <c r="A1542" s="6"/>
      <c r="B1542" s="20"/>
      <c r="C1542" s="36"/>
      <c r="D1542" s="13"/>
      <c r="E1542" s="13"/>
      <c r="F1542" s="13"/>
      <c r="G1542" s="13"/>
      <c r="H1542" s="13"/>
      <c r="I1542" s="15"/>
      <c r="J1542" s="15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</row>
    <row r="1543" ht="22.5" hidden="1" customHeight="1">
      <c r="A1543" s="6"/>
      <c r="B1543" s="20"/>
      <c r="C1543" s="36"/>
      <c r="D1543" s="13"/>
      <c r="E1543" s="13"/>
      <c r="F1543" s="13"/>
      <c r="G1543" s="13"/>
      <c r="H1543" s="13"/>
      <c r="I1543" s="15"/>
      <c r="J1543" s="15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</row>
    <row r="1544" ht="22.5" hidden="1" customHeight="1">
      <c r="A1544" s="6"/>
      <c r="B1544" s="20"/>
      <c r="C1544" s="36"/>
      <c r="D1544" s="13"/>
      <c r="E1544" s="13"/>
      <c r="F1544" s="13"/>
      <c r="G1544" s="13"/>
      <c r="H1544" s="13"/>
      <c r="I1544" s="15"/>
      <c r="J1544" s="15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</row>
    <row r="1545" ht="22.5" hidden="1" customHeight="1">
      <c r="A1545" s="6"/>
      <c r="B1545" s="20"/>
      <c r="C1545" s="36"/>
      <c r="D1545" s="13"/>
      <c r="E1545" s="13"/>
      <c r="F1545" s="13"/>
      <c r="G1545" s="13"/>
      <c r="H1545" s="13"/>
      <c r="I1545" s="15"/>
      <c r="J1545" s="15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</row>
    <row r="1546" ht="22.5" hidden="1" customHeight="1">
      <c r="A1546" s="6"/>
      <c r="B1546" s="20"/>
      <c r="C1546" s="36"/>
      <c r="D1546" s="13"/>
      <c r="E1546" s="13"/>
      <c r="F1546" s="13"/>
      <c r="G1546" s="13"/>
      <c r="H1546" s="13"/>
      <c r="I1546" s="15"/>
      <c r="J1546" s="15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</row>
    <row r="1547" ht="22.5" hidden="1" customHeight="1">
      <c r="A1547" s="6"/>
      <c r="B1547" s="20"/>
      <c r="C1547" s="36"/>
      <c r="D1547" s="13"/>
      <c r="E1547" s="13"/>
      <c r="F1547" s="13"/>
      <c r="G1547" s="13"/>
      <c r="H1547" s="13"/>
      <c r="I1547" s="15"/>
      <c r="J1547" s="15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</row>
    <row r="1548" ht="22.5" hidden="1" customHeight="1">
      <c r="A1548" s="6"/>
      <c r="B1548" s="20"/>
      <c r="C1548" s="36"/>
      <c r="D1548" s="13"/>
      <c r="E1548" s="13"/>
      <c r="F1548" s="13"/>
      <c r="G1548" s="13"/>
      <c r="H1548" s="13"/>
      <c r="I1548" s="15"/>
      <c r="J1548" s="15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</row>
    <row r="1549" ht="22.5" hidden="1" customHeight="1">
      <c r="A1549" s="6"/>
      <c r="B1549" s="20"/>
      <c r="C1549" s="36"/>
      <c r="D1549" s="13"/>
      <c r="E1549" s="13"/>
      <c r="F1549" s="13"/>
      <c r="G1549" s="13"/>
      <c r="H1549" s="13"/>
      <c r="I1549" s="15"/>
      <c r="J1549" s="15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</row>
    <row r="1550" ht="22.5" hidden="1" customHeight="1">
      <c r="A1550" s="6"/>
      <c r="B1550" s="20"/>
      <c r="C1550" s="36"/>
      <c r="D1550" s="13"/>
      <c r="E1550" s="13"/>
      <c r="F1550" s="13"/>
      <c r="G1550" s="13"/>
      <c r="H1550" s="13"/>
      <c r="I1550" s="15"/>
      <c r="J1550" s="15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</row>
    <row r="1551" ht="22.5" hidden="1" customHeight="1">
      <c r="A1551" s="6"/>
      <c r="B1551" s="20"/>
      <c r="C1551" s="36"/>
      <c r="D1551" s="13"/>
      <c r="E1551" s="13"/>
      <c r="F1551" s="13"/>
      <c r="G1551" s="13"/>
      <c r="H1551" s="13"/>
      <c r="I1551" s="15"/>
      <c r="J1551" s="15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</row>
    <row r="1552" ht="22.5" hidden="1" customHeight="1">
      <c r="A1552" s="6"/>
      <c r="B1552" s="20"/>
      <c r="C1552" s="36"/>
      <c r="D1552" s="13"/>
      <c r="E1552" s="13"/>
      <c r="F1552" s="13"/>
      <c r="G1552" s="13"/>
      <c r="H1552" s="13"/>
      <c r="I1552" s="15"/>
      <c r="J1552" s="15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</row>
    <row r="1553" ht="22.5" hidden="1" customHeight="1">
      <c r="A1553" s="6"/>
      <c r="B1553" s="20"/>
      <c r="C1553" s="36"/>
      <c r="D1553" s="13"/>
      <c r="E1553" s="13"/>
      <c r="F1553" s="13"/>
      <c r="G1553" s="13"/>
      <c r="H1553" s="13"/>
      <c r="I1553" s="15"/>
      <c r="J1553" s="15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</row>
    <row r="1554" ht="22.5" hidden="1" customHeight="1">
      <c r="A1554" s="6"/>
      <c r="B1554" s="20"/>
      <c r="C1554" s="36"/>
      <c r="D1554" s="13"/>
      <c r="E1554" s="13"/>
      <c r="F1554" s="13"/>
      <c r="G1554" s="13"/>
      <c r="H1554" s="13"/>
      <c r="I1554" s="15"/>
      <c r="J1554" s="15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</row>
    <row r="1555" ht="22.5" hidden="1" customHeight="1">
      <c r="A1555" s="6"/>
      <c r="B1555" s="20"/>
      <c r="C1555" s="36"/>
      <c r="D1555" s="13"/>
      <c r="E1555" s="13"/>
      <c r="F1555" s="13"/>
      <c r="G1555" s="13"/>
      <c r="H1555" s="13"/>
      <c r="I1555" s="15"/>
      <c r="J1555" s="15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</row>
    <row r="1556" ht="22.5" hidden="1" customHeight="1">
      <c r="A1556" s="6"/>
      <c r="B1556" s="20"/>
      <c r="C1556" s="36"/>
      <c r="D1556" s="13"/>
      <c r="E1556" s="13"/>
      <c r="F1556" s="13"/>
      <c r="G1556" s="13"/>
      <c r="H1556" s="13"/>
      <c r="I1556" s="15"/>
      <c r="J1556" s="15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</row>
    <row r="1557" ht="22.5" hidden="1" customHeight="1">
      <c r="A1557" s="6"/>
      <c r="B1557" s="20"/>
      <c r="C1557" s="36"/>
      <c r="D1557" s="13"/>
      <c r="E1557" s="13"/>
      <c r="F1557" s="13"/>
      <c r="G1557" s="13"/>
      <c r="H1557" s="13"/>
      <c r="I1557" s="15"/>
      <c r="J1557" s="15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</row>
    <row r="1558" ht="22.5" hidden="1" customHeight="1">
      <c r="A1558" s="6"/>
      <c r="B1558" s="20"/>
      <c r="C1558" s="36"/>
      <c r="D1558" s="13"/>
      <c r="E1558" s="13"/>
      <c r="F1558" s="13"/>
      <c r="G1558" s="13"/>
      <c r="H1558" s="13"/>
      <c r="I1558" s="15"/>
      <c r="J1558" s="15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</row>
    <row r="1559" ht="22.5" hidden="1" customHeight="1">
      <c r="A1559" s="6"/>
      <c r="B1559" s="20"/>
      <c r="C1559" s="36"/>
      <c r="D1559" s="13"/>
      <c r="E1559" s="13"/>
      <c r="F1559" s="13"/>
      <c r="G1559" s="13"/>
      <c r="H1559" s="13"/>
      <c r="I1559" s="15"/>
      <c r="J1559" s="15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</row>
    <row r="1560" ht="22.5" hidden="1" customHeight="1">
      <c r="A1560" s="6"/>
      <c r="B1560" s="20"/>
      <c r="C1560" s="36"/>
      <c r="D1560" s="13"/>
      <c r="E1560" s="13"/>
      <c r="F1560" s="13"/>
      <c r="G1560" s="13"/>
      <c r="H1560" s="13"/>
      <c r="I1560" s="15"/>
      <c r="J1560" s="15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</row>
    <row r="1561" ht="22.5" hidden="1" customHeight="1">
      <c r="A1561" s="6"/>
      <c r="B1561" s="20"/>
      <c r="C1561" s="36"/>
      <c r="D1561" s="13"/>
      <c r="E1561" s="13"/>
      <c r="F1561" s="13"/>
      <c r="G1561" s="13"/>
      <c r="H1561" s="13"/>
      <c r="I1561" s="15"/>
      <c r="J1561" s="15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</row>
    <row r="1562" ht="22.5" hidden="1" customHeight="1">
      <c r="A1562" s="6"/>
      <c r="B1562" s="20"/>
      <c r="C1562" s="36"/>
      <c r="D1562" s="13"/>
      <c r="E1562" s="13"/>
      <c r="F1562" s="13"/>
      <c r="G1562" s="13"/>
      <c r="H1562" s="13"/>
      <c r="I1562" s="15"/>
      <c r="J1562" s="15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</row>
    <row r="1563" ht="22.5" hidden="1" customHeight="1">
      <c r="A1563" s="6"/>
      <c r="B1563" s="20"/>
      <c r="C1563" s="36"/>
      <c r="D1563" s="13"/>
      <c r="E1563" s="13"/>
      <c r="F1563" s="13"/>
      <c r="G1563" s="13"/>
      <c r="H1563" s="13"/>
      <c r="I1563" s="15"/>
      <c r="J1563" s="15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</row>
    <row r="1564" ht="22.5" hidden="1" customHeight="1">
      <c r="A1564" s="6"/>
      <c r="B1564" s="20"/>
      <c r="C1564" s="36"/>
      <c r="D1564" s="13"/>
      <c r="E1564" s="13"/>
      <c r="F1564" s="13"/>
      <c r="G1564" s="13"/>
      <c r="H1564" s="13"/>
      <c r="I1564" s="15"/>
      <c r="J1564" s="15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</row>
    <row r="1565" ht="22.5" hidden="1" customHeight="1">
      <c r="A1565" s="6"/>
      <c r="B1565" s="20"/>
      <c r="C1565" s="36"/>
      <c r="D1565" s="13"/>
      <c r="E1565" s="13"/>
      <c r="F1565" s="13"/>
      <c r="G1565" s="13"/>
      <c r="H1565" s="13"/>
      <c r="I1565" s="15"/>
      <c r="J1565" s="15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</row>
    <row r="1566" ht="22.5" hidden="1" customHeight="1">
      <c r="A1566" s="6"/>
      <c r="B1566" s="20"/>
      <c r="C1566" s="36"/>
      <c r="D1566" s="13"/>
      <c r="E1566" s="13"/>
      <c r="F1566" s="13"/>
      <c r="G1566" s="13"/>
      <c r="H1566" s="13"/>
      <c r="I1566" s="15"/>
      <c r="J1566" s="15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</row>
    <row r="1567" ht="22.5" hidden="1" customHeight="1">
      <c r="A1567" s="6"/>
      <c r="B1567" s="20"/>
      <c r="C1567" s="36"/>
      <c r="D1567" s="13"/>
      <c r="E1567" s="13"/>
      <c r="F1567" s="13"/>
      <c r="G1567" s="13"/>
      <c r="H1567" s="13"/>
      <c r="I1567" s="15"/>
      <c r="J1567" s="15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</row>
    <row r="1568" ht="22.5" hidden="1" customHeight="1">
      <c r="A1568" s="6"/>
      <c r="B1568" s="20"/>
      <c r="C1568" s="36"/>
      <c r="D1568" s="13"/>
      <c r="E1568" s="13"/>
      <c r="F1568" s="13"/>
      <c r="G1568" s="13"/>
      <c r="H1568" s="13"/>
      <c r="I1568" s="15"/>
      <c r="J1568" s="15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</row>
    <row r="1569" ht="22.5" hidden="1" customHeight="1">
      <c r="A1569" s="6"/>
      <c r="B1569" s="20"/>
      <c r="C1569" s="36"/>
      <c r="D1569" s="13"/>
      <c r="E1569" s="13"/>
      <c r="F1569" s="13"/>
      <c r="G1569" s="13"/>
      <c r="H1569" s="13"/>
      <c r="I1569" s="15"/>
      <c r="J1569" s="15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</row>
    <row r="1570" ht="22.5" hidden="1" customHeight="1">
      <c r="A1570" s="6"/>
      <c r="B1570" s="20"/>
      <c r="C1570" s="36"/>
      <c r="D1570" s="13"/>
      <c r="E1570" s="13"/>
      <c r="F1570" s="13"/>
      <c r="G1570" s="13"/>
      <c r="H1570" s="13"/>
      <c r="I1570" s="15"/>
      <c r="J1570" s="15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</row>
    <row r="1571" ht="22.5" hidden="1" customHeight="1">
      <c r="A1571" s="6"/>
      <c r="B1571" s="20"/>
      <c r="C1571" s="36"/>
      <c r="D1571" s="13"/>
      <c r="E1571" s="13"/>
      <c r="F1571" s="13"/>
      <c r="G1571" s="13"/>
      <c r="H1571" s="13"/>
      <c r="I1571" s="15"/>
      <c r="J1571" s="15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</row>
    <row r="1572" ht="22.5" hidden="1" customHeight="1">
      <c r="A1572" s="6"/>
      <c r="B1572" s="20"/>
      <c r="C1572" s="36"/>
      <c r="D1572" s="13"/>
      <c r="E1572" s="13"/>
      <c r="F1572" s="13"/>
      <c r="G1572" s="13"/>
      <c r="H1572" s="13"/>
      <c r="I1572" s="15"/>
      <c r="J1572" s="15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</row>
    <row r="1573" ht="22.5" hidden="1" customHeight="1">
      <c r="A1573" s="6"/>
      <c r="B1573" s="20"/>
      <c r="C1573" s="36"/>
      <c r="D1573" s="13"/>
      <c r="E1573" s="13"/>
      <c r="F1573" s="13"/>
      <c r="G1573" s="13"/>
      <c r="H1573" s="13"/>
      <c r="I1573" s="15"/>
      <c r="J1573" s="15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</row>
    <row r="1574" ht="22.5" hidden="1" customHeight="1">
      <c r="A1574" s="6"/>
      <c r="B1574" s="20"/>
      <c r="C1574" s="36"/>
      <c r="D1574" s="13"/>
      <c r="E1574" s="13"/>
      <c r="F1574" s="13"/>
      <c r="G1574" s="13"/>
      <c r="H1574" s="13"/>
      <c r="I1574" s="15"/>
      <c r="J1574" s="15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</row>
    <row r="1575" ht="22.5" hidden="1" customHeight="1">
      <c r="A1575" s="6"/>
      <c r="B1575" s="20"/>
      <c r="C1575" s="36"/>
      <c r="D1575" s="13"/>
      <c r="E1575" s="13"/>
      <c r="F1575" s="13"/>
      <c r="G1575" s="13"/>
      <c r="H1575" s="13"/>
      <c r="I1575" s="15"/>
      <c r="J1575" s="15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</row>
    <row r="1576" ht="22.5" hidden="1" customHeight="1">
      <c r="A1576" s="6"/>
      <c r="B1576" s="20"/>
      <c r="C1576" s="36"/>
      <c r="D1576" s="13"/>
      <c r="E1576" s="13"/>
      <c r="F1576" s="13"/>
      <c r="G1576" s="13"/>
      <c r="H1576" s="13"/>
      <c r="I1576" s="15"/>
      <c r="J1576" s="15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</row>
    <row r="1577" ht="22.5" hidden="1" customHeight="1">
      <c r="A1577" s="6"/>
      <c r="B1577" s="20"/>
      <c r="C1577" s="36"/>
      <c r="D1577" s="13"/>
      <c r="E1577" s="13"/>
      <c r="F1577" s="13"/>
      <c r="G1577" s="13"/>
      <c r="H1577" s="13"/>
      <c r="I1577" s="15"/>
      <c r="J1577" s="15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</row>
    <row r="1578" ht="22.5" hidden="1" customHeight="1">
      <c r="A1578" s="6"/>
      <c r="B1578" s="20"/>
      <c r="C1578" s="36"/>
      <c r="D1578" s="13"/>
      <c r="E1578" s="13"/>
      <c r="F1578" s="13"/>
      <c r="G1578" s="13"/>
      <c r="H1578" s="13"/>
      <c r="I1578" s="15"/>
      <c r="J1578" s="15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</row>
    <row r="1579" ht="22.5" hidden="1" customHeight="1">
      <c r="A1579" s="6"/>
      <c r="B1579" s="20"/>
      <c r="C1579" s="36"/>
      <c r="D1579" s="13"/>
      <c r="E1579" s="13"/>
      <c r="F1579" s="13"/>
      <c r="G1579" s="13"/>
      <c r="H1579" s="13"/>
      <c r="I1579" s="15"/>
      <c r="J1579" s="15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</row>
    <row r="1580" ht="22.5" hidden="1" customHeight="1">
      <c r="A1580" s="6"/>
      <c r="B1580" s="20"/>
      <c r="C1580" s="36"/>
      <c r="D1580" s="13"/>
      <c r="E1580" s="13"/>
      <c r="F1580" s="13"/>
      <c r="G1580" s="13"/>
      <c r="H1580" s="13"/>
      <c r="I1580" s="15"/>
      <c r="J1580" s="15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</row>
    <row r="1581" ht="22.5" hidden="1" customHeight="1">
      <c r="A1581" s="6"/>
      <c r="B1581" s="20"/>
      <c r="C1581" s="36"/>
      <c r="D1581" s="13"/>
      <c r="E1581" s="13"/>
      <c r="F1581" s="13"/>
      <c r="G1581" s="13"/>
      <c r="H1581" s="13"/>
      <c r="I1581" s="15"/>
      <c r="J1581" s="15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</row>
    <row r="1582" ht="22.5" hidden="1" customHeight="1">
      <c r="A1582" s="6"/>
      <c r="B1582" s="20"/>
      <c r="C1582" s="36"/>
      <c r="D1582" s="13"/>
      <c r="E1582" s="13"/>
      <c r="F1582" s="13"/>
      <c r="G1582" s="13"/>
      <c r="H1582" s="13"/>
      <c r="I1582" s="15"/>
      <c r="J1582" s="15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</row>
    <row r="1583" ht="22.5" hidden="1" customHeight="1">
      <c r="A1583" s="6"/>
      <c r="B1583" s="20"/>
      <c r="C1583" s="36"/>
      <c r="D1583" s="13"/>
      <c r="E1583" s="13"/>
      <c r="F1583" s="13"/>
      <c r="G1583" s="13"/>
      <c r="H1583" s="13"/>
      <c r="I1583" s="15"/>
      <c r="J1583" s="15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</row>
    <row r="1584" ht="22.5" hidden="1" customHeight="1">
      <c r="A1584" s="6"/>
      <c r="B1584" s="20"/>
      <c r="C1584" s="36"/>
      <c r="D1584" s="13"/>
      <c r="E1584" s="13"/>
      <c r="F1584" s="13"/>
      <c r="G1584" s="13"/>
      <c r="H1584" s="13"/>
      <c r="I1584" s="15"/>
      <c r="J1584" s="15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</row>
    <row r="1585" ht="22.5" hidden="1" customHeight="1">
      <c r="A1585" s="6"/>
      <c r="B1585" s="20"/>
      <c r="C1585" s="36"/>
      <c r="D1585" s="13"/>
      <c r="E1585" s="13"/>
      <c r="F1585" s="13"/>
      <c r="G1585" s="13"/>
      <c r="H1585" s="13"/>
      <c r="I1585" s="15"/>
      <c r="J1585" s="15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</row>
    <row r="1586" ht="22.5" hidden="1" customHeight="1">
      <c r="A1586" s="6"/>
      <c r="B1586" s="20"/>
      <c r="C1586" s="36"/>
      <c r="D1586" s="13"/>
      <c r="E1586" s="13"/>
      <c r="F1586" s="13"/>
      <c r="G1586" s="13"/>
      <c r="H1586" s="13"/>
      <c r="I1586" s="15"/>
      <c r="J1586" s="15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</row>
    <row r="1587" ht="22.5" hidden="1" customHeight="1">
      <c r="A1587" s="6"/>
      <c r="B1587" s="20"/>
      <c r="C1587" s="36"/>
      <c r="D1587" s="13"/>
      <c r="E1587" s="13"/>
      <c r="F1587" s="13"/>
      <c r="G1587" s="13"/>
      <c r="H1587" s="13"/>
      <c r="I1587" s="15"/>
      <c r="J1587" s="15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</row>
    <row r="1588" ht="22.5" hidden="1" customHeight="1">
      <c r="A1588" s="6"/>
      <c r="B1588" s="20"/>
      <c r="C1588" s="36"/>
      <c r="D1588" s="13"/>
      <c r="E1588" s="13"/>
      <c r="F1588" s="13"/>
      <c r="G1588" s="13"/>
      <c r="H1588" s="13"/>
      <c r="I1588" s="15"/>
      <c r="J1588" s="15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</row>
    <row r="1589" ht="22.5" hidden="1" customHeight="1">
      <c r="A1589" s="6"/>
      <c r="B1589" s="20"/>
      <c r="C1589" s="36"/>
      <c r="D1589" s="13"/>
      <c r="E1589" s="13"/>
      <c r="F1589" s="13"/>
      <c r="G1589" s="13"/>
      <c r="H1589" s="13"/>
      <c r="I1589" s="15"/>
      <c r="J1589" s="15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</row>
    <row r="1590" ht="22.5" hidden="1" customHeight="1">
      <c r="A1590" s="6"/>
      <c r="B1590" s="20"/>
      <c r="C1590" s="36"/>
      <c r="D1590" s="13"/>
      <c r="E1590" s="13"/>
      <c r="F1590" s="13"/>
      <c r="G1590" s="13"/>
      <c r="H1590" s="13"/>
      <c r="I1590" s="15"/>
      <c r="J1590" s="15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</row>
    <row r="1591" ht="22.5" hidden="1" customHeight="1">
      <c r="A1591" s="6"/>
      <c r="B1591" s="20"/>
      <c r="C1591" s="36"/>
      <c r="D1591" s="13"/>
      <c r="E1591" s="13"/>
      <c r="F1591" s="13"/>
      <c r="G1591" s="13"/>
      <c r="H1591" s="13"/>
      <c r="I1591" s="15"/>
      <c r="J1591" s="15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</row>
    <row r="1592" ht="22.5" hidden="1" customHeight="1">
      <c r="A1592" s="6"/>
      <c r="B1592" s="20"/>
      <c r="C1592" s="36"/>
      <c r="D1592" s="13"/>
      <c r="E1592" s="13"/>
      <c r="F1592" s="13"/>
      <c r="G1592" s="13"/>
      <c r="H1592" s="13"/>
      <c r="I1592" s="15"/>
      <c r="J1592" s="15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</row>
    <row r="1593" ht="22.5" hidden="1" customHeight="1">
      <c r="A1593" s="6"/>
      <c r="B1593" s="20"/>
      <c r="C1593" s="36"/>
      <c r="D1593" s="13"/>
      <c r="E1593" s="13"/>
      <c r="F1593" s="13"/>
      <c r="G1593" s="13"/>
      <c r="H1593" s="13"/>
      <c r="I1593" s="15"/>
      <c r="J1593" s="15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</row>
    <row r="1594" ht="22.5" hidden="1" customHeight="1">
      <c r="A1594" s="6"/>
      <c r="B1594" s="20"/>
      <c r="C1594" s="36"/>
      <c r="D1594" s="13"/>
      <c r="E1594" s="13"/>
      <c r="F1594" s="13"/>
      <c r="G1594" s="13"/>
      <c r="H1594" s="13"/>
      <c r="I1594" s="15"/>
      <c r="J1594" s="15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</row>
    <row r="1595" ht="22.5" hidden="1" customHeight="1">
      <c r="A1595" s="6"/>
      <c r="B1595" s="20"/>
      <c r="C1595" s="36"/>
      <c r="D1595" s="13"/>
      <c r="E1595" s="13"/>
      <c r="F1595" s="13"/>
      <c r="G1595" s="13"/>
      <c r="H1595" s="13"/>
      <c r="I1595" s="15"/>
      <c r="J1595" s="15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</row>
    <row r="1596" ht="22.5" hidden="1" customHeight="1">
      <c r="A1596" s="6"/>
      <c r="B1596" s="20"/>
      <c r="C1596" s="36"/>
      <c r="D1596" s="13"/>
      <c r="E1596" s="13"/>
      <c r="F1596" s="13"/>
      <c r="G1596" s="13"/>
      <c r="H1596" s="13"/>
      <c r="I1596" s="15"/>
      <c r="J1596" s="15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</row>
    <row r="1597" ht="22.5" hidden="1" customHeight="1">
      <c r="A1597" s="6"/>
      <c r="B1597" s="20"/>
      <c r="C1597" s="36"/>
      <c r="D1597" s="13"/>
      <c r="E1597" s="13"/>
      <c r="F1597" s="13"/>
      <c r="G1597" s="13"/>
      <c r="H1597" s="13"/>
      <c r="I1597" s="15"/>
      <c r="J1597" s="15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</row>
    <row r="1598" ht="22.5" hidden="1" customHeight="1">
      <c r="A1598" s="6"/>
      <c r="B1598" s="20"/>
      <c r="C1598" s="36"/>
      <c r="D1598" s="13"/>
      <c r="E1598" s="13"/>
      <c r="F1598" s="13"/>
      <c r="G1598" s="13"/>
      <c r="H1598" s="13"/>
      <c r="I1598" s="15"/>
      <c r="J1598" s="15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</row>
    <row r="1599" ht="22.5" hidden="1" customHeight="1">
      <c r="A1599" s="6"/>
      <c r="B1599" s="20"/>
      <c r="C1599" s="36"/>
      <c r="D1599" s="13"/>
      <c r="E1599" s="13"/>
      <c r="F1599" s="13"/>
      <c r="G1599" s="13"/>
      <c r="H1599" s="13"/>
      <c r="I1599" s="15"/>
      <c r="J1599" s="15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</row>
    <row r="1600" ht="22.5" hidden="1" customHeight="1">
      <c r="A1600" s="6"/>
      <c r="B1600" s="20"/>
      <c r="C1600" s="36"/>
      <c r="D1600" s="13"/>
      <c r="E1600" s="13"/>
      <c r="F1600" s="13"/>
      <c r="G1600" s="13"/>
      <c r="H1600" s="13"/>
      <c r="I1600" s="15"/>
      <c r="J1600" s="15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</row>
    <row r="1601" ht="22.5" hidden="1" customHeight="1">
      <c r="A1601" s="6"/>
      <c r="B1601" s="20"/>
      <c r="C1601" s="36"/>
      <c r="D1601" s="13"/>
      <c r="E1601" s="13"/>
      <c r="F1601" s="13"/>
      <c r="G1601" s="13"/>
      <c r="H1601" s="13"/>
      <c r="I1601" s="15"/>
      <c r="J1601" s="15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</row>
    <row r="1602" ht="22.5" hidden="1" customHeight="1">
      <c r="A1602" s="6"/>
      <c r="B1602" s="20"/>
      <c r="C1602" s="36"/>
      <c r="D1602" s="13"/>
      <c r="E1602" s="13"/>
      <c r="F1602" s="13"/>
      <c r="G1602" s="13"/>
      <c r="H1602" s="13"/>
      <c r="I1602" s="15"/>
      <c r="J1602" s="15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</row>
    <row r="1603" ht="22.5" hidden="1" customHeight="1">
      <c r="A1603" s="6"/>
      <c r="B1603" s="20"/>
      <c r="C1603" s="36"/>
      <c r="D1603" s="13"/>
      <c r="E1603" s="13"/>
      <c r="F1603" s="13"/>
      <c r="G1603" s="13"/>
      <c r="H1603" s="13"/>
      <c r="I1603" s="15"/>
      <c r="J1603" s="15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</row>
    <row r="1604" ht="22.5" hidden="1" customHeight="1">
      <c r="A1604" s="6"/>
      <c r="B1604" s="20"/>
      <c r="C1604" s="36"/>
      <c r="D1604" s="13"/>
      <c r="E1604" s="13"/>
      <c r="F1604" s="13"/>
      <c r="G1604" s="13"/>
      <c r="H1604" s="13"/>
      <c r="I1604" s="15"/>
      <c r="J1604" s="15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</row>
    <row r="1605" ht="22.5" hidden="1" customHeight="1">
      <c r="A1605" s="6"/>
      <c r="B1605" s="20"/>
      <c r="C1605" s="36"/>
      <c r="D1605" s="13"/>
      <c r="E1605" s="13"/>
      <c r="F1605" s="13"/>
      <c r="G1605" s="13"/>
      <c r="H1605" s="13"/>
      <c r="I1605" s="15"/>
      <c r="J1605" s="15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</row>
    <row r="1606" ht="22.5" hidden="1" customHeight="1">
      <c r="A1606" s="6"/>
      <c r="B1606" s="20"/>
      <c r="C1606" s="36"/>
      <c r="D1606" s="13"/>
      <c r="E1606" s="13"/>
      <c r="F1606" s="13"/>
      <c r="G1606" s="13"/>
      <c r="H1606" s="13"/>
      <c r="I1606" s="15"/>
      <c r="J1606" s="15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</row>
    <row r="1607" ht="22.5" hidden="1" customHeight="1">
      <c r="A1607" s="6"/>
      <c r="B1607" s="20"/>
      <c r="C1607" s="36"/>
      <c r="D1607" s="13"/>
      <c r="E1607" s="13"/>
      <c r="F1607" s="13"/>
      <c r="G1607" s="13"/>
      <c r="H1607" s="13"/>
      <c r="I1607" s="15"/>
      <c r="J1607" s="15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</row>
    <row r="1608" ht="22.5" hidden="1" customHeight="1">
      <c r="A1608" s="6"/>
      <c r="B1608" s="20"/>
      <c r="C1608" s="36"/>
      <c r="D1608" s="13"/>
      <c r="E1608" s="13"/>
      <c r="F1608" s="13"/>
      <c r="G1608" s="13"/>
      <c r="H1608" s="13"/>
      <c r="I1608" s="15"/>
      <c r="J1608" s="15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</row>
    <row r="1609" ht="22.5" hidden="1" customHeight="1">
      <c r="A1609" s="6"/>
      <c r="B1609" s="20"/>
      <c r="C1609" s="36"/>
      <c r="D1609" s="13"/>
      <c r="E1609" s="13"/>
      <c r="F1609" s="13"/>
      <c r="G1609" s="13"/>
      <c r="H1609" s="13"/>
      <c r="I1609" s="15"/>
      <c r="J1609" s="15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</row>
    <row r="1610" ht="22.5" hidden="1" customHeight="1">
      <c r="A1610" s="6"/>
      <c r="B1610" s="20"/>
      <c r="C1610" s="36"/>
      <c r="D1610" s="13"/>
      <c r="E1610" s="13"/>
      <c r="F1610" s="13"/>
      <c r="G1610" s="13"/>
      <c r="H1610" s="13"/>
      <c r="I1610" s="15"/>
      <c r="J1610" s="15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</row>
    <row r="1611" ht="22.5" hidden="1" customHeight="1">
      <c r="A1611" s="6"/>
      <c r="B1611" s="20"/>
      <c r="C1611" s="36"/>
      <c r="D1611" s="13"/>
      <c r="E1611" s="13"/>
      <c r="F1611" s="13"/>
      <c r="G1611" s="13"/>
      <c r="H1611" s="13"/>
      <c r="I1611" s="15"/>
      <c r="J1611" s="15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</row>
    <row r="1612" ht="22.5" hidden="1" customHeight="1">
      <c r="A1612" s="6"/>
      <c r="B1612" s="20"/>
      <c r="C1612" s="36"/>
      <c r="D1612" s="13"/>
      <c r="E1612" s="13"/>
      <c r="F1612" s="13"/>
      <c r="G1612" s="13"/>
      <c r="H1612" s="13"/>
      <c r="I1612" s="15"/>
      <c r="J1612" s="15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</row>
    <row r="1613" ht="22.5" hidden="1" customHeight="1">
      <c r="A1613" s="6"/>
      <c r="B1613" s="20"/>
      <c r="C1613" s="36"/>
      <c r="D1613" s="13"/>
      <c r="E1613" s="13"/>
      <c r="F1613" s="13"/>
      <c r="G1613" s="13"/>
      <c r="H1613" s="13"/>
      <c r="I1613" s="15"/>
      <c r="J1613" s="15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</row>
    <row r="1614" ht="22.5" hidden="1" customHeight="1">
      <c r="A1614" s="6"/>
      <c r="B1614" s="20"/>
      <c r="C1614" s="36"/>
      <c r="D1614" s="13"/>
      <c r="E1614" s="13"/>
      <c r="F1614" s="13"/>
      <c r="G1614" s="13"/>
      <c r="H1614" s="13"/>
      <c r="I1614" s="15"/>
      <c r="J1614" s="15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</row>
    <row r="1615" ht="22.5" hidden="1" customHeight="1">
      <c r="A1615" s="6"/>
      <c r="B1615" s="20"/>
      <c r="C1615" s="36"/>
      <c r="D1615" s="13"/>
      <c r="E1615" s="13"/>
      <c r="F1615" s="13"/>
      <c r="G1615" s="13"/>
      <c r="H1615" s="13"/>
      <c r="I1615" s="15"/>
      <c r="J1615" s="15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</row>
    <row r="1616" ht="22.5" hidden="1" customHeight="1">
      <c r="A1616" s="6"/>
      <c r="B1616" s="20"/>
      <c r="C1616" s="36"/>
      <c r="D1616" s="13"/>
      <c r="E1616" s="13"/>
      <c r="F1616" s="13"/>
      <c r="G1616" s="13"/>
      <c r="H1616" s="13"/>
      <c r="I1616" s="15"/>
      <c r="J1616" s="15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</row>
    <row r="1617" ht="22.5" hidden="1" customHeight="1">
      <c r="A1617" s="6"/>
      <c r="B1617" s="20"/>
      <c r="C1617" s="36"/>
      <c r="D1617" s="13"/>
      <c r="E1617" s="13"/>
      <c r="F1617" s="13"/>
      <c r="G1617" s="13"/>
      <c r="H1617" s="13"/>
      <c r="I1617" s="15"/>
      <c r="J1617" s="15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</row>
    <row r="1618" ht="22.5" hidden="1" customHeight="1">
      <c r="A1618" s="6"/>
      <c r="B1618" s="20"/>
      <c r="C1618" s="36"/>
      <c r="D1618" s="13"/>
      <c r="E1618" s="13"/>
      <c r="F1618" s="13"/>
      <c r="G1618" s="13"/>
      <c r="H1618" s="13"/>
      <c r="I1618" s="15"/>
      <c r="J1618" s="15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</row>
    <row r="1619" ht="22.5" hidden="1" customHeight="1">
      <c r="A1619" s="6"/>
      <c r="B1619" s="20"/>
      <c r="C1619" s="36"/>
      <c r="D1619" s="13"/>
      <c r="E1619" s="13"/>
      <c r="F1619" s="13"/>
      <c r="G1619" s="13"/>
      <c r="H1619" s="13"/>
      <c r="I1619" s="15"/>
      <c r="J1619" s="15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</row>
    <row r="1620" ht="22.5" hidden="1" customHeight="1">
      <c r="A1620" s="6"/>
      <c r="B1620" s="20"/>
      <c r="C1620" s="36"/>
      <c r="D1620" s="13"/>
      <c r="E1620" s="13"/>
      <c r="F1620" s="13"/>
      <c r="G1620" s="13"/>
      <c r="H1620" s="13"/>
      <c r="I1620" s="15"/>
      <c r="J1620" s="15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</row>
    <row r="1621" ht="22.5" hidden="1" customHeight="1">
      <c r="A1621" s="6"/>
      <c r="B1621" s="20"/>
      <c r="C1621" s="36"/>
      <c r="D1621" s="13"/>
      <c r="E1621" s="13"/>
      <c r="F1621" s="13"/>
      <c r="G1621" s="13"/>
      <c r="H1621" s="13"/>
      <c r="I1621" s="15"/>
      <c r="J1621" s="15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</row>
    <row r="1622" ht="22.5" hidden="1" customHeight="1">
      <c r="A1622" s="6"/>
      <c r="B1622" s="20"/>
      <c r="C1622" s="36"/>
      <c r="D1622" s="13"/>
      <c r="E1622" s="13"/>
      <c r="F1622" s="13"/>
      <c r="G1622" s="13"/>
      <c r="H1622" s="13"/>
      <c r="I1622" s="15"/>
      <c r="J1622" s="15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</row>
    <row r="1623" ht="22.5" hidden="1" customHeight="1">
      <c r="A1623" s="6"/>
      <c r="B1623" s="20"/>
      <c r="C1623" s="36"/>
      <c r="D1623" s="13"/>
      <c r="E1623" s="13"/>
      <c r="F1623" s="13"/>
      <c r="G1623" s="13"/>
      <c r="H1623" s="13"/>
      <c r="I1623" s="15"/>
      <c r="J1623" s="15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</row>
    <row r="1624" ht="22.5" hidden="1" customHeight="1">
      <c r="A1624" s="6"/>
      <c r="B1624" s="20"/>
      <c r="C1624" s="36"/>
      <c r="D1624" s="13"/>
      <c r="E1624" s="13"/>
      <c r="F1624" s="13"/>
      <c r="G1624" s="13"/>
      <c r="H1624" s="13"/>
      <c r="I1624" s="15"/>
      <c r="J1624" s="15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</row>
    <row r="1625" ht="22.5" hidden="1" customHeight="1">
      <c r="A1625" s="6"/>
      <c r="B1625" s="20"/>
      <c r="C1625" s="36"/>
      <c r="D1625" s="13"/>
      <c r="E1625" s="13"/>
      <c r="F1625" s="13"/>
      <c r="G1625" s="13"/>
      <c r="H1625" s="13"/>
      <c r="I1625" s="15"/>
      <c r="J1625" s="15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</row>
    <row r="1626" ht="22.5" hidden="1" customHeight="1">
      <c r="A1626" s="6"/>
      <c r="B1626" s="20"/>
      <c r="C1626" s="36"/>
      <c r="D1626" s="13"/>
      <c r="E1626" s="13"/>
      <c r="F1626" s="13"/>
      <c r="G1626" s="13"/>
      <c r="H1626" s="13"/>
      <c r="I1626" s="15"/>
      <c r="J1626" s="15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</row>
    <row r="1627" ht="22.5" hidden="1" customHeight="1">
      <c r="A1627" s="6"/>
      <c r="B1627" s="20"/>
      <c r="C1627" s="36"/>
      <c r="D1627" s="13"/>
      <c r="E1627" s="13"/>
      <c r="F1627" s="13"/>
      <c r="G1627" s="13"/>
      <c r="H1627" s="13"/>
      <c r="I1627" s="15"/>
      <c r="J1627" s="15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</row>
    <row r="1628" ht="22.5" hidden="1" customHeight="1">
      <c r="A1628" s="6"/>
      <c r="B1628" s="20"/>
      <c r="C1628" s="36"/>
      <c r="D1628" s="13"/>
      <c r="E1628" s="13"/>
      <c r="F1628" s="13"/>
      <c r="G1628" s="13"/>
      <c r="H1628" s="13"/>
      <c r="I1628" s="15"/>
      <c r="J1628" s="15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</row>
    <row r="1629" ht="22.5" hidden="1" customHeight="1">
      <c r="A1629" s="6"/>
      <c r="B1629" s="20"/>
      <c r="C1629" s="36"/>
      <c r="D1629" s="13"/>
      <c r="E1629" s="13"/>
      <c r="F1629" s="13"/>
      <c r="G1629" s="13"/>
      <c r="H1629" s="13"/>
      <c r="I1629" s="15"/>
      <c r="J1629" s="15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</row>
    <row r="1630" ht="22.5" hidden="1" customHeight="1">
      <c r="A1630" s="6"/>
      <c r="B1630" s="20"/>
      <c r="C1630" s="36"/>
      <c r="D1630" s="13"/>
      <c r="E1630" s="13"/>
      <c r="F1630" s="13"/>
      <c r="G1630" s="13"/>
      <c r="H1630" s="13"/>
      <c r="I1630" s="15"/>
      <c r="J1630" s="15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</row>
    <row r="1631" ht="22.5" hidden="1" customHeight="1">
      <c r="A1631" s="6"/>
      <c r="B1631" s="20"/>
      <c r="C1631" s="36"/>
      <c r="D1631" s="13"/>
      <c r="E1631" s="13"/>
      <c r="F1631" s="13"/>
      <c r="G1631" s="13"/>
      <c r="H1631" s="13"/>
      <c r="I1631" s="15"/>
      <c r="J1631" s="15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</row>
    <row r="1632" ht="22.5" hidden="1" customHeight="1">
      <c r="A1632" s="6"/>
      <c r="B1632" s="20"/>
      <c r="C1632" s="36"/>
      <c r="D1632" s="13"/>
      <c r="E1632" s="13"/>
      <c r="F1632" s="13"/>
      <c r="G1632" s="13"/>
      <c r="H1632" s="13"/>
      <c r="I1632" s="15"/>
      <c r="J1632" s="15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</row>
    <row r="1633" ht="22.5" hidden="1" customHeight="1">
      <c r="A1633" s="6"/>
      <c r="B1633" s="20"/>
      <c r="C1633" s="36"/>
      <c r="D1633" s="13"/>
      <c r="E1633" s="13"/>
      <c r="F1633" s="13"/>
      <c r="G1633" s="13"/>
      <c r="H1633" s="13"/>
      <c r="I1633" s="15"/>
      <c r="J1633" s="15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</row>
    <row r="1634" ht="22.5" hidden="1" customHeight="1">
      <c r="A1634" s="6"/>
      <c r="B1634" s="20"/>
      <c r="C1634" s="36"/>
      <c r="D1634" s="13"/>
      <c r="E1634" s="13"/>
      <c r="F1634" s="13"/>
      <c r="G1634" s="13"/>
      <c r="H1634" s="13"/>
      <c r="I1634" s="15"/>
      <c r="J1634" s="15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</row>
    <row r="1635" ht="22.5" hidden="1" customHeight="1">
      <c r="A1635" s="6"/>
      <c r="B1635" s="20"/>
      <c r="C1635" s="36"/>
      <c r="D1635" s="13"/>
      <c r="E1635" s="13"/>
      <c r="F1635" s="13"/>
      <c r="G1635" s="13"/>
      <c r="H1635" s="13"/>
      <c r="I1635" s="15"/>
      <c r="J1635" s="15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</row>
    <row r="1636" ht="22.5" hidden="1" customHeight="1">
      <c r="A1636" s="6"/>
      <c r="B1636" s="20"/>
      <c r="C1636" s="36"/>
      <c r="D1636" s="13"/>
      <c r="E1636" s="13"/>
      <c r="F1636" s="13"/>
      <c r="G1636" s="13"/>
      <c r="H1636" s="13"/>
      <c r="I1636" s="15"/>
      <c r="J1636" s="15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</row>
    <row r="1637" ht="22.5" hidden="1" customHeight="1">
      <c r="A1637" s="6"/>
      <c r="B1637" s="20"/>
      <c r="C1637" s="36"/>
      <c r="D1637" s="13"/>
      <c r="E1637" s="13"/>
      <c r="F1637" s="13"/>
      <c r="G1637" s="13"/>
      <c r="H1637" s="13"/>
      <c r="I1637" s="15"/>
      <c r="J1637" s="15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</row>
    <row r="1638" ht="22.5" hidden="1" customHeight="1">
      <c r="A1638" s="6"/>
      <c r="B1638" s="20"/>
      <c r="C1638" s="36"/>
      <c r="D1638" s="13"/>
      <c r="E1638" s="13"/>
      <c r="F1638" s="13"/>
      <c r="G1638" s="13"/>
      <c r="H1638" s="13"/>
      <c r="I1638" s="15"/>
      <c r="J1638" s="15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</row>
    <row r="1639" ht="22.5" hidden="1" customHeight="1">
      <c r="A1639" s="6"/>
      <c r="B1639" s="20"/>
      <c r="C1639" s="36"/>
      <c r="D1639" s="13"/>
      <c r="E1639" s="13"/>
      <c r="F1639" s="13"/>
      <c r="G1639" s="13"/>
      <c r="H1639" s="13"/>
      <c r="I1639" s="15"/>
      <c r="J1639" s="15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</row>
    <row r="1640" ht="22.5" hidden="1" customHeight="1">
      <c r="A1640" s="6"/>
      <c r="B1640" s="20"/>
      <c r="C1640" s="36"/>
      <c r="D1640" s="13"/>
      <c r="E1640" s="13"/>
      <c r="F1640" s="13"/>
      <c r="G1640" s="13"/>
      <c r="H1640" s="13"/>
      <c r="I1640" s="15"/>
      <c r="J1640" s="15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</row>
    <row r="1641" ht="22.5" hidden="1" customHeight="1">
      <c r="A1641" s="6"/>
      <c r="B1641" s="20"/>
      <c r="C1641" s="36"/>
      <c r="D1641" s="13"/>
      <c r="E1641" s="13"/>
      <c r="F1641" s="13"/>
      <c r="G1641" s="13"/>
      <c r="H1641" s="13"/>
      <c r="I1641" s="15"/>
      <c r="J1641" s="15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</row>
    <row r="1642" ht="22.5" hidden="1" customHeight="1">
      <c r="A1642" s="6"/>
      <c r="B1642" s="20"/>
      <c r="C1642" s="36"/>
      <c r="D1642" s="13"/>
      <c r="E1642" s="13"/>
      <c r="F1642" s="13"/>
      <c r="G1642" s="13"/>
      <c r="H1642" s="13"/>
      <c r="I1642" s="15"/>
      <c r="J1642" s="15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</row>
    <row r="1643" ht="22.5" hidden="1" customHeight="1">
      <c r="A1643" s="6"/>
      <c r="B1643" s="20"/>
      <c r="C1643" s="36"/>
      <c r="D1643" s="13"/>
      <c r="E1643" s="13"/>
      <c r="F1643" s="13"/>
      <c r="G1643" s="13"/>
      <c r="H1643" s="13"/>
      <c r="I1643" s="15"/>
      <c r="J1643" s="15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</row>
    <row r="1644" ht="22.5" hidden="1" customHeight="1">
      <c r="A1644" s="6"/>
      <c r="B1644" s="20"/>
      <c r="C1644" s="36"/>
      <c r="D1644" s="13"/>
      <c r="E1644" s="13"/>
      <c r="F1644" s="13"/>
      <c r="G1644" s="13"/>
      <c r="H1644" s="13"/>
      <c r="I1644" s="15"/>
      <c r="J1644" s="15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</row>
    <row r="1645" ht="22.5" hidden="1" customHeight="1">
      <c r="A1645" s="6"/>
      <c r="B1645" s="20"/>
      <c r="C1645" s="36"/>
      <c r="D1645" s="13"/>
      <c r="E1645" s="13"/>
      <c r="F1645" s="13"/>
      <c r="G1645" s="13"/>
      <c r="H1645" s="13"/>
      <c r="I1645" s="15"/>
      <c r="J1645" s="15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</row>
    <row r="1646" ht="22.5" hidden="1" customHeight="1">
      <c r="A1646" s="6"/>
      <c r="B1646" s="20"/>
      <c r="C1646" s="36"/>
      <c r="D1646" s="13"/>
      <c r="E1646" s="13"/>
      <c r="F1646" s="13"/>
      <c r="G1646" s="13"/>
      <c r="H1646" s="13"/>
      <c r="I1646" s="15"/>
      <c r="J1646" s="15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</row>
    <row r="1647" ht="22.5" hidden="1" customHeight="1">
      <c r="A1647" s="6"/>
      <c r="B1647" s="20"/>
      <c r="C1647" s="36"/>
      <c r="D1647" s="13"/>
      <c r="E1647" s="13"/>
      <c r="F1647" s="13"/>
      <c r="G1647" s="13"/>
      <c r="H1647" s="13"/>
      <c r="I1647" s="15"/>
      <c r="J1647" s="15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</row>
    <row r="1648" ht="22.5" hidden="1" customHeight="1">
      <c r="A1648" s="6"/>
      <c r="B1648" s="20"/>
      <c r="C1648" s="36"/>
      <c r="D1648" s="13"/>
      <c r="E1648" s="13"/>
      <c r="F1648" s="13"/>
      <c r="G1648" s="13"/>
      <c r="H1648" s="13"/>
      <c r="I1648" s="15"/>
      <c r="J1648" s="15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</row>
    <row r="1649" ht="22.5" hidden="1" customHeight="1">
      <c r="A1649" s="6"/>
      <c r="B1649" s="20"/>
      <c r="C1649" s="36"/>
      <c r="D1649" s="13"/>
      <c r="E1649" s="13"/>
      <c r="F1649" s="13"/>
      <c r="G1649" s="13"/>
      <c r="H1649" s="13"/>
      <c r="I1649" s="15"/>
      <c r="J1649" s="15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</row>
    <row r="1650" ht="22.5" hidden="1" customHeight="1">
      <c r="A1650" s="6"/>
      <c r="B1650" s="20"/>
      <c r="C1650" s="36"/>
      <c r="D1650" s="13"/>
      <c r="E1650" s="13"/>
      <c r="F1650" s="13"/>
      <c r="G1650" s="13"/>
      <c r="H1650" s="13"/>
      <c r="I1650" s="15"/>
      <c r="J1650" s="15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</row>
    <row r="1651" ht="22.5" hidden="1" customHeight="1">
      <c r="A1651" s="6"/>
      <c r="B1651" s="20"/>
      <c r="C1651" s="36"/>
      <c r="D1651" s="13"/>
      <c r="E1651" s="13"/>
      <c r="F1651" s="13"/>
      <c r="G1651" s="13"/>
      <c r="H1651" s="13"/>
      <c r="I1651" s="15"/>
      <c r="J1651" s="15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</row>
    <row r="1652" ht="22.5" hidden="1" customHeight="1">
      <c r="A1652" s="6"/>
      <c r="B1652" s="20"/>
      <c r="C1652" s="36"/>
      <c r="D1652" s="13"/>
      <c r="E1652" s="13"/>
      <c r="F1652" s="13"/>
      <c r="G1652" s="13"/>
      <c r="H1652" s="13"/>
      <c r="I1652" s="15"/>
      <c r="J1652" s="15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</row>
    <row r="1653" ht="22.5" hidden="1" customHeight="1">
      <c r="A1653" s="6"/>
      <c r="B1653" s="20"/>
      <c r="C1653" s="36"/>
      <c r="D1653" s="13"/>
      <c r="E1653" s="13"/>
      <c r="F1653" s="13"/>
      <c r="G1653" s="13"/>
      <c r="H1653" s="13"/>
      <c r="I1653" s="15"/>
      <c r="J1653" s="15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</row>
    <row r="1654" ht="22.5" hidden="1" customHeight="1">
      <c r="A1654" s="6"/>
      <c r="B1654" s="20"/>
      <c r="C1654" s="36"/>
      <c r="D1654" s="13"/>
      <c r="E1654" s="13"/>
      <c r="F1654" s="13"/>
      <c r="G1654" s="13"/>
      <c r="H1654" s="13"/>
      <c r="I1654" s="15"/>
      <c r="J1654" s="15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</row>
    <row r="1655" ht="22.5" hidden="1" customHeight="1">
      <c r="A1655" s="6"/>
      <c r="B1655" s="20"/>
      <c r="C1655" s="36"/>
      <c r="D1655" s="13"/>
      <c r="E1655" s="13"/>
      <c r="F1655" s="13"/>
      <c r="G1655" s="13"/>
      <c r="H1655" s="13"/>
      <c r="I1655" s="15"/>
      <c r="J1655" s="15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</row>
    <row r="1656" ht="22.5" hidden="1" customHeight="1">
      <c r="A1656" s="6"/>
      <c r="B1656" s="20"/>
      <c r="C1656" s="36"/>
      <c r="D1656" s="13"/>
      <c r="E1656" s="13"/>
      <c r="F1656" s="13"/>
      <c r="G1656" s="13"/>
      <c r="H1656" s="13"/>
      <c r="I1656" s="15"/>
      <c r="J1656" s="15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</row>
    <row r="1657" ht="22.5" hidden="1" customHeight="1">
      <c r="A1657" s="6"/>
      <c r="B1657" s="20"/>
      <c r="C1657" s="36"/>
      <c r="D1657" s="13"/>
      <c r="E1657" s="13"/>
      <c r="F1657" s="13"/>
      <c r="G1657" s="13"/>
      <c r="H1657" s="13"/>
      <c r="I1657" s="15"/>
      <c r="J1657" s="15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</row>
    <row r="1658" ht="22.5" hidden="1" customHeight="1">
      <c r="A1658" s="6"/>
      <c r="B1658" s="20"/>
      <c r="C1658" s="36"/>
      <c r="D1658" s="13"/>
      <c r="E1658" s="13"/>
      <c r="F1658" s="13"/>
      <c r="G1658" s="13"/>
      <c r="H1658" s="13"/>
      <c r="I1658" s="15"/>
      <c r="J1658" s="15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</row>
    <row r="1659" ht="22.5" hidden="1" customHeight="1">
      <c r="A1659" s="6"/>
      <c r="B1659" s="20"/>
      <c r="C1659" s="36"/>
      <c r="D1659" s="13"/>
      <c r="E1659" s="13"/>
      <c r="F1659" s="13"/>
      <c r="G1659" s="13"/>
      <c r="H1659" s="13"/>
      <c r="I1659" s="15"/>
      <c r="J1659" s="15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</row>
    <row r="1660" ht="22.5" hidden="1" customHeight="1">
      <c r="A1660" s="6"/>
      <c r="B1660" s="20"/>
      <c r="C1660" s="36"/>
      <c r="D1660" s="13"/>
      <c r="E1660" s="13"/>
      <c r="F1660" s="13"/>
      <c r="G1660" s="13"/>
      <c r="H1660" s="13"/>
      <c r="I1660" s="15"/>
      <c r="J1660" s="15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</row>
    <row r="1661" ht="22.5" hidden="1" customHeight="1">
      <c r="A1661" s="6"/>
      <c r="B1661" s="20"/>
      <c r="C1661" s="36"/>
      <c r="D1661" s="13"/>
      <c r="E1661" s="13"/>
      <c r="F1661" s="13"/>
      <c r="G1661" s="13"/>
      <c r="H1661" s="13"/>
      <c r="I1661" s="15"/>
      <c r="J1661" s="15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</row>
    <row r="1662" ht="22.5" hidden="1" customHeight="1">
      <c r="A1662" s="6"/>
      <c r="B1662" s="20"/>
      <c r="C1662" s="36"/>
      <c r="D1662" s="13"/>
      <c r="E1662" s="13"/>
      <c r="F1662" s="13"/>
      <c r="G1662" s="13"/>
      <c r="H1662" s="13"/>
      <c r="I1662" s="15"/>
      <c r="J1662" s="15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</row>
    <row r="1663" ht="22.5" hidden="1" customHeight="1">
      <c r="A1663" s="6"/>
      <c r="B1663" s="20"/>
      <c r="C1663" s="36"/>
      <c r="D1663" s="13"/>
      <c r="E1663" s="13"/>
      <c r="F1663" s="13"/>
      <c r="G1663" s="13"/>
      <c r="H1663" s="13"/>
      <c r="I1663" s="15"/>
      <c r="J1663" s="15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</row>
    <row r="1664" ht="22.5" hidden="1" customHeight="1">
      <c r="A1664" s="6"/>
      <c r="B1664" s="20"/>
      <c r="C1664" s="36"/>
      <c r="D1664" s="13"/>
      <c r="E1664" s="13"/>
      <c r="F1664" s="13"/>
      <c r="G1664" s="13"/>
      <c r="H1664" s="13"/>
      <c r="I1664" s="15"/>
      <c r="J1664" s="15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</row>
    <row r="1665" ht="22.5" hidden="1" customHeight="1">
      <c r="A1665" s="6"/>
      <c r="B1665" s="20"/>
      <c r="C1665" s="36"/>
      <c r="D1665" s="13"/>
      <c r="E1665" s="13"/>
      <c r="F1665" s="13"/>
      <c r="G1665" s="13"/>
      <c r="H1665" s="13"/>
      <c r="I1665" s="15"/>
      <c r="J1665" s="15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</row>
    <row r="1666" ht="22.5" hidden="1" customHeight="1">
      <c r="A1666" s="6"/>
      <c r="B1666" s="20"/>
      <c r="C1666" s="36"/>
      <c r="D1666" s="13"/>
      <c r="E1666" s="13"/>
      <c r="F1666" s="13"/>
      <c r="G1666" s="13"/>
      <c r="H1666" s="13"/>
      <c r="I1666" s="15"/>
      <c r="J1666" s="15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</row>
    <row r="1667" ht="22.5" hidden="1" customHeight="1">
      <c r="A1667" s="6"/>
      <c r="B1667" s="20"/>
      <c r="C1667" s="36"/>
      <c r="D1667" s="13"/>
      <c r="E1667" s="13"/>
      <c r="F1667" s="13"/>
      <c r="G1667" s="13"/>
      <c r="H1667" s="13"/>
      <c r="I1667" s="15"/>
      <c r="J1667" s="15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</row>
    <row r="1668" ht="22.5" hidden="1" customHeight="1">
      <c r="A1668" s="6"/>
      <c r="B1668" s="20"/>
      <c r="C1668" s="36"/>
      <c r="D1668" s="13"/>
      <c r="E1668" s="13"/>
      <c r="F1668" s="13"/>
      <c r="G1668" s="13"/>
      <c r="H1668" s="13"/>
      <c r="I1668" s="15"/>
      <c r="J1668" s="15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</row>
    <row r="1669" ht="22.5" hidden="1" customHeight="1">
      <c r="A1669" s="6"/>
      <c r="B1669" s="20"/>
      <c r="C1669" s="36"/>
      <c r="D1669" s="13"/>
      <c r="E1669" s="13"/>
      <c r="F1669" s="13"/>
      <c r="G1669" s="13"/>
      <c r="H1669" s="13"/>
      <c r="I1669" s="15"/>
      <c r="J1669" s="15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</row>
    <row r="1670" ht="22.5" hidden="1" customHeight="1">
      <c r="A1670" s="6"/>
      <c r="B1670" s="20"/>
      <c r="C1670" s="36"/>
      <c r="D1670" s="13"/>
      <c r="E1670" s="13"/>
      <c r="F1670" s="13"/>
      <c r="G1670" s="13"/>
      <c r="H1670" s="13"/>
      <c r="I1670" s="15"/>
      <c r="J1670" s="15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</row>
    <row r="1671" ht="22.5" hidden="1" customHeight="1">
      <c r="A1671" s="6"/>
      <c r="B1671" s="20"/>
      <c r="C1671" s="36"/>
      <c r="D1671" s="13"/>
      <c r="E1671" s="13"/>
      <c r="F1671" s="13"/>
      <c r="G1671" s="13"/>
      <c r="H1671" s="13"/>
      <c r="I1671" s="15"/>
      <c r="J1671" s="15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</row>
    <row r="1672" ht="22.5" hidden="1" customHeight="1">
      <c r="A1672" s="6"/>
      <c r="B1672" s="20"/>
      <c r="C1672" s="36"/>
      <c r="D1672" s="13"/>
      <c r="E1672" s="13"/>
      <c r="F1672" s="13"/>
      <c r="G1672" s="13"/>
      <c r="H1672" s="13"/>
      <c r="I1672" s="15"/>
      <c r="J1672" s="15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</row>
    <row r="1673" ht="22.5" hidden="1" customHeight="1">
      <c r="A1673" s="6"/>
      <c r="B1673" s="20"/>
      <c r="C1673" s="36"/>
      <c r="D1673" s="13"/>
      <c r="E1673" s="13"/>
      <c r="F1673" s="13"/>
      <c r="G1673" s="13"/>
      <c r="H1673" s="13"/>
      <c r="I1673" s="15"/>
      <c r="J1673" s="15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</row>
    <row r="1674" ht="22.5" hidden="1" customHeight="1">
      <c r="A1674" s="6"/>
      <c r="B1674" s="20"/>
      <c r="C1674" s="36"/>
      <c r="D1674" s="13"/>
      <c r="E1674" s="13"/>
      <c r="F1674" s="13"/>
      <c r="G1674" s="13"/>
      <c r="H1674" s="13"/>
      <c r="I1674" s="15"/>
      <c r="J1674" s="15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</row>
    <row r="1675" ht="22.5" hidden="1" customHeight="1">
      <c r="A1675" s="6"/>
      <c r="B1675" s="20"/>
      <c r="C1675" s="36"/>
      <c r="D1675" s="13"/>
      <c r="E1675" s="13"/>
      <c r="F1675" s="13"/>
      <c r="G1675" s="13"/>
      <c r="H1675" s="13"/>
      <c r="I1675" s="15"/>
      <c r="J1675" s="15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</row>
    <row r="1676" ht="22.5" hidden="1" customHeight="1">
      <c r="A1676" s="6"/>
      <c r="B1676" s="20"/>
      <c r="C1676" s="36"/>
      <c r="D1676" s="13"/>
      <c r="E1676" s="13"/>
      <c r="F1676" s="13"/>
      <c r="G1676" s="13"/>
      <c r="H1676" s="13"/>
      <c r="I1676" s="15"/>
      <c r="J1676" s="15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</row>
    <row r="1677" ht="22.5" hidden="1" customHeight="1">
      <c r="A1677" s="6"/>
      <c r="B1677" s="20"/>
      <c r="C1677" s="36"/>
      <c r="D1677" s="13"/>
      <c r="E1677" s="13"/>
      <c r="F1677" s="13"/>
      <c r="G1677" s="13"/>
      <c r="H1677" s="13"/>
      <c r="I1677" s="15"/>
      <c r="J1677" s="15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</row>
    <row r="1678" ht="22.5" hidden="1" customHeight="1">
      <c r="A1678" s="6"/>
      <c r="B1678" s="20"/>
      <c r="C1678" s="36"/>
      <c r="D1678" s="13"/>
      <c r="E1678" s="13"/>
      <c r="F1678" s="13"/>
      <c r="G1678" s="13"/>
      <c r="H1678" s="13"/>
      <c r="I1678" s="15"/>
      <c r="J1678" s="15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</row>
    <row r="1679" ht="22.5" hidden="1" customHeight="1">
      <c r="A1679" s="6"/>
      <c r="B1679" s="20"/>
      <c r="C1679" s="36"/>
      <c r="D1679" s="13"/>
      <c r="E1679" s="13"/>
      <c r="F1679" s="13"/>
      <c r="G1679" s="13"/>
      <c r="H1679" s="13"/>
      <c r="I1679" s="15"/>
      <c r="J1679" s="15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</row>
    <row r="1680" ht="22.5" hidden="1" customHeight="1">
      <c r="A1680" s="6"/>
      <c r="B1680" s="20"/>
      <c r="C1680" s="36"/>
      <c r="D1680" s="13"/>
      <c r="E1680" s="13"/>
      <c r="F1680" s="13"/>
      <c r="G1680" s="13"/>
      <c r="H1680" s="13"/>
      <c r="I1680" s="15"/>
      <c r="J1680" s="15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</row>
    <row r="1681" ht="22.5" hidden="1" customHeight="1">
      <c r="A1681" s="6"/>
      <c r="B1681" s="20"/>
      <c r="C1681" s="36"/>
      <c r="D1681" s="13"/>
      <c r="E1681" s="13"/>
      <c r="F1681" s="13"/>
      <c r="G1681" s="13"/>
      <c r="H1681" s="13"/>
      <c r="I1681" s="15"/>
      <c r="J1681" s="15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</row>
    <row r="1682" ht="22.5" hidden="1" customHeight="1">
      <c r="A1682" s="6"/>
      <c r="B1682" s="20"/>
      <c r="C1682" s="36"/>
      <c r="D1682" s="13"/>
      <c r="E1682" s="13"/>
      <c r="F1682" s="13"/>
      <c r="G1682" s="13"/>
      <c r="H1682" s="13"/>
      <c r="I1682" s="15"/>
      <c r="J1682" s="15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</row>
    <row r="1683" ht="22.5" hidden="1" customHeight="1">
      <c r="A1683" s="6"/>
      <c r="B1683" s="20"/>
      <c r="C1683" s="36"/>
      <c r="D1683" s="13"/>
      <c r="E1683" s="13"/>
      <c r="F1683" s="13"/>
      <c r="G1683" s="13"/>
      <c r="H1683" s="13"/>
      <c r="I1683" s="15"/>
      <c r="J1683" s="15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</row>
    <row r="1684" ht="22.5" hidden="1" customHeight="1">
      <c r="A1684" s="6"/>
      <c r="B1684" s="20"/>
      <c r="C1684" s="36"/>
      <c r="D1684" s="13"/>
      <c r="E1684" s="13"/>
      <c r="F1684" s="13"/>
      <c r="G1684" s="13"/>
      <c r="H1684" s="13"/>
      <c r="I1684" s="15"/>
      <c r="J1684" s="15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</row>
    <row r="1685" ht="22.5" hidden="1" customHeight="1">
      <c r="A1685" s="6"/>
      <c r="B1685" s="20"/>
      <c r="C1685" s="36"/>
      <c r="D1685" s="13"/>
      <c r="E1685" s="13"/>
      <c r="F1685" s="13"/>
      <c r="G1685" s="13"/>
      <c r="H1685" s="13"/>
      <c r="I1685" s="15"/>
      <c r="J1685" s="15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</row>
    <row r="1686" ht="22.5" hidden="1" customHeight="1">
      <c r="A1686" s="6"/>
      <c r="B1686" s="20"/>
      <c r="C1686" s="36"/>
      <c r="D1686" s="13"/>
      <c r="E1686" s="13"/>
      <c r="F1686" s="13"/>
      <c r="G1686" s="13"/>
      <c r="H1686" s="13"/>
      <c r="I1686" s="15"/>
      <c r="J1686" s="15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</row>
    <row r="1687" ht="22.5" hidden="1" customHeight="1">
      <c r="A1687" s="6"/>
      <c r="B1687" s="20"/>
      <c r="C1687" s="36"/>
      <c r="D1687" s="13"/>
      <c r="E1687" s="13"/>
      <c r="F1687" s="13"/>
      <c r="G1687" s="13"/>
      <c r="H1687" s="13"/>
      <c r="I1687" s="15"/>
      <c r="J1687" s="15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</row>
    <row r="1688" ht="22.5" hidden="1" customHeight="1">
      <c r="A1688" s="6"/>
      <c r="B1688" s="20"/>
      <c r="C1688" s="36"/>
      <c r="D1688" s="13"/>
      <c r="E1688" s="13"/>
      <c r="F1688" s="13"/>
      <c r="G1688" s="13"/>
      <c r="H1688" s="13"/>
      <c r="I1688" s="15"/>
      <c r="J1688" s="15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</row>
    <row r="1689" ht="22.5" hidden="1" customHeight="1">
      <c r="A1689" s="6"/>
      <c r="B1689" s="20"/>
      <c r="C1689" s="36"/>
      <c r="D1689" s="13"/>
      <c r="E1689" s="13"/>
      <c r="F1689" s="13"/>
      <c r="G1689" s="13"/>
      <c r="H1689" s="13"/>
      <c r="I1689" s="15"/>
      <c r="J1689" s="15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</row>
    <row r="1690" ht="22.5" hidden="1" customHeight="1">
      <c r="A1690" s="6"/>
      <c r="B1690" s="20"/>
      <c r="C1690" s="36"/>
      <c r="D1690" s="13"/>
      <c r="E1690" s="13"/>
      <c r="F1690" s="13"/>
      <c r="G1690" s="13"/>
      <c r="H1690" s="13"/>
      <c r="I1690" s="15"/>
      <c r="J1690" s="15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</row>
    <row r="1691" ht="22.5" hidden="1" customHeight="1">
      <c r="A1691" s="6"/>
      <c r="B1691" s="20"/>
      <c r="C1691" s="36"/>
      <c r="D1691" s="13"/>
      <c r="E1691" s="13"/>
      <c r="F1691" s="13"/>
      <c r="G1691" s="13"/>
      <c r="H1691" s="13"/>
      <c r="I1691" s="15"/>
      <c r="J1691" s="15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</row>
    <row r="1692" ht="22.5" hidden="1" customHeight="1">
      <c r="A1692" s="6"/>
      <c r="B1692" s="20"/>
      <c r="C1692" s="36"/>
      <c r="D1692" s="13"/>
      <c r="E1692" s="13"/>
      <c r="F1692" s="13"/>
      <c r="G1692" s="13"/>
      <c r="H1692" s="13"/>
      <c r="I1692" s="15"/>
      <c r="J1692" s="15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</row>
    <row r="1693" ht="22.5" hidden="1" customHeight="1">
      <c r="A1693" s="6"/>
      <c r="B1693" s="20"/>
      <c r="C1693" s="36"/>
      <c r="D1693" s="13"/>
      <c r="E1693" s="13"/>
      <c r="F1693" s="13"/>
      <c r="G1693" s="13"/>
      <c r="H1693" s="13"/>
      <c r="I1693" s="15"/>
      <c r="J1693" s="15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</row>
    <row r="1694" ht="22.5" hidden="1" customHeight="1">
      <c r="A1694" s="6"/>
      <c r="B1694" s="20"/>
      <c r="C1694" s="36"/>
      <c r="D1694" s="13"/>
      <c r="E1694" s="13"/>
      <c r="F1694" s="13"/>
      <c r="G1694" s="13"/>
      <c r="H1694" s="13"/>
      <c r="I1694" s="15"/>
      <c r="J1694" s="15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</row>
    <row r="1695" ht="22.5" hidden="1" customHeight="1">
      <c r="A1695" s="6"/>
      <c r="B1695" s="20"/>
      <c r="C1695" s="36"/>
      <c r="D1695" s="13"/>
      <c r="E1695" s="13"/>
      <c r="F1695" s="13"/>
      <c r="G1695" s="13"/>
      <c r="H1695" s="13"/>
      <c r="I1695" s="15"/>
      <c r="J1695" s="15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</row>
    <row r="1696" ht="22.5" hidden="1" customHeight="1">
      <c r="A1696" s="6"/>
      <c r="B1696" s="20"/>
      <c r="C1696" s="36"/>
      <c r="D1696" s="13"/>
      <c r="E1696" s="13"/>
      <c r="F1696" s="13"/>
      <c r="G1696" s="13"/>
      <c r="H1696" s="13"/>
      <c r="I1696" s="15"/>
      <c r="J1696" s="15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</row>
    <row r="1697" ht="22.5" hidden="1" customHeight="1">
      <c r="A1697" s="6"/>
      <c r="B1697" s="20"/>
      <c r="C1697" s="36"/>
      <c r="D1697" s="13"/>
      <c r="E1697" s="13"/>
      <c r="F1697" s="13"/>
      <c r="G1697" s="13"/>
      <c r="H1697" s="13"/>
      <c r="I1697" s="15"/>
      <c r="J1697" s="15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</row>
    <row r="1698" ht="22.5" hidden="1" customHeight="1">
      <c r="A1698" s="6"/>
      <c r="B1698" s="20"/>
      <c r="C1698" s="36"/>
      <c r="D1698" s="13"/>
      <c r="E1698" s="13"/>
      <c r="F1698" s="13"/>
      <c r="G1698" s="13"/>
      <c r="H1698" s="13"/>
      <c r="I1698" s="15"/>
      <c r="J1698" s="15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</row>
    <row r="1699" ht="22.5" hidden="1" customHeight="1">
      <c r="A1699" s="6"/>
      <c r="B1699" s="20"/>
      <c r="C1699" s="36"/>
      <c r="D1699" s="13"/>
      <c r="E1699" s="13"/>
      <c r="F1699" s="13"/>
      <c r="G1699" s="13"/>
      <c r="H1699" s="13"/>
      <c r="I1699" s="15"/>
      <c r="J1699" s="15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</row>
    <row r="1700" ht="22.5" hidden="1" customHeight="1">
      <c r="A1700" s="6"/>
      <c r="B1700" s="20"/>
      <c r="C1700" s="36"/>
      <c r="D1700" s="13"/>
      <c r="E1700" s="13"/>
      <c r="F1700" s="13"/>
      <c r="G1700" s="13"/>
      <c r="H1700" s="13"/>
      <c r="I1700" s="15"/>
      <c r="J1700" s="15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</row>
    <row r="1701" ht="22.5" hidden="1" customHeight="1">
      <c r="A1701" s="6"/>
      <c r="B1701" s="20"/>
      <c r="C1701" s="36"/>
      <c r="D1701" s="13"/>
      <c r="E1701" s="13"/>
      <c r="F1701" s="13"/>
      <c r="G1701" s="13"/>
      <c r="H1701" s="13"/>
      <c r="I1701" s="15"/>
      <c r="J1701" s="15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</row>
    <row r="1702" ht="22.5" hidden="1" customHeight="1">
      <c r="A1702" s="6"/>
      <c r="B1702" s="20"/>
      <c r="C1702" s="36"/>
      <c r="D1702" s="13"/>
      <c r="E1702" s="13"/>
      <c r="F1702" s="13"/>
      <c r="G1702" s="13"/>
      <c r="H1702" s="13"/>
      <c r="I1702" s="15"/>
      <c r="J1702" s="15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</row>
    <row r="1703" ht="22.5" hidden="1" customHeight="1">
      <c r="A1703" s="6"/>
      <c r="B1703" s="20"/>
      <c r="C1703" s="36"/>
      <c r="D1703" s="13"/>
      <c r="E1703" s="13"/>
      <c r="F1703" s="13"/>
      <c r="G1703" s="13"/>
      <c r="H1703" s="13"/>
      <c r="I1703" s="15"/>
      <c r="J1703" s="15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</row>
    <row r="1704" ht="22.5" hidden="1" customHeight="1">
      <c r="A1704" s="6"/>
      <c r="B1704" s="20"/>
      <c r="C1704" s="36"/>
      <c r="D1704" s="13"/>
      <c r="E1704" s="13"/>
      <c r="F1704" s="13"/>
      <c r="G1704" s="13"/>
      <c r="H1704" s="13"/>
      <c r="I1704" s="15"/>
      <c r="J1704" s="15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</row>
    <row r="1705" ht="22.5" hidden="1" customHeight="1">
      <c r="A1705" s="6"/>
      <c r="B1705" s="20"/>
      <c r="C1705" s="36"/>
      <c r="D1705" s="13"/>
      <c r="E1705" s="13"/>
      <c r="F1705" s="13"/>
      <c r="G1705" s="13"/>
      <c r="H1705" s="13"/>
      <c r="I1705" s="15"/>
      <c r="J1705" s="15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</row>
    <row r="1706" ht="22.5" hidden="1" customHeight="1">
      <c r="A1706" s="6"/>
      <c r="B1706" s="20"/>
      <c r="C1706" s="36"/>
      <c r="D1706" s="13"/>
      <c r="E1706" s="13"/>
      <c r="F1706" s="13"/>
      <c r="G1706" s="13"/>
      <c r="H1706" s="13"/>
      <c r="I1706" s="15"/>
      <c r="J1706" s="15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</row>
    <row r="1707" ht="22.5" hidden="1" customHeight="1">
      <c r="A1707" s="6"/>
      <c r="B1707" s="20"/>
      <c r="C1707" s="36"/>
      <c r="D1707" s="13"/>
      <c r="E1707" s="13"/>
      <c r="F1707" s="13"/>
      <c r="G1707" s="13"/>
      <c r="H1707" s="13"/>
      <c r="I1707" s="15"/>
      <c r="J1707" s="15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</row>
    <row r="1708" ht="22.5" hidden="1" customHeight="1">
      <c r="A1708" s="6"/>
      <c r="B1708" s="20"/>
      <c r="C1708" s="36"/>
      <c r="D1708" s="13"/>
      <c r="E1708" s="13"/>
      <c r="F1708" s="13"/>
      <c r="G1708" s="13"/>
      <c r="H1708" s="13"/>
      <c r="I1708" s="15"/>
      <c r="J1708" s="15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</row>
    <row r="1709" ht="22.5" hidden="1" customHeight="1">
      <c r="A1709" s="6"/>
      <c r="B1709" s="20"/>
      <c r="C1709" s="36"/>
      <c r="D1709" s="13"/>
      <c r="E1709" s="13"/>
      <c r="F1709" s="13"/>
      <c r="G1709" s="13"/>
      <c r="H1709" s="13"/>
      <c r="I1709" s="15"/>
      <c r="J1709" s="15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</row>
    <row r="1710" ht="22.5" hidden="1" customHeight="1">
      <c r="A1710" s="6"/>
      <c r="B1710" s="20"/>
      <c r="C1710" s="36"/>
      <c r="D1710" s="13"/>
      <c r="E1710" s="13"/>
      <c r="F1710" s="13"/>
      <c r="G1710" s="13"/>
      <c r="H1710" s="13"/>
      <c r="I1710" s="15"/>
      <c r="J1710" s="15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</row>
    <row r="1711" ht="22.5" hidden="1" customHeight="1">
      <c r="A1711" s="6"/>
      <c r="B1711" s="20"/>
      <c r="C1711" s="36"/>
      <c r="D1711" s="13"/>
      <c r="E1711" s="13"/>
      <c r="F1711" s="13"/>
      <c r="G1711" s="13"/>
      <c r="H1711" s="13"/>
      <c r="I1711" s="15"/>
      <c r="J1711" s="15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</row>
    <row r="1712" ht="22.5" hidden="1" customHeight="1">
      <c r="A1712" s="6"/>
      <c r="B1712" s="20"/>
      <c r="C1712" s="36"/>
      <c r="D1712" s="13"/>
      <c r="E1712" s="13"/>
      <c r="F1712" s="13"/>
      <c r="G1712" s="13"/>
      <c r="H1712" s="13"/>
      <c r="I1712" s="15"/>
      <c r="J1712" s="15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</row>
    <row r="1713" ht="22.5" hidden="1" customHeight="1">
      <c r="A1713" s="6"/>
      <c r="B1713" s="20"/>
      <c r="C1713" s="36"/>
      <c r="D1713" s="13"/>
      <c r="E1713" s="13"/>
      <c r="F1713" s="13"/>
      <c r="G1713" s="13"/>
      <c r="H1713" s="13"/>
      <c r="I1713" s="15"/>
      <c r="J1713" s="15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</row>
    <row r="1714" ht="22.5" hidden="1" customHeight="1">
      <c r="A1714" s="6"/>
      <c r="B1714" s="20"/>
      <c r="C1714" s="36"/>
      <c r="D1714" s="13"/>
      <c r="E1714" s="13"/>
      <c r="F1714" s="13"/>
      <c r="G1714" s="13"/>
      <c r="H1714" s="13"/>
      <c r="I1714" s="15"/>
      <c r="J1714" s="15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</row>
    <row r="1715" ht="22.5" hidden="1" customHeight="1">
      <c r="A1715" s="6"/>
      <c r="B1715" s="20"/>
      <c r="C1715" s="36"/>
      <c r="D1715" s="13"/>
      <c r="E1715" s="13"/>
      <c r="F1715" s="13"/>
      <c r="G1715" s="13"/>
      <c r="H1715" s="13"/>
      <c r="I1715" s="15"/>
      <c r="J1715" s="15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</row>
    <row r="1716" ht="22.5" hidden="1" customHeight="1">
      <c r="A1716" s="6"/>
      <c r="B1716" s="20"/>
      <c r="C1716" s="36"/>
      <c r="D1716" s="13"/>
      <c r="E1716" s="13"/>
      <c r="F1716" s="13"/>
      <c r="G1716" s="13"/>
      <c r="H1716" s="13"/>
      <c r="I1716" s="15"/>
      <c r="J1716" s="15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</row>
    <row r="1717" ht="22.5" hidden="1" customHeight="1">
      <c r="A1717" s="6"/>
      <c r="B1717" s="20"/>
      <c r="C1717" s="36"/>
      <c r="D1717" s="13"/>
      <c r="E1717" s="13"/>
      <c r="F1717" s="13"/>
      <c r="G1717" s="13"/>
      <c r="H1717" s="13"/>
      <c r="I1717" s="15"/>
      <c r="J1717" s="15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</row>
    <row r="1718" ht="22.5" hidden="1" customHeight="1">
      <c r="A1718" s="6"/>
      <c r="B1718" s="20"/>
      <c r="C1718" s="36"/>
      <c r="D1718" s="13"/>
      <c r="E1718" s="13"/>
      <c r="F1718" s="13"/>
      <c r="G1718" s="13"/>
      <c r="H1718" s="13"/>
      <c r="I1718" s="15"/>
      <c r="J1718" s="15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</row>
    <row r="1719" ht="22.5" hidden="1" customHeight="1">
      <c r="A1719" s="6"/>
      <c r="B1719" s="20"/>
      <c r="C1719" s="36"/>
      <c r="D1719" s="13"/>
      <c r="E1719" s="13"/>
      <c r="F1719" s="13"/>
      <c r="G1719" s="13"/>
      <c r="H1719" s="13"/>
      <c r="I1719" s="15"/>
      <c r="J1719" s="15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</row>
    <row r="1720" ht="22.5" hidden="1" customHeight="1">
      <c r="A1720" s="6"/>
      <c r="B1720" s="20"/>
      <c r="C1720" s="36"/>
      <c r="D1720" s="13"/>
      <c r="E1720" s="13"/>
      <c r="F1720" s="13"/>
      <c r="G1720" s="13"/>
      <c r="H1720" s="13"/>
      <c r="I1720" s="15"/>
      <c r="J1720" s="15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</row>
    <row r="1721" ht="22.5" hidden="1" customHeight="1">
      <c r="A1721" s="6"/>
      <c r="B1721" s="20"/>
      <c r="C1721" s="36"/>
      <c r="D1721" s="13"/>
      <c r="E1721" s="13"/>
      <c r="F1721" s="13"/>
      <c r="G1721" s="13"/>
      <c r="H1721" s="13"/>
      <c r="I1721" s="15"/>
      <c r="J1721" s="15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</row>
    <row r="1722" ht="22.5" hidden="1" customHeight="1">
      <c r="A1722" s="6"/>
      <c r="B1722" s="20"/>
      <c r="C1722" s="36"/>
      <c r="D1722" s="13"/>
      <c r="E1722" s="13"/>
      <c r="F1722" s="13"/>
      <c r="G1722" s="13"/>
      <c r="H1722" s="13"/>
      <c r="I1722" s="15"/>
      <c r="J1722" s="15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</row>
    <row r="1723" ht="22.5" hidden="1" customHeight="1">
      <c r="A1723" s="6"/>
      <c r="B1723" s="20"/>
      <c r="C1723" s="36"/>
      <c r="D1723" s="13"/>
      <c r="E1723" s="13"/>
      <c r="F1723" s="13"/>
      <c r="G1723" s="13"/>
      <c r="H1723" s="13"/>
      <c r="I1723" s="15"/>
      <c r="J1723" s="15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</row>
    <row r="1724" ht="22.5" hidden="1" customHeight="1">
      <c r="A1724" s="6"/>
      <c r="B1724" s="20"/>
      <c r="C1724" s="36"/>
      <c r="D1724" s="13"/>
      <c r="E1724" s="13"/>
      <c r="F1724" s="13"/>
      <c r="G1724" s="13"/>
      <c r="H1724" s="13"/>
      <c r="I1724" s="15"/>
      <c r="J1724" s="15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</row>
    <row r="1725" ht="22.5" hidden="1" customHeight="1">
      <c r="A1725" s="6"/>
      <c r="B1725" s="20"/>
      <c r="C1725" s="36"/>
      <c r="D1725" s="13"/>
      <c r="E1725" s="13"/>
      <c r="F1725" s="13"/>
      <c r="G1725" s="13"/>
      <c r="H1725" s="13"/>
      <c r="I1725" s="15"/>
      <c r="J1725" s="15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</row>
    <row r="1726" ht="22.5" hidden="1" customHeight="1">
      <c r="A1726" s="6"/>
      <c r="B1726" s="20"/>
      <c r="C1726" s="36"/>
      <c r="D1726" s="13"/>
      <c r="E1726" s="13"/>
      <c r="F1726" s="13"/>
      <c r="G1726" s="13"/>
      <c r="H1726" s="13"/>
      <c r="I1726" s="15"/>
      <c r="J1726" s="15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</row>
    <row r="1727" ht="22.5" hidden="1" customHeight="1">
      <c r="A1727" s="6"/>
      <c r="B1727" s="20"/>
      <c r="C1727" s="36"/>
      <c r="D1727" s="13"/>
      <c r="E1727" s="13"/>
      <c r="F1727" s="13"/>
      <c r="G1727" s="13"/>
      <c r="H1727" s="13"/>
      <c r="I1727" s="15"/>
      <c r="J1727" s="15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</row>
    <row r="1728" ht="22.5" hidden="1" customHeight="1">
      <c r="A1728" s="6"/>
      <c r="B1728" s="20"/>
      <c r="C1728" s="36"/>
      <c r="D1728" s="13"/>
      <c r="E1728" s="13"/>
      <c r="F1728" s="13"/>
      <c r="G1728" s="13"/>
      <c r="H1728" s="13"/>
      <c r="I1728" s="15"/>
      <c r="J1728" s="15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</row>
    <row r="1729" ht="22.5" hidden="1" customHeight="1">
      <c r="A1729" s="6"/>
      <c r="B1729" s="20"/>
      <c r="C1729" s="36"/>
      <c r="D1729" s="13"/>
      <c r="E1729" s="13"/>
      <c r="F1729" s="13"/>
      <c r="G1729" s="13"/>
      <c r="H1729" s="13"/>
      <c r="I1729" s="15"/>
      <c r="J1729" s="15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</row>
    <row r="1730" ht="22.5" hidden="1" customHeight="1">
      <c r="A1730" s="6"/>
      <c r="B1730" s="20"/>
      <c r="C1730" s="36"/>
      <c r="D1730" s="13"/>
      <c r="E1730" s="13"/>
      <c r="F1730" s="13"/>
      <c r="G1730" s="13"/>
      <c r="H1730" s="13"/>
      <c r="I1730" s="15"/>
      <c r="J1730" s="15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</row>
    <row r="1731" ht="22.5" hidden="1" customHeight="1">
      <c r="A1731" s="6"/>
      <c r="B1731" s="20"/>
      <c r="C1731" s="36"/>
      <c r="D1731" s="13"/>
      <c r="E1731" s="13"/>
      <c r="F1731" s="13"/>
      <c r="G1731" s="13"/>
      <c r="H1731" s="13"/>
      <c r="I1731" s="15"/>
      <c r="J1731" s="15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</row>
    <row r="1732" ht="22.5" hidden="1" customHeight="1">
      <c r="A1732" s="6"/>
      <c r="B1732" s="20"/>
      <c r="C1732" s="36"/>
      <c r="D1732" s="13"/>
      <c r="E1732" s="13"/>
      <c r="F1732" s="13"/>
      <c r="G1732" s="13"/>
      <c r="H1732" s="13"/>
      <c r="I1732" s="15"/>
      <c r="J1732" s="15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</row>
    <row r="1733" ht="22.5" hidden="1" customHeight="1">
      <c r="A1733" s="6"/>
      <c r="B1733" s="20"/>
      <c r="C1733" s="36"/>
      <c r="D1733" s="13"/>
      <c r="E1733" s="13"/>
      <c r="F1733" s="13"/>
      <c r="G1733" s="13"/>
      <c r="H1733" s="13"/>
      <c r="I1733" s="15"/>
      <c r="J1733" s="15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</row>
    <row r="1734" ht="22.5" hidden="1" customHeight="1">
      <c r="A1734" s="6"/>
      <c r="B1734" s="20"/>
      <c r="C1734" s="36"/>
      <c r="D1734" s="13"/>
      <c r="E1734" s="13"/>
      <c r="F1734" s="13"/>
      <c r="G1734" s="13"/>
      <c r="H1734" s="13"/>
      <c r="I1734" s="15"/>
      <c r="J1734" s="15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</row>
    <row r="1735" ht="22.5" hidden="1" customHeight="1">
      <c r="A1735" s="6"/>
      <c r="B1735" s="20"/>
      <c r="C1735" s="36"/>
      <c r="D1735" s="13"/>
      <c r="E1735" s="13"/>
      <c r="F1735" s="13"/>
      <c r="G1735" s="13"/>
      <c r="H1735" s="13"/>
      <c r="I1735" s="15"/>
      <c r="J1735" s="15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</row>
    <row r="1736" ht="22.5" hidden="1" customHeight="1">
      <c r="A1736" s="6"/>
      <c r="B1736" s="20"/>
      <c r="C1736" s="36"/>
      <c r="D1736" s="13"/>
      <c r="E1736" s="13"/>
      <c r="F1736" s="13"/>
      <c r="G1736" s="13"/>
      <c r="H1736" s="13"/>
      <c r="I1736" s="15"/>
      <c r="J1736" s="15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</row>
    <row r="1737" ht="22.5" hidden="1" customHeight="1">
      <c r="A1737" s="6"/>
      <c r="B1737" s="20"/>
      <c r="C1737" s="36"/>
      <c r="D1737" s="13"/>
      <c r="E1737" s="13"/>
      <c r="F1737" s="13"/>
      <c r="G1737" s="13"/>
      <c r="H1737" s="13"/>
      <c r="I1737" s="15"/>
      <c r="J1737" s="15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</row>
    <row r="1738" ht="22.5" hidden="1" customHeight="1">
      <c r="A1738" s="6"/>
      <c r="B1738" s="20"/>
      <c r="C1738" s="36"/>
      <c r="D1738" s="13"/>
      <c r="E1738" s="13"/>
      <c r="F1738" s="13"/>
      <c r="G1738" s="13"/>
      <c r="H1738" s="13"/>
      <c r="I1738" s="15"/>
      <c r="J1738" s="15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</row>
    <row r="1739" ht="22.5" hidden="1" customHeight="1">
      <c r="A1739" s="6"/>
      <c r="B1739" s="20"/>
      <c r="C1739" s="36"/>
      <c r="D1739" s="13"/>
      <c r="E1739" s="13"/>
      <c r="F1739" s="13"/>
      <c r="G1739" s="13"/>
      <c r="H1739" s="13"/>
      <c r="I1739" s="15"/>
      <c r="J1739" s="15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</row>
    <row r="1740" ht="22.5" hidden="1" customHeight="1">
      <c r="A1740" s="6"/>
      <c r="B1740" s="20"/>
      <c r="C1740" s="36"/>
      <c r="D1740" s="13"/>
      <c r="E1740" s="13"/>
      <c r="F1740" s="13"/>
      <c r="G1740" s="13"/>
      <c r="H1740" s="13"/>
      <c r="I1740" s="15"/>
      <c r="J1740" s="15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</row>
    <row r="1741" ht="22.5" hidden="1" customHeight="1">
      <c r="A1741" s="6"/>
      <c r="B1741" s="20"/>
      <c r="C1741" s="36"/>
      <c r="D1741" s="13"/>
      <c r="E1741" s="13"/>
      <c r="F1741" s="13"/>
      <c r="G1741" s="13"/>
      <c r="H1741" s="13"/>
      <c r="I1741" s="15"/>
      <c r="J1741" s="15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</row>
    <row r="1742" ht="22.5" hidden="1" customHeight="1">
      <c r="A1742" s="6"/>
      <c r="B1742" s="20"/>
      <c r="C1742" s="36"/>
      <c r="D1742" s="13"/>
      <c r="E1742" s="13"/>
      <c r="F1742" s="13"/>
      <c r="G1742" s="13"/>
      <c r="H1742" s="13"/>
      <c r="I1742" s="15"/>
      <c r="J1742" s="15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</row>
    <row r="1743" ht="22.5" hidden="1" customHeight="1">
      <c r="A1743" s="6"/>
      <c r="B1743" s="20"/>
      <c r="C1743" s="36"/>
      <c r="D1743" s="13"/>
      <c r="E1743" s="13"/>
      <c r="F1743" s="13"/>
      <c r="G1743" s="13"/>
      <c r="H1743" s="13"/>
      <c r="I1743" s="15"/>
      <c r="J1743" s="15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</row>
    <row r="1744" ht="22.5" hidden="1" customHeight="1">
      <c r="A1744" s="6"/>
      <c r="B1744" s="20"/>
      <c r="C1744" s="36"/>
      <c r="D1744" s="13"/>
      <c r="E1744" s="13"/>
      <c r="F1744" s="13"/>
      <c r="G1744" s="13"/>
      <c r="H1744" s="13"/>
      <c r="I1744" s="15"/>
      <c r="J1744" s="15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</row>
    <row r="1745" ht="22.5" hidden="1" customHeight="1">
      <c r="A1745" s="6"/>
      <c r="B1745" s="20"/>
      <c r="C1745" s="36"/>
      <c r="D1745" s="13"/>
      <c r="E1745" s="13"/>
      <c r="F1745" s="13"/>
      <c r="G1745" s="13"/>
      <c r="H1745" s="13"/>
      <c r="I1745" s="15"/>
      <c r="J1745" s="15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</row>
    <row r="1746" ht="22.5" hidden="1" customHeight="1">
      <c r="A1746" s="6"/>
      <c r="B1746" s="20"/>
      <c r="C1746" s="36"/>
      <c r="D1746" s="13"/>
      <c r="E1746" s="13"/>
      <c r="F1746" s="13"/>
      <c r="G1746" s="13"/>
      <c r="H1746" s="13"/>
      <c r="I1746" s="15"/>
      <c r="J1746" s="15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</row>
    <row r="1747" ht="22.5" hidden="1" customHeight="1">
      <c r="A1747" s="6"/>
      <c r="B1747" s="20"/>
      <c r="C1747" s="36"/>
      <c r="D1747" s="13"/>
      <c r="E1747" s="13"/>
      <c r="F1747" s="13"/>
      <c r="G1747" s="13"/>
      <c r="H1747" s="13"/>
      <c r="I1747" s="15"/>
      <c r="J1747" s="15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</row>
    <row r="1748" ht="22.5" hidden="1" customHeight="1">
      <c r="A1748" s="6"/>
      <c r="B1748" s="20"/>
      <c r="C1748" s="36"/>
      <c r="D1748" s="13"/>
      <c r="E1748" s="13"/>
      <c r="F1748" s="13"/>
      <c r="G1748" s="13"/>
      <c r="H1748" s="13"/>
      <c r="I1748" s="15"/>
      <c r="J1748" s="15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</row>
    <row r="1749" ht="22.5" hidden="1" customHeight="1">
      <c r="A1749" s="6"/>
      <c r="B1749" s="20"/>
      <c r="C1749" s="36"/>
      <c r="D1749" s="13"/>
      <c r="E1749" s="13"/>
      <c r="F1749" s="13"/>
      <c r="G1749" s="13"/>
      <c r="H1749" s="13"/>
      <c r="I1749" s="15"/>
      <c r="J1749" s="15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</row>
    <row r="1750" ht="22.5" hidden="1" customHeight="1">
      <c r="A1750" s="6"/>
      <c r="B1750" s="20"/>
      <c r="C1750" s="36"/>
      <c r="D1750" s="13"/>
      <c r="E1750" s="13"/>
      <c r="F1750" s="13"/>
      <c r="G1750" s="13"/>
      <c r="H1750" s="13"/>
      <c r="I1750" s="15"/>
      <c r="J1750" s="15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</row>
    <row r="1751" ht="22.5" hidden="1" customHeight="1">
      <c r="A1751" s="6"/>
      <c r="B1751" s="20"/>
      <c r="C1751" s="36"/>
      <c r="D1751" s="13"/>
      <c r="E1751" s="13"/>
      <c r="F1751" s="13"/>
      <c r="G1751" s="13"/>
      <c r="H1751" s="13"/>
      <c r="I1751" s="15"/>
      <c r="J1751" s="15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</row>
    <row r="1752" ht="22.5" hidden="1" customHeight="1">
      <c r="A1752" s="6"/>
      <c r="B1752" s="20"/>
      <c r="C1752" s="36"/>
      <c r="D1752" s="13"/>
      <c r="E1752" s="13"/>
      <c r="F1752" s="13"/>
      <c r="G1752" s="13"/>
      <c r="H1752" s="13"/>
      <c r="I1752" s="15"/>
      <c r="J1752" s="15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</row>
    <row r="1753" ht="22.5" hidden="1" customHeight="1">
      <c r="A1753" s="6"/>
      <c r="B1753" s="20"/>
      <c r="C1753" s="36"/>
      <c r="D1753" s="13"/>
      <c r="E1753" s="13"/>
      <c r="F1753" s="13"/>
      <c r="G1753" s="13"/>
      <c r="H1753" s="13"/>
      <c r="I1753" s="15"/>
      <c r="J1753" s="15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</row>
    <row r="1754" ht="22.5" hidden="1" customHeight="1">
      <c r="A1754" s="6"/>
      <c r="B1754" s="20"/>
      <c r="C1754" s="36"/>
      <c r="D1754" s="13"/>
      <c r="E1754" s="13"/>
      <c r="F1754" s="13"/>
      <c r="G1754" s="13"/>
      <c r="H1754" s="13"/>
      <c r="I1754" s="15"/>
      <c r="J1754" s="15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</row>
    <row r="1755" ht="22.5" hidden="1" customHeight="1">
      <c r="A1755" s="6"/>
      <c r="B1755" s="20"/>
      <c r="C1755" s="36"/>
      <c r="D1755" s="13"/>
      <c r="E1755" s="13"/>
      <c r="F1755" s="13"/>
      <c r="G1755" s="13"/>
      <c r="H1755" s="13"/>
      <c r="I1755" s="15"/>
      <c r="J1755" s="15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</row>
    <row r="1756" ht="22.5" hidden="1" customHeight="1">
      <c r="A1756" s="6"/>
      <c r="B1756" s="20"/>
      <c r="C1756" s="36"/>
      <c r="D1756" s="13"/>
      <c r="E1756" s="13"/>
      <c r="F1756" s="13"/>
      <c r="G1756" s="13"/>
      <c r="H1756" s="13"/>
      <c r="I1756" s="15"/>
      <c r="J1756" s="15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</row>
    <row r="1757" ht="22.5" hidden="1" customHeight="1">
      <c r="A1757" s="6"/>
      <c r="B1757" s="20"/>
      <c r="C1757" s="36"/>
      <c r="D1757" s="13"/>
      <c r="E1757" s="13"/>
      <c r="F1757" s="13"/>
      <c r="G1757" s="13"/>
      <c r="H1757" s="13"/>
      <c r="I1757" s="15"/>
      <c r="J1757" s="15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</row>
    <row r="1758" ht="22.5" hidden="1" customHeight="1">
      <c r="A1758" s="6"/>
      <c r="B1758" s="20"/>
      <c r="C1758" s="36"/>
      <c r="D1758" s="13"/>
      <c r="E1758" s="13"/>
      <c r="F1758" s="13"/>
      <c r="G1758" s="13"/>
      <c r="H1758" s="13"/>
      <c r="I1758" s="15"/>
      <c r="J1758" s="15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</row>
    <row r="1759" ht="22.5" hidden="1" customHeight="1">
      <c r="A1759" s="6"/>
      <c r="B1759" s="20"/>
      <c r="C1759" s="36"/>
      <c r="D1759" s="13"/>
      <c r="E1759" s="13"/>
      <c r="F1759" s="13"/>
      <c r="G1759" s="13"/>
      <c r="H1759" s="13"/>
      <c r="I1759" s="15"/>
      <c r="J1759" s="15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</row>
    <row r="1760" ht="22.5" hidden="1" customHeight="1">
      <c r="A1760" s="6"/>
      <c r="B1760" s="20"/>
      <c r="C1760" s="36"/>
      <c r="D1760" s="13"/>
      <c r="E1760" s="13"/>
      <c r="F1760" s="13"/>
      <c r="G1760" s="13"/>
      <c r="H1760" s="13"/>
      <c r="I1760" s="15"/>
      <c r="J1760" s="15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</row>
    <row r="1761" ht="22.5" hidden="1" customHeight="1">
      <c r="A1761" s="6"/>
      <c r="B1761" s="20"/>
      <c r="C1761" s="36"/>
      <c r="D1761" s="13"/>
      <c r="E1761" s="13"/>
      <c r="F1761" s="13"/>
      <c r="G1761" s="13"/>
      <c r="H1761" s="13"/>
      <c r="I1761" s="15"/>
      <c r="J1761" s="15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</row>
    <row r="1762" ht="22.5" hidden="1" customHeight="1">
      <c r="A1762" s="6"/>
      <c r="B1762" s="20"/>
      <c r="C1762" s="36"/>
      <c r="D1762" s="13"/>
      <c r="E1762" s="13"/>
      <c r="F1762" s="13"/>
      <c r="G1762" s="13"/>
      <c r="H1762" s="13"/>
      <c r="I1762" s="15"/>
      <c r="J1762" s="15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</row>
    <row r="1763" ht="22.5" hidden="1" customHeight="1">
      <c r="A1763" s="6"/>
      <c r="B1763" s="20"/>
      <c r="C1763" s="36"/>
      <c r="D1763" s="13"/>
      <c r="E1763" s="13"/>
      <c r="F1763" s="13"/>
      <c r="G1763" s="13"/>
      <c r="H1763" s="13"/>
      <c r="I1763" s="15"/>
      <c r="J1763" s="15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</row>
    <row r="1764" ht="22.5" hidden="1" customHeight="1">
      <c r="A1764" s="6"/>
      <c r="B1764" s="20"/>
      <c r="C1764" s="36"/>
      <c r="D1764" s="13"/>
      <c r="E1764" s="13"/>
      <c r="F1764" s="13"/>
      <c r="G1764" s="13"/>
      <c r="H1764" s="13"/>
      <c r="I1764" s="15"/>
      <c r="J1764" s="15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</row>
    <row r="1765" ht="22.5" hidden="1" customHeight="1">
      <c r="A1765" s="6"/>
      <c r="B1765" s="20"/>
      <c r="C1765" s="36"/>
      <c r="D1765" s="13"/>
      <c r="E1765" s="13"/>
      <c r="F1765" s="13"/>
      <c r="G1765" s="13"/>
      <c r="H1765" s="13"/>
      <c r="I1765" s="15"/>
      <c r="J1765" s="15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</row>
    <row r="1766" ht="22.5" hidden="1" customHeight="1">
      <c r="A1766" s="6"/>
      <c r="B1766" s="20"/>
      <c r="C1766" s="36"/>
      <c r="D1766" s="13"/>
      <c r="E1766" s="13"/>
      <c r="F1766" s="13"/>
      <c r="G1766" s="13"/>
      <c r="H1766" s="13"/>
      <c r="I1766" s="15"/>
      <c r="J1766" s="15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</row>
    <row r="1767" ht="22.5" hidden="1" customHeight="1">
      <c r="A1767" s="6"/>
      <c r="B1767" s="20"/>
      <c r="C1767" s="36"/>
      <c r="D1767" s="13"/>
      <c r="E1767" s="13"/>
      <c r="F1767" s="13"/>
      <c r="G1767" s="13"/>
      <c r="H1767" s="13"/>
      <c r="I1767" s="15"/>
      <c r="J1767" s="15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</row>
    <row r="1768" ht="22.5" hidden="1" customHeight="1">
      <c r="A1768" s="6"/>
      <c r="B1768" s="20"/>
      <c r="C1768" s="36"/>
      <c r="D1768" s="13"/>
      <c r="E1768" s="13"/>
      <c r="F1768" s="13"/>
      <c r="G1768" s="13"/>
      <c r="H1768" s="13"/>
      <c r="I1768" s="15"/>
      <c r="J1768" s="15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</row>
    <row r="1769" ht="22.5" hidden="1" customHeight="1">
      <c r="A1769" s="6"/>
      <c r="B1769" s="20"/>
      <c r="C1769" s="36"/>
      <c r="D1769" s="13"/>
      <c r="E1769" s="13"/>
      <c r="F1769" s="13"/>
      <c r="G1769" s="13"/>
      <c r="H1769" s="13"/>
      <c r="I1769" s="15"/>
      <c r="J1769" s="15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</row>
    <row r="1770" ht="22.5" hidden="1" customHeight="1">
      <c r="A1770" s="6"/>
      <c r="B1770" s="20"/>
      <c r="C1770" s="36"/>
      <c r="D1770" s="13"/>
      <c r="E1770" s="13"/>
      <c r="F1770" s="13"/>
      <c r="G1770" s="13"/>
      <c r="H1770" s="13"/>
      <c r="I1770" s="15"/>
      <c r="J1770" s="15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</row>
    <row r="1771" ht="22.5" hidden="1" customHeight="1">
      <c r="A1771" s="6"/>
      <c r="B1771" s="20"/>
      <c r="C1771" s="36"/>
      <c r="D1771" s="13"/>
      <c r="E1771" s="13"/>
      <c r="F1771" s="13"/>
      <c r="G1771" s="13"/>
      <c r="H1771" s="13"/>
      <c r="I1771" s="15"/>
      <c r="J1771" s="15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</row>
    <row r="1772" ht="22.5" hidden="1" customHeight="1">
      <c r="A1772" s="6"/>
      <c r="B1772" s="20"/>
      <c r="C1772" s="36"/>
      <c r="D1772" s="13"/>
      <c r="E1772" s="13"/>
      <c r="F1772" s="13"/>
      <c r="G1772" s="13"/>
      <c r="H1772" s="13"/>
      <c r="I1772" s="15"/>
      <c r="J1772" s="15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</row>
    <row r="1773" ht="22.5" hidden="1" customHeight="1">
      <c r="A1773" s="6"/>
      <c r="B1773" s="20"/>
      <c r="C1773" s="36"/>
      <c r="D1773" s="13"/>
      <c r="E1773" s="13"/>
      <c r="F1773" s="13"/>
      <c r="G1773" s="13"/>
      <c r="H1773" s="13"/>
      <c r="I1773" s="15"/>
      <c r="J1773" s="15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</row>
    <row r="1774" ht="22.5" hidden="1" customHeight="1">
      <c r="A1774" s="6"/>
      <c r="B1774" s="20"/>
      <c r="C1774" s="36"/>
      <c r="D1774" s="13"/>
      <c r="E1774" s="13"/>
      <c r="F1774" s="13"/>
      <c r="G1774" s="13"/>
      <c r="H1774" s="13"/>
      <c r="I1774" s="15"/>
      <c r="J1774" s="15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</row>
    <row r="1775" ht="22.5" hidden="1" customHeight="1">
      <c r="A1775" s="6"/>
      <c r="B1775" s="20"/>
      <c r="C1775" s="36"/>
      <c r="D1775" s="13"/>
      <c r="E1775" s="13"/>
      <c r="F1775" s="13"/>
      <c r="G1775" s="13"/>
      <c r="H1775" s="13"/>
      <c r="I1775" s="15"/>
      <c r="J1775" s="15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</row>
    <row r="1776" ht="22.5" hidden="1" customHeight="1">
      <c r="A1776" s="6"/>
      <c r="B1776" s="20"/>
      <c r="C1776" s="36"/>
      <c r="D1776" s="13"/>
      <c r="E1776" s="13"/>
      <c r="F1776" s="13"/>
      <c r="G1776" s="13"/>
      <c r="H1776" s="13"/>
      <c r="I1776" s="15"/>
      <c r="J1776" s="15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</row>
    <row r="1777" ht="22.5" hidden="1" customHeight="1">
      <c r="A1777" s="6"/>
      <c r="B1777" s="20"/>
      <c r="C1777" s="36"/>
      <c r="D1777" s="13"/>
      <c r="E1777" s="13"/>
      <c r="F1777" s="13"/>
      <c r="G1777" s="13"/>
      <c r="H1777" s="13"/>
      <c r="I1777" s="15"/>
      <c r="J1777" s="15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</row>
    <row r="1778" ht="22.5" hidden="1" customHeight="1">
      <c r="A1778" s="6"/>
      <c r="B1778" s="20"/>
      <c r="C1778" s="36"/>
      <c r="D1778" s="13"/>
      <c r="E1778" s="13"/>
      <c r="F1778" s="13"/>
      <c r="G1778" s="13"/>
      <c r="H1778" s="13"/>
      <c r="I1778" s="15"/>
      <c r="J1778" s="15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</row>
    <row r="1779" ht="22.5" hidden="1" customHeight="1">
      <c r="A1779" s="6"/>
      <c r="B1779" s="20"/>
      <c r="C1779" s="36"/>
      <c r="D1779" s="13"/>
      <c r="E1779" s="13"/>
      <c r="F1779" s="13"/>
      <c r="G1779" s="13"/>
      <c r="H1779" s="13"/>
      <c r="I1779" s="15"/>
      <c r="J1779" s="15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</row>
    <row r="1780" ht="22.5" hidden="1" customHeight="1">
      <c r="A1780" s="6"/>
      <c r="B1780" s="20"/>
      <c r="C1780" s="36"/>
      <c r="D1780" s="13"/>
      <c r="E1780" s="13"/>
      <c r="F1780" s="13"/>
      <c r="G1780" s="13"/>
      <c r="H1780" s="13"/>
      <c r="I1780" s="15"/>
      <c r="J1780" s="15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</row>
    <row r="1781" ht="22.5" hidden="1" customHeight="1">
      <c r="A1781" s="6"/>
      <c r="B1781" s="20"/>
      <c r="C1781" s="36"/>
      <c r="D1781" s="13"/>
      <c r="E1781" s="13"/>
      <c r="F1781" s="13"/>
      <c r="G1781" s="13"/>
      <c r="H1781" s="13"/>
      <c r="I1781" s="15"/>
      <c r="J1781" s="15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</row>
    <row r="1782" ht="22.5" hidden="1" customHeight="1">
      <c r="A1782" s="6"/>
      <c r="B1782" s="20"/>
      <c r="C1782" s="36"/>
      <c r="D1782" s="13"/>
      <c r="E1782" s="13"/>
      <c r="F1782" s="13"/>
      <c r="G1782" s="13"/>
      <c r="H1782" s="13"/>
      <c r="I1782" s="15"/>
      <c r="J1782" s="15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</row>
    <row r="1783" ht="22.5" hidden="1" customHeight="1">
      <c r="A1783" s="6"/>
      <c r="B1783" s="20"/>
      <c r="C1783" s="36"/>
      <c r="D1783" s="13"/>
      <c r="E1783" s="13"/>
      <c r="F1783" s="13"/>
      <c r="G1783" s="13"/>
      <c r="H1783" s="13"/>
      <c r="I1783" s="15"/>
      <c r="J1783" s="15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</row>
    <row r="1784" ht="22.5" hidden="1" customHeight="1">
      <c r="A1784" s="6"/>
      <c r="B1784" s="20"/>
      <c r="C1784" s="36"/>
      <c r="D1784" s="13"/>
      <c r="E1784" s="13"/>
      <c r="F1784" s="13"/>
      <c r="G1784" s="13"/>
      <c r="H1784" s="13"/>
      <c r="I1784" s="15"/>
      <c r="J1784" s="15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</row>
    <row r="1785" ht="22.5" hidden="1" customHeight="1">
      <c r="A1785" s="6"/>
      <c r="B1785" s="20"/>
      <c r="C1785" s="36"/>
      <c r="D1785" s="13"/>
      <c r="E1785" s="13"/>
      <c r="F1785" s="13"/>
      <c r="G1785" s="13"/>
      <c r="H1785" s="13"/>
      <c r="I1785" s="15"/>
      <c r="J1785" s="15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</row>
    <row r="1786" ht="22.5" hidden="1" customHeight="1">
      <c r="A1786" s="6"/>
      <c r="B1786" s="20"/>
      <c r="C1786" s="36"/>
      <c r="D1786" s="13"/>
      <c r="E1786" s="13"/>
      <c r="F1786" s="13"/>
      <c r="G1786" s="13"/>
      <c r="H1786" s="13"/>
      <c r="I1786" s="15"/>
      <c r="J1786" s="15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</row>
    <row r="1787" ht="22.5" hidden="1" customHeight="1">
      <c r="A1787" s="6"/>
      <c r="B1787" s="20"/>
      <c r="C1787" s="36"/>
      <c r="D1787" s="13"/>
      <c r="E1787" s="13"/>
      <c r="F1787" s="13"/>
      <c r="G1787" s="13"/>
      <c r="H1787" s="13"/>
      <c r="I1787" s="15"/>
      <c r="J1787" s="15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</row>
    <row r="1788" ht="22.5" hidden="1" customHeight="1">
      <c r="A1788" s="6"/>
      <c r="B1788" s="20"/>
      <c r="C1788" s="36"/>
      <c r="D1788" s="13"/>
      <c r="E1788" s="13"/>
      <c r="F1788" s="13"/>
      <c r="G1788" s="13"/>
      <c r="H1788" s="13"/>
      <c r="I1788" s="15"/>
      <c r="J1788" s="15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</row>
    <row r="1789" ht="22.5" hidden="1" customHeight="1">
      <c r="A1789" s="6"/>
      <c r="B1789" s="20"/>
      <c r="C1789" s="36"/>
      <c r="D1789" s="13"/>
      <c r="E1789" s="13"/>
      <c r="F1789" s="13"/>
      <c r="G1789" s="13"/>
      <c r="H1789" s="13"/>
      <c r="I1789" s="15"/>
      <c r="J1789" s="15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</row>
    <row r="1790" ht="22.5" hidden="1" customHeight="1">
      <c r="A1790" s="6"/>
      <c r="B1790" s="20"/>
      <c r="C1790" s="36"/>
      <c r="D1790" s="13"/>
      <c r="E1790" s="13"/>
      <c r="F1790" s="13"/>
      <c r="G1790" s="13"/>
      <c r="H1790" s="13"/>
      <c r="I1790" s="15"/>
      <c r="J1790" s="15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</row>
    <row r="1791" ht="22.5" hidden="1" customHeight="1">
      <c r="A1791" s="6"/>
      <c r="B1791" s="20"/>
      <c r="C1791" s="36"/>
      <c r="D1791" s="13"/>
      <c r="E1791" s="13"/>
      <c r="F1791" s="13"/>
      <c r="G1791" s="13"/>
      <c r="H1791" s="13"/>
      <c r="I1791" s="15"/>
      <c r="J1791" s="15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</row>
    <row r="1792" ht="22.5" hidden="1" customHeight="1">
      <c r="A1792" s="6"/>
      <c r="B1792" s="20"/>
      <c r="C1792" s="36"/>
      <c r="D1792" s="13"/>
      <c r="E1792" s="13"/>
      <c r="F1792" s="13"/>
      <c r="G1792" s="13"/>
      <c r="H1792" s="13"/>
      <c r="I1792" s="15"/>
      <c r="J1792" s="15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</row>
    <row r="1793" ht="22.5" hidden="1" customHeight="1">
      <c r="A1793" s="6"/>
      <c r="B1793" s="20"/>
      <c r="C1793" s="36"/>
      <c r="D1793" s="13"/>
      <c r="E1793" s="13"/>
      <c r="F1793" s="13"/>
      <c r="G1793" s="13"/>
      <c r="H1793" s="13"/>
      <c r="I1793" s="15"/>
      <c r="J1793" s="15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</row>
    <row r="1794" ht="22.5" hidden="1" customHeight="1">
      <c r="A1794" s="6"/>
      <c r="B1794" s="20"/>
      <c r="C1794" s="36"/>
      <c r="D1794" s="13"/>
      <c r="E1794" s="13"/>
      <c r="F1794" s="13"/>
      <c r="G1794" s="13"/>
      <c r="H1794" s="13"/>
      <c r="I1794" s="15"/>
      <c r="J1794" s="15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</row>
    <row r="1795" ht="22.5" hidden="1" customHeight="1">
      <c r="A1795" s="6"/>
      <c r="B1795" s="20"/>
      <c r="C1795" s="36"/>
      <c r="D1795" s="13"/>
      <c r="E1795" s="13"/>
      <c r="F1795" s="13"/>
      <c r="G1795" s="13"/>
      <c r="H1795" s="13"/>
      <c r="I1795" s="15"/>
      <c r="J1795" s="15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</row>
    <row r="1796" ht="22.5" hidden="1" customHeight="1">
      <c r="A1796" s="6"/>
      <c r="B1796" s="20"/>
      <c r="C1796" s="36"/>
      <c r="D1796" s="13"/>
      <c r="E1796" s="13"/>
      <c r="F1796" s="13"/>
      <c r="G1796" s="13"/>
      <c r="H1796" s="13"/>
      <c r="I1796" s="15"/>
      <c r="J1796" s="15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</row>
    <row r="1797" ht="22.5" hidden="1" customHeight="1">
      <c r="A1797" s="6"/>
      <c r="B1797" s="20"/>
      <c r="C1797" s="36"/>
      <c r="D1797" s="13"/>
      <c r="E1797" s="13"/>
      <c r="F1797" s="13"/>
      <c r="G1797" s="13"/>
      <c r="H1797" s="13"/>
      <c r="I1797" s="15"/>
      <c r="J1797" s="15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</row>
    <row r="1798" ht="22.5" hidden="1" customHeight="1">
      <c r="A1798" s="6"/>
      <c r="B1798" s="20"/>
      <c r="C1798" s="36"/>
      <c r="D1798" s="13"/>
      <c r="E1798" s="13"/>
      <c r="F1798" s="13"/>
      <c r="G1798" s="13"/>
      <c r="H1798" s="13"/>
      <c r="I1798" s="15"/>
      <c r="J1798" s="15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</row>
    <row r="1799" ht="22.5" hidden="1" customHeight="1">
      <c r="A1799" s="6"/>
      <c r="B1799" s="20"/>
      <c r="C1799" s="36"/>
      <c r="D1799" s="13"/>
      <c r="E1799" s="13"/>
      <c r="F1799" s="13"/>
      <c r="G1799" s="13"/>
      <c r="H1799" s="13"/>
      <c r="I1799" s="15"/>
      <c r="J1799" s="15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</row>
    <row r="1800" ht="22.5" hidden="1" customHeight="1">
      <c r="A1800" s="6"/>
      <c r="B1800" s="20"/>
      <c r="C1800" s="36"/>
      <c r="D1800" s="13"/>
      <c r="E1800" s="13"/>
      <c r="F1800" s="13"/>
      <c r="G1800" s="13"/>
      <c r="H1800" s="13"/>
      <c r="I1800" s="15"/>
      <c r="J1800" s="15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</row>
    <row r="1801" ht="22.5" hidden="1" customHeight="1">
      <c r="A1801" s="6"/>
      <c r="B1801" s="20"/>
      <c r="C1801" s="36"/>
      <c r="D1801" s="13"/>
      <c r="E1801" s="13"/>
      <c r="F1801" s="13"/>
      <c r="G1801" s="13"/>
      <c r="H1801" s="13"/>
      <c r="I1801" s="15"/>
      <c r="J1801" s="15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</row>
    <row r="1802" ht="22.5" hidden="1" customHeight="1">
      <c r="A1802" s="6"/>
      <c r="B1802" s="20"/>
      <c r="C1802" s="36"/>
      <c r="D1802" s="13"/>
      <c r="E1802" s="13"/>
      <c r="F1802" s="13"/>
      <c r="G1802" s="13"/>
      <c r="H1802" s="13"/>
      <c r="I1802" s="15"/>
      <c r="J1802" s="15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</row>
    <row r="1803" ht="22.5" hidden="1" customHeight="1">
      <c r="A1803" s="6"/>
      <c r="B1803" s="20"/>
      <c r="C1803" s="36"/>
      <c r="D1803" s="13"/>
      <c r="E1803" s="13"/>
      <c r="F1803" s="13"/>
      <c r="G1803" s="13"/>
      <c r="H1803" s="13"/>
      <c r="I1803" s="15"/>
      <c r="J1803" s="15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</row>
    <row r="1804" ht="22.5" hidden="1" customHeight="1">
      <c r="A1804" s="6"/>
      <c r="B1804" s="20"/>
      <c r="C1804" s="36"/>
      <c r="D1804" s="13"/>
      <c r="E1804" s="13"/>
      <c r="F1804" s="13"/>
      <c r="G1804" s="13"/>
      <c r="H1804" s="13"/>
      <c r="I1804" s="15"/>
      <c r="J1804" s="15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</row>
    <row r="1805" ht="22.5" hidden="1" customHeight="1">
      <c r="A1805" s="6"/>
      <c r="B1805" s="20"/>
      <c r="C1805" s="36"/>
      <c r="D1805" s="13"/>
      <c r="E1805" s="13"/>
      <c r="F1805" s="13"/>
      <c r="G1805" s="13"/>
      <c r="H1805" s="13"/>
      <c r="I1805" s="15"/>
      <c r="J1805" s="15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</row>
    <row r="1806" ht="22.5" hidden="1" customHeight="1">
      <c r="A1806" s="6"/>
      <c r="B1806" s="20"/>
      <c r="C1806" s="36"/>
      <c r="D1806" s="13"/>
      <c r="E1806" s="13"/>
      <c r="F1806" s="13"/>
      <c r="G1806" s="13"/>
      <c r="H1806" s="13"/>
      <c r="I1806" s="15"/>
      <c r="J1806" s="15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</row>
    <row r="1807" ht="22.5" hidden="1" customHeight="1">
      <c r="A1807" s="6"/>
      <c r="B1807" s="20"/>
      <c r="C1807" s="36"/>
      <c r="D1807" s="13"/>
      <c r="E1807" s="13"/>
      <c r="F1807" s="13"/>
      <c r="G1807" s="13"/>
      <c r="H1807" s="13"/>
      <c r="I1807" s="15"/>
      <c r="J1807" s="15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</row>
    <row r="1808" ht="22.5" hidden="1" customHeight="1">
      <c r="A1808" s="6"/>
      <c r="B1808" s="20"/>
      <c r="C1808" s="36"/>
      <c r="D1808" s="13"/>
      <c r="E1808" s="13"/>
      <c r="F1808" s="13"/>
      <c r="G1808" s="13"/>
      <c r="H1808" s="13"/>
      <c r="I1808" s="15"/>
      <c r="J1808" s="15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</row>
    <row r="1809" ht="22.5" hidden="1" customHeight="1">
      <c r="A1809" s="6"/>
      <c r="B1809" s="20"/>
      <c r="C1809" s="36"/>
      <c r="D1809" s="13"/>
      <c r="E1809" s="13"/>
      <c r="F1809" s="13"/>
      <c r="G1809" s="13"/>
      <c r="H1809" s="13"/>
      <c r="I1809" s="15"/>
      <c r="J1809" s="15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</row>
    <row r="1810" ht="22.5" hidden="1" customHeight="1">
      <c r="A1810" s="6"/>
      <c r="B1810" s="20"/>
      <c r="C1810" s="36"/>
      <c r="D1810" s="13"/>
      <c r="E1810" s="13"/>
      <c r="F1810" s="13"/>
      <c r="G1810" s="13"/>
      <c r="H1810" s="13"/>
      <c r="I1810" s="15"/>
      <c r="J1810" s="15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</row>
    <row r="1811" ht="22.5" hidden="1" customHeight="1">
      <c r="A1811" s="6"/>
      <c r="B1811" s="20"/>
      <c r="C1811" s="36"/>
      <c r="D1811" s="13"/>
      <c r="E1811" s="13"/>
      <c r="F1811" s="13"/>
      <c r="G1811" s="13"/>
      <c r="H1811" s="13"/>
      <c r="I1811" s="15"/>
      <c r="J1811" s="15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</row>
    <row r="1812" ht="22.5" hidden="1" customHeight="1">
      <c r="A1812" s="6"/>
      <c r="B1812" s="20"/>
      <c r="C1812" s="36"/>
      <c r="D1812" s="13"/>
      <c r="E1812" s="13"/>
      <c r="F1812" s="13"/>
      <c r="G1812" s="13"/>
      <c r="H1812" s="13"/>
      <c r="I1812" s="15"/>
      <c r="J1812" s="15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</row>
    <row r="1813" ht="22.5" hidden="1" customHeight="1">
      <c r="A1813" s="6"/>
      <c r="B1813" s="20"/>
      <c r="C1813" s="36"/>
      <c r="D1813" s="13"/>
      <c r="E1813" s="13"/>
      <c r="F1813" s="13"/>
      <c r="G1813" s="13"/>
      <c r="H1813" s="13"/>
      <c r="I1813" s="15"/>
      <c r="J1813" s="15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</row>
    <row r="1814" ht="22.5" hidden="1" customHeight="1">
      <c r="A1814" s="6"/>
      <c r="B1814" s="20"/>
      <c r="C1814" s="36"/>
      <c r="D1814" s="13"/>
      <c r="E1814" s="13"/>
      <c r="F1814" s="13"/>
      <c r="G1814" s="13"/>
      <c r="H1814" s="13"/>
      <c r="I1814" s="15"/>
      <c r="J1814" s="15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</row>
    <row r="1815" ht="22.5" hidden="1" customHeight="1">
      <c r="A1815" s="6"/>
      <c r="B1815" s="20"/>
      <c r="C1815" s="36"/>
      <c r="D1815" s="13"/>
      <c r="E1815" s="13"/>
      <c r="F1815" s="13"/>
      <c r="G1815" s="13"/>
      <c r="H1815" s="13"/>
      <c r="I1815" s="15"/>
      <c r="J1815" s="15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</row>
    <row r="1816" ht="22.5" hidden="1" customHeight="1">
      <c r="A1816" s="6"/>
      <c r="B1816" s="20"/>
      <c r="C1816" s="36"/>
      <c r="D1816" s="13"/>
      <c r="E1816" s="13"/>
      <c r="F1816" s="13"/>
      <c r="G1816" s="13"/>
      <c r="H1816" s="13"/>
      <c r="I1816" s="15"/>
      <c r="J1816" s="15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</row>
    <row r="1817" ht="22.5" hidden="1" customHeight="1">
      <c r="A1817" s="6"/>
      <c r="B1817" s="20"/>
      <c r="C1817" s="36"/>
      <c r="D1817" s="13"/>
      <c r="E1817" s="13"/>
      <c r="F1817" s="13"/>
      <c r="G1817" s="13"/>
      <c r="H1817" s="13"/>
      <c r="I1817" s="15"/>
      <c r="J1817" s="15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</row>
    <row r="1818" ht="22.5" hidden="1" customHeight="1">
      <c r="A1818" s="6"/>
      <c r="B1818" s="20"/>
      <c r="C1818" s="36"/>
      <c r="D1818" s="13"/>
      <c r="E1818" s="13"/>
      <c r="F1818" s="13"/>
      <c r="G1818" s="13"/>
      <c r="H1818" s="13"/>
      <c r="I1818" s="15"/>
      <c r="J1818" s="15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</row>
    <row r="1819" ht="22.5" hidden="1" customHeight="1">
      <c r="A1819" s="6"/>
      <c r="B1819" s="20"/>
      <c r="C1819" s="36"/>
      <c r="D1819" s="13"/>
      <c r="E1819" s="13"/>
      <c r="F1819" s="13"/>
      <c r="G1819" s="13"/>
      <c r="H1819" s="13"/>
      <c r="I1819" s="15"/>
      <c r="J1819" s="15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</row>
    <row r="1820" ht="22.5" hidden="1" customHeight="1">
      <c r="A1820" s="6"/>
      <c r="B1820" s="20"/>
      <c r="C1820" s="36"/>
      <c r="D1820" s="13"/>
      <c r="E1820" s="13"/>
      <c r="F1820" s="13"/>
      <c r="G1820" s="13"/>
      <c r="H1820" s="13"/>
      <c r="I1820" s="15"/>
      <c r="J1820" s="15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</row>
    <row r="1821" ht="22.5" hidden="1" customHeight="1">
      <c r="A1821" s="6"/>
      <c r="B1821" s="20"/>
      <c r="C1821" s="36"/>
      <c r="D1821" s="13"/>
      <c r="E1821" s="13"/>
      <c r="F1821" s="13"/>
      <c r="G1821" s="13"/>
      <c r="H1821" s="13"/>
      <c r="I1821" s="15"/>
      <c r="J1821" s="15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</row>
    <row r="1822" ht="22.5" hidden="1" customHeight="1">
      <c r="A1822" s="6"/>
      <c r="B1822" s="20"/>
      <c r="C1822" s="36"/>
      <c r="D1822" s="13"/>
      <c r="E1822" s="13"/>
      <c r="F1822" s="13"/>
      <c r="G1822" s="13"/>
      <c r="H1822" s="13"/>
      <c r="I1822" s="15"/>
      <c r="J1822" s="15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</row>
    <row r="1823" ht="22.5" hidden="1" customHeight="1">
      <c r="A1823" s="6"/>
      <c r="B1823" s="20"/>
      <c r="C1823" s="36"/>
      <c r="D1823" s="13"/>
      <c r="E1823" s="13"/>
      <c r="F1823" s="13"/>
      <c r="G1823" s="13"/>
      <c r="H1823" s="13"/>
      <c r="I1823" s="15"/>
      <c r="J1823" s="15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</row>
    <row r="1824" ht="22.5" hidden="1" customHeight="1">
      <c r="A1824" s="6"/>
      <c r="B1824" s="20"/>
      <c r="C1824" s="36"/>
      <c r="D1824" s="13"/>
      <c r="E1824" s="13"/>
      <c r="F1824" s="13"/>
      <c r="G1824" s="13"/>
      <c r="H1824" s="13"/>
      <c r="I1824" s="15"/>
      <c r="J1824" s="15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</row>
    <row r="1825" ht="22.5" hidden="1" customHeight="1">
      <c r="A1825" s="6"/>
      <c r="B1825" s="20"/>
      <c r="C1825" s="36"/>
      <c r="D1825" s="13"/>
      <c r="E1825" s="13"/>
      <c r="F1825" s="13"/>
      <c r="G1825" s="13"/>
      <c r="H1825" s="13"/>
      <c r="I1825" s="15"/>
      <c r="J1825" s="15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</row>
    <row r="1826" ht="22.5" hidden="1" customHeight="1">
      <c r="A1826" s="6"/>
      <c r="B1826" s="20"/>
      <c r="C1826" s="36"/>
      <c r="D1826" s="13"/>
      <c r="E1826" s="13"/>
      <c r="F1826" s="13"/>
      <c r="G1826" s="13"/>
      <c r="H1826" s="13"/>
      <c r="I1826" s="15"/>
      <c r="J1826" s="15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</row>
    <row r="1827" ht="22.5" hidden="1" customHeight="1">
      <c r="A1827" s="6"/>
      <c r="B1827" s="20"/>
      <c r="C1827" s="36"/>
      <c r="D1827" s="13"/>
      <c r="E1827" s="13"/>
      <c r="F1827" s="13"/>
      <c r="G1827" s="13"/>
      <c r="H1827" s="13"/>
      <c r="I1827" s="15"/>
      <c r="J1827" s="15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</row>
    <row r="1828" ht="22.5" hidden="1" customHeight="1">
      <c r="A1828" s="6"/>
      <c r="B1828" s="20"/>
      <c r="C1828" s="36"/>
      <c r="D1828" s="13"/>
      <c r="E1828" s="13"/>
      <c r="F1828" s="13"/>
      <c r="G1828" s="13"/>
      <c r="H1828" s="13"/>
      <c r="I1828" s="15"/>
      <c r="J1828" s="15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</row>
    <row r="1829" ht="22.5" hidden="1" customHeight="1">
      <c r="A1829" s="6"/>
      <c r="B1829" s="20"/>
      <c r="C1829" s="36"/>
      <c r="D1829" s="13"/>
      <c r="E1829" s="13"/>
      <c r="F1829" s="13"/>
      <c r="G1829" s="13"/>
      <c r="H1829" s="13"/>
      <c r="I1829" s="15"/>
      <c r="J1829" s="15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</row>
    <row r="1830" ht="22.5" hidden="1" customHeight="1">
      <c r="A1830" s="6"/>
      <c r="B1830" s="20"/>
      <c r="C1830" s="36"/>
      <c r="D1830" s="13"/>
      <c r="E1830" s="13"/>
      <c r="F1830" s="13"/>
      <c r="G1830" s="13"/>
      <c r="H1830" s="13"/>
      <c r="I1830" s="15"/>
      <c r="J1830" s="15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</row>
    <row r="1831" ht="22.5" hidden="1" customHeight="1">
      <c r="A1831" s="6"/>
      <c r="B1831" s="20"/>
      <c r="C1831" s="36"/>
      <c r="D1831" s="13"/>
      <c r="E1831" s="13"/>
      <c r="F1831" s="13"/>
      <c r="G1831" s="13"/>
      <c r="H1831" s="13"/>
      <c r="I1831" s="15"/>
      <c r="J1831" s="15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</row>
    <row r="1832" ht="22.5" hidden="1" customHeight="1">
      <c r="A1832" s="6"/>
      <c r="B1832" s="20"/>
      <c r="C1832" s="36"/>
      <c r="D1832" s="13"/>
      <c r="E1832" s="13"/>
      <c r="F1832" s="13"/>
      <c r="G1832" s="13"/>
      <c r="H1832" s="13"/>
      <c r="I1832" s="15"/>
      <c r="J1832" s="15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</row>
    <row r="1833" ht="22.5" hidden="1" customHeight="1">
      <c r="A1833" s="6"/>
      <c r="B1833" s="20"/>
      <c r="C1833" s="36"/>
      <c r="D1833" s="13"/>
      <c r="E1833" s="13"/>
      <c r="F1833" s="13"/>
      <c r="G1833" s="13"/>
      <c r="H1833" s="13"/>
      <c r="I1833" s="15"/>
      <c r="J1833" s="15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</row>
    <row r="1834" ht="22.5" hidden="1" customHeight="1">
      <c r="A1834" s="6"/>
      <c r="B1834" s="20"/>
      <c r="C1834" s="36"/>
      <c r="D1834" s="13"/>
      <c r="E1834" s="13"/>
      <c r="F1834" s="13"/>
      <c r="G1834" s="13"/>
      <c r="H1834" s="13"/>
      <c r="I1834" s="15"/>
      <c r="J1834" s="15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</row>
    <row r="1835" ht="22.5" hidden="1" customHeight="1">
      <c r="A1835" s="6"/>
      <c r="B1835" s="20"/>
      <c r="C1835" s="36"/>
      <c r="D1835" s="13"/>
      <c r="E1835" s="13"/>
      <c r="F1835" s="13"/>
      <c r="G1835" s="13"/>
      <c r="H1835" s="13"/>
      <c r="I1835" s="15"/>
      <c r="J1835" s="15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</row>
    <row r="1836" ht="22.5" hidden="1" customHeight="1">
      <c r="A1836" s="6"/>
      <c r="B1836" s="20"/>
      <c r="C1836" s="36"/>
      <c r="D1836" s="13"/>
      <c r="E1836" s="13"/>
      <c r="F1836" s="13"/>
      <c r="G1836" s="13"/>
      <c r="H1836" s="13"/>
      <c r="I1836" s="15"/>
      <c r="J1836" s="15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</row>
    <row r="1837" ht="22.5" hidden="1" customHeight="1">
      <c r="A1837" s="6"/>
      <c r="B1837" s="20"/>
      <c r="C1837" s="36"/>
      <c r="D1837" s="13"/>
      <c r="E1837" s="13"/>
      <c r="F1837" s="13"/>
      <c r="G1837" s="13"/>
      <c r="H1837" s="13"/>
      <c r="I1837" s="15"/>
      <c r="J1837" s="15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</row>
    <row r="1838" ht="22.5" hidden="1" customHeight="1">
      <c r="A1838" s="6"/>
      <c r="B1838" s="20"/>
      <c r="C1838" s="36"/>
      <c r="D1838" s="13"/>
      <c r="E1838" s="13"/>
      <c r="F1838" s="13"/>
      <c r="G1838" s="13"/>
      <c r="H1838" s="13"/>
      <c r="I1838" s="15"/>
      <c r="J1838" s="15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</row>
    <row r="1839" ht="22.5" hidden="1" customHeight="1">
      <c r="A1839" s="6"/>
      <c r="B1839" s="20"/>
      <c r="C1839" s="36"/>
      <c r="D1839" s="13"/>
      <c r="E1839" s="13"/>
      <c r="F1839" s="13"/>
      <c r="G1839" s="13"/>
      <c r="H1839" s="13"/>
      <c r="I1839" s="15"/>
      <c r="J1839" s="15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</row>
    <row r="1840" ht="22.5" hidden="1" customHeight="1">
      <c r="A1840" s="6"/>
      <c r="B1840" s="20"/>
      <c r="C1840" s="36"/>
      <c r="D1840" s="13"/>
      <c r="E1840" s="13"/>
      <c r="F1840" s="13"/>
      <c r="G1840" s="13"/>
      <c r="H1840" s="13"/>
      <c r="I1840" s="15"/>
      <c r="J1840" s="15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</row>
    <row r="1841" ht="22.5" hidden="1" customHeight="1">
      <c r="A1841" s="6"/>
      <c r="B1841" s="20"/>
      <c r="C1841" s="36"/>
      <c r="D1841" s="13"/>
      <c r="E1841" s="13"/>
      <c r="F1841" s="13"/>
      <c r="G1841" s="13"/>
      <c r="H1841" s="13"/>
      <c r="I1841" s="15"/>
      <c r="J1841" s="15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</row>
    <row r="1842" ht="22.5" hidden="1" customHeight="1">
      <c r="A1842" s="6"/>
      <c r="B1842" s="20"/>
      <c r="C1842" s="36"/>
      <c r="D1842" s="13"/>
      <c r="E1842" s="13"/>
      <c r="F1842" s="13"/>
      <c r="G1842" s="13"/>
      <c r="H1842" s="13"/>
      <c r="I1842" s="15"/>
      <c r="J1842" s="15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</row>
    <row r="1843" ht="22.5" hidden="1" customHeight="1">
      <c r="A1843" s="6"/>
      <c r="B1843" s="20"/>
      <c r="C1843" s="36"/>
      <c r="D1843" s="13"/>
      <c r="E1843" s="13"/>
      <c r="F1843" s="13"/>
      <c r="G1843" s="13"/>
      <c r="H1843" s="13"/>
      <c r="I1843" s="15"/>
      <c r="J1843" s="15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</row>
    <row r="1844" ht="22.5" hidden="1" customHeight="1">
      <c r="A1844" s="6"/>
      <c r="B1844" s="20"/>
      <c r="C1844" s="36"/>
      <c r="D1844" s="13"/>
      <c r="E1844" s="13"/>
      <c r="F1844" s="13"/>
      <c r="G1844" s="13"/>
      <c r="H1844" s="13"/>
      <c r="I1844" s="15"/>
      <c r="J1844" s="15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</row>
    <row r="1845" ht="22.5" hidden="1" customHeight="1">
      <c r="A1845" s="6"/>
      <c r="B1845" s="20"/>
      <c r="C1845" s="36"/>
      <c r="D1845" s="13"/>
      <c r="E1845" s="13"/>
      <c r="F1845" s="13"/>
      <c r="G1845" s="13"/>
      <c r="H1845" s="13"/>
      <c r="I1845" s="15"/>
      <c r="J1845" s="15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</row>
    <row r="1846" ht="22.5" hidden="1" customHeight="1">
      <c r="A1846" s="6"/>
      <c r="B1846" s="20"/>
      <c r="C1846" s="36"/>
      <c r="D1846" s="13"/>
      <c r="E1846" s="13"/>
      <c r="F1846" s="13"/>
      <c r="G1846" s="13"/>
      <c r="H1846" s="13"/>
      <c r="I1846" s="15"/>
      <c r="J1846" s="15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</row>
    <row r="1847" ht="22.5" hidden="1" customHeight="1">
      <c r="A1847" s="6"/>
      <c r="B1847" s="20"/>
      <c r="C1847" s="36"/>
      <c r="D1847" s="13"/>
      <c r="E1847" s="13"/>
      <c r="F1847" s="13"/>
      <c r="G1847" s="13"/>
      <c r="H1847" s="13"/>
      <c r="I1847" s="15"/>
      <c r="J1847" s="15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</row>
    <row r="1848" ht="22.5" hidden="1" customHeight="1">
      <c r="A1848" s="6"/>
      <c r="B1848" s="20"/>
      <c r="C1848" s="36"/>
      <c r="D1848" s="13"/>
      <c r="E1848" s="13"/>
      <c r="F1848" s="13"/>
      <c r="G1848" s="13"/>
      <c r="H1848" s="13"/>
      <c r="I1848" s="15"/>
      <c r="J1848" s="15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</row>
    <row r="1849" ht="22.5" hidden="1" customHeight="1">
      <c r="A1849" s="6"/>
      <c r="B1849" s="20"/>
      <c r="C1849" s="36"/>
      <c r="D1849" s="13"/>
      <c r="E1849" s="13"/>
      <c r="F1849" s="13"/>
      <c r="G1849" s="13"/>
      <c r="H1849" s="13"/>
      <c r="I1849" s="15"/>
      <c r="J1849" s="15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</row>
    <row r="1850" ht="22.5" hidden="1" customHeight="1">
      <c r="A1850" s="6"/>
      <c r="B1850" s="20"/>
      <c r="C1850" s="36"/>
      <c r="D1850" s="13"/>
      <c r="E1850" s="13"/>
      <c r="F1850" s="13"/>
      <c r="G1850" s="13"/>
      <c r="H1850" s="13"/>
      <c r="I1850" s="15"/>
      <c r="J1850" s="15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</row>
    <row r="1851" ht="22.5" hidden="1" customHeight="1">
      <c r="A1851" s="6"/>
      <c r="B1851" s="20"/>
      <c r="C1851" s="36"/>
      <c r="D1851" s="13"/>
      <c r="E1851" s="13"/>
      <c r="F1851" s="13"/>
      <c r="G1851" s="13"/>
      <c r="H1851" s="13"/>
      <c r="I1851" s="15"/>
      <c r="J1851" s="15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</row>
    <row r="1852" ht="22.5" hidden="1" customHeight="1">
      <c r="A1852" s="6"/>
      <c r="B1852" s="20"/>
      <c r="C1852" s="36"/>
      <c r="D1852" s="13"/>
      <c r="E1852" s="13"/>
      <c r="F1852" s="13"/>
      <c r="G1852" s="13"/>
      <c r="H1852" s="13"/>
      <c r="I1852" s="15"/>
      <c r="J1852" s="15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</row>
    <row r="1853" ht="22.5" hidden="1" customHeight="1">
      <c r="A1853" s="6"/>
      <c r="B1853" s="20"/>
      <c r="C1853" s="36"/>
      <c r="D1853" s="13"/>
      <c r="E1853" s="13"/>
      <c r="F1853" s="13"/>
      <c r="G1853" s="13"/>
      <c r="H1853" s="13"/>
      <c r="I1853" s="15"/>
      <c r="J1853" s="15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</row>
    <row r="1854" ht="22.5" hidden="1" customHeight="1">
      <c r="A1854" s="6"/>
      <c r="B1854" s="20"/>
      <c r="C1854" s="36"/>
      <c r="D1854" s="13"/>
      <c r="E1854" s="13"/>
      <c r="F1854" s="13"/>
      <c r="G1854" s="13"/>
      <c r="H1854" s="13"/>
      <c r="I1854" s="15"/>
      <c r="J1854" s="15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</row>
    <row r="1855" ht="22.5" hidden="1" customHeight="1">
      <c r="A1855" s="6"/>
      <c r="B1855" s="20"/>
      <c r="C1855" s="36"/>
      <c r="D1855" s="13"/>
      <c r="E1855" s="13"/>
      <c r="F1855" s="13"/>
      <c r="G1855" s="13"/>
      <c r="H1855" s="13"/>
      <c r="I1855" s="15"/>
      <c r="J1855" s="15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</row>
    <row r="1856" ht="22.5" hidden="1" customHeight="1">
      <c r="A1856" s="6"/>
      <c r="B1856" s="20"/>
      <c r="C1856" s="36"/>
      <c r="D1856" s="13"/>
      <c r="E1856" s="13"/>
      <c r="F1856" s="13"/>
      <c r="G1856" s="13"/>
      <c r="H1856" s="13"/>
      <c r="I1856" s="15"/>
      <c r="J1856" s="15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</row>
    <row r="1857" ht="22.5" hidden="1" customHeight="1">
      <c r="A1857" s="6"/>
      <c r="B1857" s="20"/>
      <c r="C1857" s="36"/>
      <c r="D1857" s="13"/>
      <c r="E1857" s="13"/>
      <c r="F1857" s="13"/>
      <c r="G1857" s="13"/>
      <c r="H1857" s="13"/>
      <c r="I1857" s="15"/>
      <c r="J1857" s="15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</row>
    <row r="1858" ht="22.5" hidden="1" customHeight="1">
      <c r="A1858" s="6"/>
      <c r="B1858" s="20"/>
      <c r="C1858" s="36"/>
      <c r="D1858" s="13"/>
      <c r="E1858" s="13"/>
      <c r="F1858" s="13"/>
      <c r="G1858" s="13"/>
      <c r="H1858" s="13"/>
      <c r="I1858" s="15"/>
      <c r="J1858" s="15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</row>
    <row r="1859" ht="22.5" hidden="1" customHeight="1">
      <c r="A1859" s="6"/>
      <c r="B1859" s="20"/>
      <c r="C1859" s="36"/>
      <c r="D1859" s="13"/>
      <c r="E1859" s="13"/>
      <c r="F1859" s="13"/>
      <c r="G1859" s="13"/>
      <c r="H1859" s="13"/>
      <c r="I1859" s="15"/>
      <c r="J1859" s="15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</row>
    <row r="1860" ht="22.5" hidden="1" customHeight="1">
      <c r="A1860" s="6"/>
      <c r="B1860" s="20"/>
      <c r="C1860" s="36"/>
      <c r="D1860" s="13"/>
      <c r="E1860" s="13"/>
      <c r="F1860" s="13"/>
      <c r="G1860" s="13"/>
      <c r="H1860" s="13"/>
      <c r="I1860" s="15"/>
      <c r="J1860" s="15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</row>
    <row r="1861" ht="22.5" hidden="1" customHeight="1">
      <c r="A1861" s="6"/>
      <c r="B1861" s="20"/>
      <c r="C1861" s="36"/>
      <c r="D1861" s="13"/>
      <c r="E1861" s="13"/>
      <c r="F1861" s="13"/>
      <c r="G1861" s="13"/>
      <c r="H1861" s="13"/>
      <c r="I1861" s="15"/>
      <c r="J1861" s="15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</row>
    <row r="1862" ht="22.5" hidden="1" customHeight="1">
      <c r="A1862" s="6"/>
      <c r="B1862" s="20"/>
      <c r="C1862" s="36"/>
      <c r="D1862" s="13"/>
      <c r="E1862" s="13"/>
      <c r="F1862" s="13"/>
      <c r="G1862" s="13"/>
      <c r="H1862" s="13"/>
      <c r="I1862" s="15"/>
      <c r="J1862" s="15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</row>
    <row r="1863" ht="22.5" hidden="1" customHeight="1">
      <c r="A1863" s="6"/>
      <c r="B1863" s="20"/>
      <c r="C1863" s="36"/>
      <c r="D1863" s="13"/>
      <c r="E1863" s="13"/>
      <c r="F1863" s="13"/>
      <c r="G1863" s="13"/>
      <c r="H1863" s="13"/>
      <c r="I1863" s="15"/>
      <c r="J1863" s="15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</row>
    <row r="1864" ht="22.5" hidden="1" customHeight="1">
      <c r="A1864" s="6"/>
      <c r="B1864" s="20"/>
      <c r="C1864" s="36"/>
      <c r="D1864" s="13"/>
      <c r="E1864" s="13"/>
      <c r="F1864" s="13"/>
      <c r="G1864" s="13"/>
      <c r="H1864" s="13"/>
      <c r="I1864" s="15"/>
      <c r="J1864" s="15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</row>
    <row r="1865" ht="22.5" hidden="1" customHeight="1">
      <c r="A1865" s="6"/>
      <c r="B1865" s="20"/>
      <c r="C1865" s="36"/>
      <c r="D1865" s="13"/>
      <c r="E1865" s="13"/>
      <c r="F1865" s="13"/>
      <c r="G1865" s="13"/>
      <c r="H1865" s="13"/>
      <c r="I1865" s="15"/>
      <c r="J1865" s="15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</row>
    <row r="1866" ht="22.5" hidden="1" customHeight="1">
      <c r="A1866" s="6"/>
      <c r="B1866" s="20"/>
      <c r="C1866" s="36"/>
      <c r="D1866" s="13"/>
      <c r="E1866" s="13"/>
      <c r="F1866" s="13"/>
      <c r="G1866" s="13"/>
      <c r="H1866" s="13"/>
      <c r="I1866" s="15"/>
      <c r="J1866" s="15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</row>
    <row r="1867" ht="22.5" hidden="1" customHeight="1">
      <c r="A1867" s="6"/>
      <c r="B1867" s="20"/>
      <c r="C1867" s="36"/>
      <c r="D1867" s="13"/>
      <c r="E1867" s="13"/>
      <c r="F1867" s="13"/>
      <c r="G1867" s="13"/>
      <c r="H1867" s="13"/>
      <c r="I1867" s="15"/>
      <c r="J1867" s="15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</row>
    <row r="1868" ht="22.5" hidden="1" customHeight="1">
      <c r="A1868" s="6"/>
      <c r="B1868" s="20"/>
      <c r="C1868" s="36"/>
      <c r="D1868" s="13"/>
      <c r="E1868" s="13"/>
      <c r="F1868" s="13"/>
      <c r="G1868" s="13"/>
      <c r="H1868" s="13"/>
      <c r="I1868" s="15"/>
      <c r="J1868" s="15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</row>
    <row r="1869" ht="22.5" hidden="1" customHeight="1">
      <c r="A1869" s="6"/>
      <c r="B1869" s="20"/>
      <c r="C1869" s="36"/>
      <c r="D1869" s="13"/>
      <c r="E1869" s="13"/>
      <c r="F1869" s="13"/>
      <c r="G1869" s="13"/>
      <c r="H1869" s="13"/>
      <c r="I1869" s="15"/>
      <c r="J1869" s="15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</row>
    <row r="1870" ht="22.5" hidden="1" customHeight="1">
      <c r="A1870" s="6"/>
      <c r="B1870" s="20"/>
      <c r="C1870" s="36"/>
      <c r="D1870" s="13"/>
      <c r="E1870" s="13"/>
      <c r="F1870" s="13"/>
      <c r="G1870" s="13"/>
      <c r="H1870" s="13"/>
      <c r="I1870" s="15"/>
      <c r="J1870" s="15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</row>
    <row r="1871" ht="22.5" hidden="1" customHeight="1">
      <c r="A1871" s="6"/>
      <c r="B1871" s="20"/>
      <c r="C1871" s="36"/>
      <c r="D1871" s="13"/>
      <c r="E1871" s="13"/>
      <c r="F1871" s="13"/>
      <c r="G1871" s="13"/>
      <c r="H1871" s="13"/>
      <c r="I1871" s="15"/>
      <c r="J1871" s="15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</row>
    <row r="1872" ht="22.5" hidden="1" customHeight="1">
      <c r="A1872" s="6"/>
      <c r="B1872" s="20"/>
      <c r="C1872" s="36"/>
      <c r="D1872" s="13"/>
      <c r="E1872" s="13"/>
      <c r="F1872" s="13"/>
      <c r="G1872" s="13"/>
      <c r="H1872" s="13"/>
      <c r="I1872" s="15"/>
      <c r="J1872" s="15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</row>
    <row r="1873" ht="22.5" hidden="1" customHeight="1">
      <c r="A1873" s="6"/>
      <c r="B1873" s="20"/>
      <c r="C1873" s="36"/>
      <c r="D1873" s="13"/>
      <c r="E1873" s="13"/>
      <c r="F1873" s="13"/>
      <c r="G1873" s="13"/>
      <c r="H1873" s="13"/>
      <c r="I1873" s="15"/>
      <c r="J1873" s="15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</row>
    <row r="1874" ht="22.5" hidden="1" customHeight="1">
      <c r="A1874" s="6"/>
      <c r="B1874" s="20"/>
      <c r="C1874" s="36"/>
      <c r="D1874" s="13"/>
      <c r="E1874" s="13"/>
      <c r="F1874" s="13"/>
      <c r="G1874" s="13"/>
      <c r="H1874" s="13"/>
      <c r="I1874" s="15"/>
      <c r="J1874" s="15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</row>
    <row r="1875" ht="22.5" hidden="1" customHeight="1">
      <c r="A1875" s="6"/>
      <c r="B1875" s="20"/>
      <c r="C1875" s="36"/>
      <c r="D1875" s="13"/>
      <c r="E1875" s="13"/>
      <c r="F1875" s="13"/>
      <c r="G1875" s="13"/>
      <c r="H1875" s="13"/>
      <c r="I1875" s="15"/>
      <c r="J1875" s="15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</row>
    <row r="1876" ht="22.5" hidden="1" customHeight="1">
      <c r="A1876" s="6"/>
      <c r="B1876" s="20"/>
      <c r="C1876" s="36"/>
      <c r="D1876" s="13"/>
      <c r="E1876" s="13"/>
      <c r="F1876" s="13"/>
      <c r="G1876" s="13"/>
      <c r="H1876" s="13"/>
      <c r="I1876" s="15"/>
      <c r="J1876" s="15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</row>
    <row r="1877" ht="22.5" hidden="1" customHeight="1">
      <c r="A1877" s="6"/>
      <c r="B1877" s="20"/>
      <c r="C1877" s="36"/>
      <c r="D1877" s="13"/>
      <c r="E1877" s="13"/>
      <c r="F1877" s="13"/>
      <c r="G1877" s="13"/>
      <c r="H1877" s="13"/>
      <c r="I1877" s="15"/>
      <c r="J1877" s="15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</row>
    <row r="1878" ht="22.5" hidden="1" customHeight="1">
      <c r="A1878" s="6"/>
      <c r="B1878" s="20"/>
      <c r="C1878" s="36"/>
      <c r="D1878" s="13"/>
      <c r="E1878" s="13"/>
      <c r="F1878" s="13"/>
      <c r="G1878" s="13"/>
      <c r="H1878" s="13"/>
      <c r="I1878" s="15"/>
      <c r="J1878" s="15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</row>
    <row r="1879" ht="22.5" hidden="1" customHeight="1">
      <c r="A1879" s="6"/>
      <c r="B1879" s="20"/>
      <c r="C1879" s="36"/>
      <c r="D1879" s="13"/>
      <c r="E1879" s="13"/>
      <c r="F1879" s="13"/>
      <c r="G1879" s="13"/>
      <c r="H1879" s="13"/>
      <c r="I1879" s="15"/>
      <c r="J1879" s="15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</row>
    <row r="1880" ht="22.5" hidden="1" customHeight="1">
      <c r="A1880" s="6"/>
      <c r="B1880" s="20"/>
      <c r="C1880" s="36"/>
      <c r="D1880" s="13"/>
      <c r="E1880" s="13"/>
      <c r="F1880" s="13"/>
      <c r="G1880" s="13"/>
      <c r="H1880" s="13"/>
      <c r="I1880" s="15"/>
      <c r="J1880" s="15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</row>
    <row r="1881" ht="22.5" hidden="1" customHeight="1">
      <c r="A1881" s="6"/>
      <c r="B1881" s="20"/>
      <c r="C1881" s="36"/>
      <c r="D1881" s="13"/>
      <c r="E1881" s="13"/>
      <c r="F1881" s="13"/>
      <c r="G1881" s="13"/>
      <c r="H1881" s="13"/>
      <c r="I1881" s="15"/>
      <c r="J1881" s="15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</row>
    <row r="1882" ht="22.5" hidden="1" customHeight="1">
      <c r="A1882" s="6"/>
      <c r="B1882" s="20"/>
      <c r="C1882" s="36"/>
      <c r="D1882" s="13"/>
      <c r="E1882" s="13"/>
      <c r="F1882" s="13"/>
      <c r="G1882" s="13"/>
      <c r="H1882" s="13"/>
      <c r="I1882" s="15"/>
      <c r="J1882" s="15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</row>
    <row r="1883" ht="22.5" hidden="1" customHeight="1">
      <c r="A1883" s="6"/>
      <c r="B1883" s="20"/>
      <c r="C1883" s="36"/>
      <c r="D1883" s="13"/>
      <c r="E1883" s="13"/>
      <c r="F1883" s="13"/>
      <c r="G1883" s="13"/>
      <c r="H1883" s="13"/>
      <c r="I1883" s="15"/>
      <c r="J1883" s="15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</row>
    <row r="1884" ht="22.5" hidden="1" customHeight="1">
      <c r="A1884" s="6"/>
      <c r="B1884" s="20"/>
      <c r="C1884" s="36"/>
      <c r="D1884" s="13"/>
      <c r="E1884" s="13"/>
      <c r="F1884" s="13"/>
      <c r="G1884" s="13"/>
      <c r="H1884" s="13"/>
      <c r="I1884" s="15"/>
      <c r="J1884" s="15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</row>
    <row r="1885" ht="22.5" hidden="1" customHeight="1">
      <c r="A1885" s="6"/>
      <c r="B1885" s="20"/>
      <c r="C1885" s="36"/>
      <c r="D1885" s="13"/>
      <c r="E1885" s="13"/>
      <c r="F1885" s="13"/>
      <c r="G1885" s="13"/>
      <c r="H1885" s="13"/>
      <c r="I1885" s="15"/>
      <c r="J1885" s="15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</row>
    <row r="1886" ht="22.5" hidden="1" customHeight="1">
      <c r="A1886" s="6"/>
      <c r="B1886" s="20"/>
      <c r="C1886" s="36"/>
      <c r="D1886" s="13"/>
      <c r="E1886" s="13"/>
      <c r="F1886" s="13"/>
      <c r="G1886" s="13"/>
      <c r="H1886" s="13"/>
      <c r="I1886" s="15"/>
      <c r="J1886" s="15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</row>
    <row r="1887" ht="22.5" hidden="1" customHeight="1">
      <c r="A1887" s="6"/>
      <c r="B1887" s="20"/>
      <c r="C1887" s="36"/>
      <c r="D1887" s="13"/>
      <c r="E1887" s="13"/>
      <c r="F1887" s="13"/>
      <c r="G1887" s="13"/>
      <c r="H1887" s="13"/>
      <c r="I1887" s="15"/>
      <c r="J1887" s="15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</row>
    <row r="1888" ht="22.5" hidden="1" customHeight="1">
      <c r="A1888" s="6"/>
      <c r="B1888" s="20"/>
      <c r="C1888" s="36"/>
      <c r="D1888" s="13"/>
      <c r="E1888" s="13"/>
      <c r="F1888" s="13"/>
      <c r="G1888" s="13"/>
      <c r="H1888" s="13"/>
      <c r="I1888" s="15"/>
      <c r="J1888" s="15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</row>
    <row r="1889" ht="22.5" hidden="1" customHeight="1">
      <c r="A1889" s="6"/>
      <c r="B1889" s="20"/>
      <c r="C1889" s="36"/>
      <c r="D1889" s="13"/>
      <c r="E1889" s="13"/>
      <c r="F1889" s="13"/>
      <c r="G1889" s="13"/>
      <c r="H1889" s="13"/>
      <c r="I1889" s="15"/>
      <c r="J1889" s="15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</row>
    <row r="1890" ht="22.5" hidden="1" customHeight="1">
      <c r="A1890" s="6"/>
      <c r="B1890" s="20"/>
      <c r="C1890" s="36"/>
      <c r="D1890" s="13"/>
      <c r="E1890" s="13"/>
      <c r="F1890" s="13"/>
      <c r="G1890" s="13"/>
      <c r="H1890" s="13"/>
      <c r="I1890" s="15"/>
      <c r="J1890" s="15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</row>
    <row r="1891" ht="22.5" hidden="1" customHeight="1">
      <c r="A1891" s="6"/>
      <c r="B1891" s="20"/>
      <c r="C1891" s="36"/>
      <c r="D1891" s="13"/>
      <c r="E1891" s="13"/>
      <c r="F1891" s="13"/>
      <c r="G1891" s="13"/>
      <c r="H1891" s="13"/>
      <c r="I1891" s="15"/>
      <c r="J1891" s="15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</row>
    <row r="1892" ht="22.5" hidden="1" customHeight="1">
      <c r="A1892" s="6"/>
      <c r="B1892" s="20"/>
      <c r="C1892" s="36"/>
      <c r="D1892" s="13"/>
      <c r="E1892" s="13"/>
      <c r="F1892" s="13"/>
      <c r="G1892" s="13"/>
      <c r="H1892" s="13"/>
      <c r="I1892" s="15"/>
      <c r="J1892" s="15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</row>
    <row r="1893" ht="22.5" hidden="1" customHeight="1">
      <c r="A1893" s="6"/>
      <c r="B1893" s="20"/>
      <c r="C1893" s="36"/>
      <c r="D1893" s="13"/>
      <c r="E1893" s="13"/>
      <c r="F1893" s="13"/>
      <c r="G1893" s="13"/>
      <c r="H1893" s="13"/>
      <c r="I1893" s="15"/>
      <c r="J1893" s="15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</row>
    <row r="1894" ht="22.5" hidden="1" customHeight="1">
      <c r="A1894" s="6"/>
      <c r="B1894" s="20"/>
      <c r="C1894" s="36"/>
      <c r="D1894" s="13"/>
      <c r="E1894" s="13"/>
      <c r="F1894" s="13"/>
      <c r="G1894" s="13"/>
      <c r="H1894" s="13"/>
      <c r="I1894" s="15"/>
      <c r="J1894" s="15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</row>
    <row r="1895" ht="22.5" hidden="1" customHeight="1">
      <c r="A1895" s="6"/>
      <c r="B1895" s="20"/>
      <c r="C1895" s="36"/>
      <c r="D1895" s="13"/>
      <c r="E1895" s="13"/>
      <c r="F1895" s="13"/>
      <c r="G1895" s="13"/>
      <c r="H1895" s="13"/>
      <c r="I1895" s="15"/>
      <c r="J1895" s="15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</row>
    <row r="1896" ht="22.5" hidden="1" customHeight="1">
      <c r="A1896" s="6"/>
      <c r="B1896" s="20"/>
      <c r="C1896" s="36"/>
      <c r="D1896" s="13"/>
      <c r="E1896" s="13"/>
      <c r="F1896" s="13"/>
      <c r="G1896" s="13"/>
      <c r="H1896" s="13"/>
      <c r="I1896" s="15"/>
      <c r="J1896" s="15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</row>
    <row r="1897" ht="22.5" hidden="1" customHeight="1">
      <c r="A1897" s="6"/>
      <c r="B1897" s="20"/>
      <c r="C1897" s="36"/>
      <c r="D1897" s="13"/>
      <c r="E1897" s="13"/>
      <c r="F1897" s="13"/>
      <c r="G1897" s="13"/>
      <c r="H1897" s="13"/>
      <c r="I1897" s="15"/>
      <c r="J1897" s="15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</row>
    <row r="1898" ht="22.5" hidden="1" customHeight="1">
      <c r="A1898" s="6"/>
      <c r="B1898" s="20"/>
      <c r="C1898" s="36"/>
      <c r="D1898" s="13"/>
      <c r="E1898" s="13"/>
      <c r="F1898" s="13"/>
      <c r="G1898" s="13"/>
      <c r="H1898" s="13"/>
      <c r="I1898" s="15"/>
      <c r="J1898" s="15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</row>
    <row r="1899" ht="22.5" hidden="1" customHeight="1">
      <c r="A1899" s="6"/>
      <c r="B1899" s="20"/>
      <c r="C1899" s="36"/>
      <c r="D1899" s="13"/>
      <c r="E1899" s="13"/>
      <c r="F1899" s="13"/>
      <c r="G1899" s="13"/>
      <c r="H1899" s="13"/>
      <c r="I1899" s="15"/>
      <c r="J1899" s="15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</row>
    <row r="1900" ht="22.5" hidden="1" customHeight="1">
      <c r="A1900" s="6"/>
      <c r="B1900" s="20"/>
      <c r="C1900" s="36"/>
      <c r="D1900" s="13"/>
      <c r="E1900" s="13"/>
      <c r="F1900" s="13"/>
      <c r="G1900" s="13"/>
      <c r="H1900" s="13"/>
      <c r="I1900" s="15"/>
      <c r="J1900" s="15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</row>
    <row r="1901" ht="22.5" hidden="1" customHeight="1">
      <c r="A1901" s="6"/>
      <c r="B1901" s="20"/>
      <c r="C1901" s="36"/>
      <c r="D1901" s="13"/>
      <c r="E1901" s="13"/>
      <c r="F1901" s="13"/>
      <c r="G1901" s="13"/>
      <c r="H1901" s="13"/>
      <c r="I1901" s="15"/>
      <c r="J1901" s="15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</row>
    <row r="1902" ht="22.5" hidden="1" customHeight="1">
      <c r="A1902" s="6"/>
      <c r="B1902" s="20"/>
      <c r="C1902" s="36"/>
      <c r="D1902" s="13"/>
      <c r="E1902" s="13"/>
      <c r="F1902" s="13"/>
      <c r="G1902" s="13"/>
      <c r="H1902" s="13"/>
      <c r="I1902" s="15"/>
      <c r="J1902" s="15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</row>
    <row r="1903" ht="22.5" hidden="1" customHeight="1">
      <c r="A1903" s="6"/>
      <c r="B1903" s="20"/>
      <c r="C1903" s="36"/>
      <c r="D1903" s="13"/>
      <c r="E1903" s="13"/>
      <c r="F1903" s="13"/>
      <c r="G1903" s="13"/>
      <c r="H1903" s="13"/>
      <c r="I1903" s="15"/>
      <c r="J1903" s="15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</row>
    <row r="1904" ht="22.5" hidden="1" customHeight="1">
      <c r="A1904" s="6"/>
      <c r="B1904" s="20"/>
      <c r="C1904" s="36"/>
      <c r="D1904" s="13"/>
      <c r="E1904" s="13"/>
      <c r="F1904" s="13"/>
      <c r="G1904" s="13"/>
      <c r="H1904" s="13"/>
      <c r="I1904" s="15"/>
      <c r="J1904" s="15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</row>
    <row r="1905" ht="22.5" hidden="1" customHeight="1">
      <c r="A1905" s="6"/>
      <c r="B1905" s="20"/>
      <c r="C1905" s="36"/>
      <c r="D1905" s="13"/>
      <c r="E1905" s="13"/>
      <c r="F1905" s="13"/>
      <c r="G1905" s="13"/>
      <c r="H1905" s="13"/>
      <c r="I1905" s="15"/>
      <c r="J1905" s="15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</row>
    <row r="1906" ht="22.5" hidden="1" customHeight="1">
      <c r="A1906" s="6"/>
      <c r="B1906" s="20"/>
      <c r="C1906" s="36"/>
      <c r="D1906" s="13"/>
      <c r="E1906" s="13"/>
      <c r="F1906" s="13"/>
      <c r="G1906" s="13"/>
      <c r="H1906" s="13"/>
      <c r="I1906" s="15"/>
      <c r="J1906" s="15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</row>
    <row r="1907" ht="22.5" hidden="1" customHeight="1">
      <c r="A1907" s="6"/>
      <c r="B1907" s="20"/>
      <c r="C1907" s="36"/>
      <c r="D1907" s="13"/>
      <c r="E1907" s="13"/>
      <c r="F1907" s="13"/>
      <c r="G1907" s="13"/>
      <c r="H1907" s="13"/>
      <c r="I1907" s="15"/>
      <c r="J1907" s="15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</row>
    <row r="1908" ht="22.5" hidden="1" customHeight="1">
      <c r="A1908" s="6"/>
      <c r="B1908" s="20"/>
      <c r="C1908" s="36"/>
      <c r="D1908" s="13"/>
      <c r="E1908" s="13"/>
      <c r="F1908" s="13"/>
      <c r="G1908" s="13"/>
      <c r="H1908" s="13"/>
      <c r="I1908" s="15"/>
      <c r="J1908" s="15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</row>
    <row r="1909" ht="22.5" hidden="1" customHeight="1">
      <c r="A1909" s="6"/>
      <c r="B1909" s="20"/>
      <c r="C1909" s="36"/>
      <c r="D1909" s="13"/>
      <c r="E1909" s="13"/>
      <c r="F1909" s="13"/>
      <c r="G1909" s="13"/>
      <c r="H1909" s="13"/>
      <c r="I1909" s="15"/>
      <c r="J1909" s="15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</row>
    <row r="1910" ht="22.5" hidden="1" customHeight="1">
      <c r="A1910" s="6"/>
      <c r="B1910" s="20"/>
      <c r="C1910" s="36"/>
      <c r="D1910" s="13"/>
      <c r="E1910" s="13"/>
      <c r="F1910" s="13"/>
      <c r="G1910" s="13"/>
      <c r="H1910" s="13"/>
      <c r="I1910" s="15"/>
      <c r="J1910" s="15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</row>
    <row r="1911" ht="22.5" hidden="1" customHeight="1">
      <c r="A1911" s="6"/>
      <c r="B1911" s="20"/>
      <c r="C1911" s="36"/>
      <c r="D1911" s="13"/>
      <c r="E1911" s="13"/>
      <c r="F1911" s="13"/>
      <c r="G1911" s="13"/>
      <c r="H1911" s="13"/>
      <c r="I1911" s="15"/>
      <c r="J1911" s="15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</row>
    <row r="1912" ht="22.5" hidden="1" customHeight="1">
      <c r="A1912" s="6"/>
      <c r="B1912" s="20"/>
      <c r="C1912" s="36"/>
      <c r="D1912" s="13"/>
      <c r="E1912" s="13"/>
      <c r="F1912" s="13"/>
      <c r="G1912" s="13"/>
      <c r="H1912" s="13"/>
      <c r="I1912" s="15"/>
      <c r="J1912" s="15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</row>
    <row r="1913" ht="22.5" hidden="1" customHeight="1">
      <c r="A1913" s="6"/>
      <c r="B1913" s="20"/>
      <c r="C1913" s="36"/>
      <c r="D1913" s="13"/>
      <c r="E1913" s="13"/>
      <c r="F1913" s="13"/>
      <c r="G1913" s="13"/>
      <c r="H1913" s="13"/>
      <c r="I1913" s="15"/>
      <c r="J1913" s="15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</row>
    <row r="1914" ht="22.5" hidden="1" customHeight="1">
      <c r="A1914" s="6"/>
      <c r="B1914" s="20"/>
      <c r="C1914" s="36"/>
      <c r="D1914" s="13"/>
      <c r="E1914" s="13"/>
      <c r="F1914" s="13"/>
      <c r="G1914" s="13"/>
      <c r="H1914" s="13"/>
      <c r="I1914" s="15"/>
      <c r="J1914" s="15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</row>
    <row r="1915" ht="22.5" hidden="1" customHeight="1">
      <c r="A1915" s="6"/>
      <c r="B1915" s="20"/>
      <c r="C1915" s="36"/>
      <c r="D1915" s="13"/>
      <c r="E1915" s="13"/>
      <c r="F1915" s="13"/>
      <c r="G1915" s="13"/>
      <c r="H1915" s="13"/>
      <c r="I1915" s="15"/>
      <c r="J1915" s="15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</row>
    <row r="1916" ht="22.5" hidden="1" customHeight="1">
      <c r="A1916" s="6"/>
      <c r="B1916" s="20"/>
      <c r="C1916" s="36"/>
      <c r="D1916" s="13"/>
      <c r="E1916" s="13"/>
      <c r="F1916" s="13"/>
      <c r="G1916" s="13"/>
      <c r="H1916" s="13"/>
      <c r="I1916" s="15"/>
      <c r="J1916" s="15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</row>
    <row r="1917" ht="22.5" hidden="1" customHeight="1">
      <c r="A1917" s="6"/>
      <c r="B1917" s="20"/>
      <c r="C1917" s="36"/>
      <c r="D1917" s="13"/>
      <c r="E1917" s="13"/>
      <c r="F1917" s="13"/>
      <c r="G1917" s="13"/>
      <c r="H1917" s="13"/>
      <c r="I1917" s="15"/>
      <c r="J1917" s="15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</row>
    <row r="1918" ht="22.5" hidden="1" customHeight="1">
      <c r="A1918" s="6"/>
      <c r="B1918" s="20"/>
      <c r="C1918" s="36"/>
      <c r="D1918" s="13"/>
      <c r="E1918" s="13"/>
      <c r="F1918" s="13"/>
      <c r="G1918" s="13"/>
      <c r="H1918" s="13"/>
      <c r="I1918" s="15"/>
      <c r="J1918" s="15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</row>
    <row r="1919" ht="22.5" hidden="1" customHeight="1">
      <c r="A1919" s="6"/>
      <c r="B1919" s="20"/>
      <c r="C1919" s="36"/>
      <c r="D1919" s="13"/>
      <c r="E1919" s="13"/>
      <c r="F1919" s="13"/>
      <c r="G1919" s="13"/>
      <c r="H1919" s="13"/>
      <c r="I1919" s="15"/>
      <c r="J1919" s="15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</row>
    <row r="1920" ht="22.5" hidden="1" customHeight="1">
      <c r="A1920" s="6"/>
      <c r="B1920" s="20"/>
      <c r="C1920" s="36"/>
      <c r="D1920" s="13"/>
      <c r="E1920" s="13"/>
      <c r="F1920" s="13"/>
      <c r="G1920" s="13"/>
      <c r="H1920" s="13"/>
      <c r="I1920" s="15"/>
      <c r="J1920" s="15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</row>
    <row r="1921" ht="22.5" hidden="1" customHeight="1">
      <c r="A1921" s="6"/>
      <c r="B1921" s="20"/>
      <c r="C1921" s="36"/>
      <c r="D1921" s="13"/>
      <c r="E1921" s="13"/>
      <c r="F1921" s="13"/>
      <c r="G1921" s="13"/>
      <c r="H1921" s="13"/>
      <c r="I1921" s="15"/>
      <c r="J1921" s="15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</row>
    <row r="1922" ht="22.5" hidden="1" customHeight="1">
      <c r="A1922" s="6"/>
      <c r="B1922" s="20"/>
      <c r="C1922" s="36"/>
      <c r="D1922" s="13"/>
      <c r="E1922" s="13"/>
      <c r="F1922" s="13"/>
      <c r="G1922" s="13"/>
      <c r="H1922" s="13"/>
      <c r="I1922" s="15"/>
      <c r="J1922" s="15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</row>
    <row r="1923" ht="22.5" hidden="1" customHeight="1">
      <c r="A1923" s="6"/>
      <c r="B1923" s="20"/>
      <c r="C1923" s="36"/>
      <c r="D1923" s="13"/>
      <c r="E1923" s="13"/>
      <c r="F1923" s="13"/>
      <c r="G1923" s="13"/>
      <c r="H1923" s="13"/>
      <c r="I1923" s="15"/>
      <c r="J1923" s="15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</row>
    <row r="1924" ht="22.5" hidden="1" customHeight="1">
      <c r="A1924" s="6"/>
      <c r="B1924" s="20"/>
      <c r="C1924" s="36"/>
      <c r="D1924" s="13"/>
      <c r="E1924" s="13"/>
      <c r="F1924" s="13"/>
      <c r="G1924" s="13"/>
      <c r="H1924" s="13"/>
      <c r="I1924" s="15"/>
      <c r="J1924" s="15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</row>
    <row r="1925" ht="22.5" hidden="1" customHeight="1">
      <c r="A1925" s="6"/>
      <c r="B1925" s="20"/>
      <c r="C1925" s="36"/>
      <c r="D1925" s="13"/>
      <c r="E1925" s="13"/>
      <c r="F1925" s="13"/>
      <c r="G1925" s="13"/>
      <c r="H1925" s="13"/>
      <c r="I1925" s="15"/>
      <c r="J1925" s="15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</row>
    <row r="1926" ht="22.5" hidden="1" customHeight="1">
      <c r="A1926" s="6"/>
      <c r="B1926" s="20"/>
      <c r="C1926" s="36"/>
      <c r="D1926" s="13"/>
      <c r="E1926" s="13"/>
      <c r="F1926" s="13"/>
      <c r="G1926" s="13"/>
      <c r="H1926" s="13"/>
      <c r="I1926" s="15"/>
      <c r="J1926" s="15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</row>
    <row r="1927" ht="22.5" hidden="1" customHeight="1">
      <c r="A1927" s="6"/>
      <c r="B1927" s="20"/>
      <c r="C1927" s="36"/>
      <c r="D1927" s="13"/>
      <c r="E1927" s="13"/>
      <c r="F1927" s="13"/>
      <c r="G1927" s="13"/>
      <c r="H1927" s="13"/>
      <c r="I1927" s="15"/>
      <c r="J1927" s="15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</row>
    <row r="1928" ht="22.5" hidden="1" customHeight="1">
      <c r="A1928" s="6"/>
      <c r="B1928" s="20"/>
      <c r="C1928" s="36"/>
      <c r="D1928" s="13"/>
      <c r="E1928" s="13"/>
      <c r="F1928" s="13"/>
      <c r="G1928" s="13"/>
      <c r="H1928" s="13"/>
      <c r="I1928" s="15"/>
      <c r="J1928" s="15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</row>
    <row r="1929" ht="22.5" hidden="1" customHeight="1">
      <c r="A1929" s="6"/>
      <c r="B1929" s="20"/>
      <c r="C1929" s="36"/>
      <c r="D1929" s="13"/>
      <c r="E1929" s="13"/>
      <c r="F1929" s="13"/>
      <c r="G1929" s="13"/>
      <c r="H1929" s="13"/>
      <c r="I1929" s="15"/>
      <c r="J1929" s="15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</row>
    <row r="1930" ht="22.5" hidden="1" customHeight="1">
      <c r="A1930" s="6"/>
      <c r="B1930" s="20"/>
      <c r="C1930" s="36"/>
      <c r="D1930" s="13"/>
      <c r="E1930" s="13"/>
      <c r="F1930" s="13"/>
      <c r="G1930" s="13"/>
      <c r="H1930" s="13"/>
      <c r="I1930" s="15"/>
      <c r="J1930" s="15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</row>
    <row r="1931" ht="22.5" hidden="1" customHeight="1">
      <c r="A1931" s="6"/>
      <c r="B1931" s="20"/>
      <c r="C1931" s="36"/>
      <c r="D1931" s="13"/>
      <c r="E1931" s="13"/>
      <c r="F1931" s="13"/>
      <c r="G1931" s="13"/>
      <c r="H1931" s="13"/>
      <c r="I1931" s="15"/>
      <c r="J1931" s="15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</row>
    <row r="1932" ht="22.5" hidden="1" customHeight="1">
      <c r="A1932" s="6"/>
      <c r="B1932" s="20"/>
      <c r="C1932" s="36"/>
      <c r="D1932" s="13"/>
      <c r="E1932" s="13"/>
      <c r="F1932" s="13"/>
      <c r="G1932" s="13"/>
      <c r="H1932" s="13"/>
      <c r="I1932" s="15"/>
      <c r="J1932" s="15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</row>
    <row r="1933" ht="22.5" hidden="1" customHeight="1">
      <c r="A1933" s="6"/>
      <c r="B1933" s="20"/>
      <c r="C1933" s="36"/>
      <c r="D1933" s="13"/>
      <c r="E1933" s="13"/>
      <c r="F1933" s="13"/>
      <c r="G1933" s="13"/>
      <c r="H1933" s="13"/>
      <c r="I1933" s="15"/>
      <c r="J1933" s="15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</row>
    <row r="1934" ht="22.5" hidden="1" customHeight="1">
      <c r="A1934" s="6"/>
      <c r="B1934" s="20"/>
      <c r="C1934" s="36"/>
      <c r="D1934" s="13"/>
      <c r="E1934" s="13"/>
      <c r="F1934" s="13"/>
      <c r="G1934" s="13"/>
      <c r="H1934" s="13"/>
      <c r="I1934" s="15"/>
      <c r="J1934" s="15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</row>
    <row r="1935" ht="22.5" hidden="1" customHeight="1">
      <c r="A1935" s="6"/>
      <c r="B1935" s="20"/>
      <c r="C1935" s="36"/>
      <c r="D1935" s="13"/>
      <c r="E1935" s="13"/>
      <c r="F1935" s="13"/>
      <c r="G1935" s="13"/>
      <c r="H1935" s="13"/>
      <c r="I1935" s="15"/>
      <c r="J1935" s="15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</row>
    <row r="1936" ht="22.5" hidden="1" customHeight="1">
      <c r="A1936" s="6"/>
      <c r="B1936" s="20"/>
      <c r="C1936" s="36"/>
      <c r="D1936" s="13"/>
      <c r="E1936" s="13"/>
      <c r="F1936" s="13"/>
      <c r="G1936" s="13"/>
      <c r="H1936" s="13"/>
      <c r="I1936" s="15"/>
      <c r="J1936" s="15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</row>
    <row r="1937" ht="22.5" hidden="1" customHeight="1">
      <c r="A1937" s="6"/>
      <c r="B1937" s="20"/>
      <c r="C1937" s="36"/>
      <c r="D1937" s="13"/>
      <c r="E1937" s="13"/>
      <c r="F1937" s="13"/>
      <c r="G1937" s="13"/>
      <c r="H1937" s="13"/>
      <c r="I1937" s="15"/>
      <c r="J1937" s="15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</row>
    <row r="1938" ht="22.5" hidden="1" customHeight="1">
      <c r="A1938" s="6"/>
      <c r="B1938" s="20"/>
      <c r="C1938" s="36"/>
      <c r="D1938" s="13"/>
      <c r="E1938" s="13"/>
      <c r="F1938" s="13"/>
      <c r="G1938" s="13"/>
      <c r="H1938" s="13"/>
      <c r="I1938" s="15"/>
      <c r="J1938" s="15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</row>
    <row r="1939" ht="22.5" hidden="1" customHeight="1">
      <c r="A1939" s="6"/>
      <c r="B1939" s="20"/>
      <c r="C1939" s="36"/>
      <c r="D1939" s="13"/>
      <c r="E1939" s="13"/>
      <c r="F1939" s="13"/>
      <c r="G1939" s="13"/>
      <c r="H1939" s="13"/>
      <c r="I1939" s="15"/>
      <c r="J1939" s="15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</row>
    <row r="1940" ht="22.5" hidden="1" customHeight="1">
      <c r="A1940" s="6"/>
      <c r="B1940" s="20"/>
      <c r="C1940" s="36"/>
      <c r="D1940" s="13"/>
      <c r="E1940" s="13"/>
      <c r="F1940" s="13"/>
      <c r="G1940" s="13"/>
      <c r="H1940" s="13"/>
      <c r="I1940" s="15"/>
      <c r="J1940" s="15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</row>
    <row r="1941" ht="22.5" hidden="1" customHeight="1">
      <c r="A1941" s="6"/>
      <c r="B1941" s="20"/>
      <c r="C1941" s="36"/>
      <c r="D1941" s="13"/>
      <c r="E1941" s="13"/>
      <c r="F1941" s="13"/>
      <c r="G1941" s="13"/>
      <c r="H1941" s="13"/>
      <c r="I1941" s="15"/>
      <c r="J1941" s="15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</row>
    <row r="1942" ht="22.5" hidden="1" customHeight="1">
      <c r="A1942" s="6"/>
      <c r="B1942" s="20"/>
      <c r="C1942" s="36"/>
      <c r="D1942" s="13"/>
      <c r="E1942" s="13"/>
      <c r="F1942" s="13"/>
      <c r="G1942" s="13"/>
      <c r="H1942" s="13"/>
      <c r="I1942" s="15"/>
      <c r="J1942" s="15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</row>
    <row r="1943" ht="22.5" hidden="1" customHeight="1">
      <c r="A1943" s="6"/>
      <c r="B1943" s="20"/>
      <c r="C1943" s="36"/>
      <c r="D1943" s="13"/>
      <c r="E1943" s="13"/>
      <c r="F1943" s="13"/>
      <c r="G1943" s="13"/>
      <c r="H1943" s="13"/>
      <c r="I1943" s="15"/>
      <c r="J1943" s="15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</row>
    <row r="1944" ht="22.5" hidden="1" customHeight="1">
      <c r="A1944" s="6"/>
      <c r="B1944" s="20"/>
      <c r="C1944" s="36"/>
      <c r="D1944" s="13"/>
      <c r="E1944" s="13"/>
      <c r="F1944" s="13"/>
      <c r="G1944" s="13"/>
      <c r="H1944" s="13"/>
      <c r="I1944" s="15"/>
      <c r="J1944" s="15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</row>
    <row r="1945" ht="22.5" hidden="1" customHeight="1">
      <c r="A1945" s="6"/>
      <c r="B1945" s="20"/>
      <c r="C1945" s="36"/>
      <c r="D1945" s="13"/>
      <c r="E1945" s="13"/>
      <c r="F1945" s="13"/>
      <c r="G1945" s="13"/>
      <c r="H1945" s="13"/>
      <c r="I1945" s="15"/>
      <c r="J1945" s="15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</row>
    <row r="1946" ht="22.5" hidden="1" customHeight="1">
      <c r="A1946" s="6"/>
      <c r="B1946" s="20"/>
      <c r="C1946" s="36"/>
      <c r="D1946" s="13"/>
      <c r="E1946" s="13"/>
      <c r="F1946" s="13"/>
      <c r="G1946" s="13"/>
      <c r="H1946" s="13"/>
      <c r="I1946" s="15"/>
      <c r="J1946" s="15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</row>
    <row r="1947" ht="22.5" hidden="1" customHeight="1">
      <c r="A1947" s="6"/>
      <c r="B1947" s="20"/>
      <c r="C1947" s="36"/>
      <c r="D1947" s="13"/>
      <c r="E1947" s="13"/>
      <c r="F1947" s="13"/>
      <c r="G1947" s="13"/>
      <c r="H1947" s="13"/>
      <c r="I1947" s="15"/>
      <c r="J1947" s="15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</row>
    <row r="1948" ht="22.5" hidden="1" customHeight="1">
      <c r="A1948" s="6"/>
      <c r="B1948" s="20"/>
      <c r="C1948" s="36"/>
      <c r="D1948" s="13"/>
      <c r="E1948" s="13"/>
      <c r="F1948" s="13"/>
      <c r="G1948" s="13"/>
      <c r="H1948" s="13"/>
      <c r="I1948" s="15"/>
      <c r="J1948" s="15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</row>
    <row r="1949" ht="22.5" hidden="1" customHeight="1">
      <c r="A1949" s="6"/>
      <c r="B1949" s="20"/>
      <c r="C1949" s="36"/>
      <c r="D1949" s="13"/>
      <c r="E1949" s="13"/>
      <c r="F1949" s="13"/>
      <c r="G1949" s="13"/>
      <c r="H1949" s="13"/>
      <c r="I1949" s="15"/>
      <c r="J1949" s="15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</row>
    <row r="1950" ht="22.5" hidden="1" customHeight="1">
      <c r="A1950" s="6"/>
      <c r="B1950" s="20"/>
      <c r="C1950" s="36"/>
      <c r="D1950" s="13"/>
      <c r="E1950" s="13"/>
      <c r="F1950" s="13"/>
      <c r="G1950" s="13"/>
      <c r="H1950" s="13"/>
      <c r="I1950" s="15"/>
      <c r="J1950" s="15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</row>
    <row r="1951" ht="22.5" hidden="1" customHeight="1">
      <c r="A1951" s="6"/>
      <c r="B1951" s="20"/>
      <c r="C1951" s="36"/>
      <c r="D1951" s="13"/>
      <c r="E1951" s="13"/>
      <c r="F1951" s="13"/>
      <c r="G1951" s="13"/>
      <c r="H1951" s="13"/>
      <c r="I1951" s="15"/>
      <c r="J1951" s="15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</row>
    <row r="1952" ht="22.5" hidden="1" customHeight="1">
      <c r="A1952" s="6"/>
      <c r="B1952" s="20"/>
      <c r="C1952" s="36"/>
      <c r="D1952" s="13"/>
      <c r="E1952" s="13"/>
      <c r="F1952" s="13"/>
      <c r="G1952" s="13"/>
      <c r="H1952" s="13"/>
      <c r="I1952" s="15"/>
      <c r="J1952" s="15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</row>
    <row r="1953" ht="22.5" hidden="1" customHeight="1">
      <c r="A1953" s="6"/>
      <c r="B1953" s="20"/>
      <c r="C1953" s="36"/>
      <c r="D1953" s="13"/>
      <c r="E1953" s="13"/>
      <c r="F1953" s="13"/>
      <c r="G1953" s="13"/>
      <c r="H1953" s="13"/>
      <c r="I1953" s="15"/>
      <c r="J1953" s="15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</row>
    <row r="1954" ht="22.5" hidden="1" customHeight="1">
      <c r="A1954" s="6"/>
      <c r="B1954" s="20"/>
      <c r="C1954" s="36"/>
      <c r="D1954" s="13"/>
      <c r="E1954" s="13"/>
      <c r="F1954" s="13"/>
      <c r="G1954" s="13"/>
      <c r="H1954" s="13"/>
      <c r="I1954" s="15"/>
      <c r="J1954" s="15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</row>
    <row r="1955" ht="22.5" hidden="1" customHeight="1">
      <c r="A1955" s="6"/>
      <c r="B1955" s="20"/>
      <c r="C1955" s="36"/>
      <c r="D1955" s="13"/>
      <c r="E1955" s="13"/>
      <c r="F1955" s="13"/>
      <c r="G1955" s="13"/>
      <c r="H1955" s="13"/>
      <c r="I1955" s="15"/>
      <c r="J1955" s="15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</row>
    <row r="1956" ht="22.5" hidden="1" customHeight="1">
      <c r="A1956" s="6"/>
      <c r="B1956" s="20"/>
      <c r="C1956" s="36"/>
      <c r="D1956" s="13"/>
      <c r="E1956" s="13"/>
      <c r="F1956" s="13"/>
      <c r="G1956" s="13"/>
      <c r="H1956" s="13"/>
      <c r="I1956" s="15"/>
      <c r="J1956" s="15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</row>
    <row r="1957" ht="22.5" hidden="1" customHeight="1">
      <c r="A1957" s="6"/>
      <c r="B1957" s="20"/>
      <c r="C1957" s="36"/>
      <c r="D1957" s="13"/>
      <c r="E1957" s="13"/>
      <c r="F1957" s="13"/>
      <c r="G1957" s="13"/>
      <c r="H1957" s="13"/>
      <c r="I1957" s="15"/>
      <c r="J1957" s="15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</row>
    <row r="1958" ht="22.5" hidden="1" customHeight="1">
      <c r="A1958" s="6"/>
      <c r="B1958" s="20"/>
      <c r="C1958" s="36"/>
      <c r="D1958" s="13"/>
      <c r="E1958" s="13"/>
      <c r="F1958" s="13"/>
      <c r="G1958" s="13"/>
      <c r="H1958" s="13"/>
      <c r="I1958" s="15"/>
      <c r="J1958" s="15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</row>
    <row r="1959" ht="22.5" hidden="1" customHeight="1">
      <c r="A1959" s="6"/>
      <c r="B1959" s="20"/>
      <c r="C1959" s="36"/>
      <c r="D1959" s="13"/>
      <c r="E1959" s="13"/>
      <c r="F1959" s="13"/>
      <c r="G1959" s="13"/>
      <c r="H1959" s="13"/>
      <c r="I1959" s="15"/>
      <c r="J1959" s="15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</row>
    <row r="1960" ht="22.5" hidden="1" customHeight="1">
      <c r="A1960" s="6"/>
      <c r="B1960" s="20"/>
      <c r="C1960" s="36"/>
      <c r="D1960" s="13"/>
      <c r="E1960" s="13"/>
      <c r="F1960" s="13"/>
      <c r="G1960" s="13"/>
      <c r="H1960" s="13"/>
      <c r="I1960" s="15"/>
      <c r="J1960" s="15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</row>
    <row r="1961" ht="22.5" hidden="1" customHeight="1">
      <c r="A1961" s="6"/>
      <c r="B1961" s="20"/>
      <c r="C1961" s="36"/>
      <c r="D1961" s="13"/>
      <c r="E1961" s="13"/>
      <c r="F1961" s="13"/>
      <c r="G1961" s="13"/>
      <c r="H1961" s="13"/>
      <c r="I1961" s="15"/>
      <c r="J1961" s="15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</row>
    <row r="1962" ht="22.5" hidden="1" customHeight="1">
      <c r="A1962" s="6"/>
      <c r="B1962" s="20"/>
      <c r="C1962" s="36"/>
      <c r="D1962" s="13"/>
      <c r="E1962" s="13"/>
      <c r="F1962" s="13"/>
      <c r="G1962" s="13"/>
      <c r="H1962" s="13"/>
      <c r="I1962" s="15"/>
      <c r="J1962" s="15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</row>
    <row r="1963" ht="22.5" hidden="1" customHeight="1">
      <c r="A1963" s="6"/>
      <c r="B1963" s="20"/>
      <c r="C1963" s="36"/>
      <c r="D1963" s="13"/>
      <c r="E1963" s="13"/>
      <c r="F1963" s="13"/>
      <c r="G1963" s="13"/>
      <c r="H1963" s="13"/>
      <c r="I1963" s="15"/>
      <c r="J1963" s="15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</row>
    <row r="1964" ht="22.5" hidden="1" customHeight="1">
      <c r="A1964" s="6"/>
      <c r="B1964" s="20"/>
      <c r="C1964" s="36"/>
      <c r="D1964" s="13"/>
      <c r="E1964" s="13"/>
      <c r="F1964" s="13"/>
      <c r="G1964" s="13"/>
      <c r="H1964" s="13"/>
      <c r="I1964" s="15"/>
      <c r="J1964" s="15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</row>
    <row r="1965" ht="22.5" hidden="1" customHeight="1">
      <c r="A1965" s="6"/>
      <c r="B1965" s="20"/>
      <c r="C1965" s="36"/>
      <c r="D1965" s="13"/>
      <c r="E1965" s="13"/>
      <c r="F1965" s="13"/>
      <c r="G1965" s="13"/>
      <c r="H1965" s="13"/>
      <c r="I1965" s="15"/>
      <c r="J1965" s="15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</row>
    <row r="1966" ht="22.5" hidden="1" customHeight="1">
      <c r="A1966" s="6"/>
      <c r="B1966" s="20"/>
      <c r="C1966" s="36"/>
      <c r="D1966" s="13"/>
      <c r="E1966" s="13"/>
      <c r="F1966" s="13"/>
      <c r="G1966" s="13"/>
      <c r="H1966" s="13"/>
      <c r="I1966" s="15"/>
      <c r="J1966" s="15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</row>
    <row r="1967" ht="22.5" hidden="1" customHeight="1">
      <c r="A1967" s="6"/>
      <c r="B1967" s="20"/>
      <c r="C1967" s="36"/>
      <c r="D1967" s="13"/>
      <c r="E1967" s="13"/>
      <c r="F1967" s="13"/>
      <c r="G1967" s="13"/>
      <c r="H1967" s="13"/>
      <c r="I1967" s="15"/>
      <c r="J1967" s="15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</row>
    <row r="1968" ht="22.5" hidden="1" customHeight="1">
      <c r="A1968" s="6"/>
      <c r="B1968" s="20"/>
      <c r="C1968" s="36"/>
      <c r="D1968" s="13"/>
      <c r="E1968" s="13"/>
      <c r="F1968" s="13"/>
      <c r="G1968" s="13"/>
      <c r="H1968" s="13"/>
      <c r="I1968" s="15"/>
      <c r="J1968" s="15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</row>
    <row r="1969" ht="22.5" hidden="1" customHeight="1">
      <c r="A1969" s="6"/>
      <c r="B1969" s="20"/>
      <c r="C1969" s="36"/>
      <c r="D1969" s="13"/>
      <c r="E1969" s="13"/>
      <c r="F1969" s="13"/>
      <c r="G1969" s="13"/>
      <c r="H1969" s="13"/>
      <c r="I1969" s="15"/>
      <c r="J1969" s="15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</row>
    <row r="1970" ht="22.5" hidden="1" customHeight="1">
      <c r="A1970" s="6"/>
      <c r="B1970" s="20"/>
      <c r="C1970" s="36"/>
      <c r="D1970" s="13"/>
      <c r="E1970" s="13"/>
      <c r="F1970" s="13"/>
      <c r="G1970" s="13"/>
      <c r="H1970" s="13"/>
      <c r="I1970" s="15"/>
      <c r="J1970" s="15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</row>
    <row r="1971" ht="22.5" hidden="1" customHeight="1">
      <c r="A1971" s="6"/>
      <c r="B1971" s="20"/>
      <c r="C1971" s="36"/>
      <c r="D1971" s="13"/>
      <c r="E1971" s="13"/>
      <c r="F1971" s="13"/>
      <c r="G1971" s="13"/>
      <c r="H1971" s="13"/>
      <c r="I1971" s="15"/>
      <c r="J1971" s="15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</row>
    <row r="1972" ht="22.5" hidden="1" customHeight="1">
      <c r="A1972" s="6"/>
      <c r="B1972" s="20"/>
      <c r="C1972" s="36"/>
      <c r="D1972" s="13"/>
      <c r="E1972" s="13"/>
      <c r="F1972" s="13"/>
      <c r="G1972" s="13"/>
      <c r="H1972" s="13"/>
      <c r="I1972" s="15"/>
      <c r="J1972" s="15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</row>
    <row r="1973" ht="22.5" hidden="1" customHeight="1">
      <c r="A1973" s="6"/>
      <c r="B1973" s="20"/>
      <c r="C1973" s="36"/>
      <c r="D1973" s="13"/>
      <c r="E1973" s="13"/>
      <c r="F1973" s="13"/>
      <c r="G1973" s="13"/>
      <c r="H1973" s="13"/>
      <c r="I1973" s="15"/>
      <c r="J1973" s="15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</row>
    <row r="1974" ht="22.5" hidden="1" customHeight="1">
      <c r="A1974" s="6"/>
      <c r="B1974" s="20"/>
      <c r="C1974" s="36"/>
      <c r="D1974" s="13"/>
      <c r="E1974" s="13"/>
      <c r="F1974" s="13"/>
      <c r="G1974" s="13"/>
      <c r="H1974" s="13"/>
      <c r="I1974" s="15"/>
      <c r="J1974" s="15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</row>
    <row r="1975" ht="22.5" hidden="1" customHeight="1">
      <c r="A1975" s="6"/>
      <c r="B1975" s="20"/>
      <c r="C1975" s="36"/>
      <c r="D1975" s="13"/>
      <c r="E1975" s="13"/>
      <c r="F1975" s="13"/>
      <c r="G1975" s="13"/>
      <c r="H1975" s="13"/>
      <c r="I1975" s="15"/>
      <c r="J1975" s="15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</row>
    <row r="1976" ht="22.5" hidden="1" customHeight="1">
      <c r="A1976" s="6"/>
      <c r="B1976" s="20"/>
      <c r="C1976" s="36"/>
      <c r="D1976" s="13"/>
      <c r="E1976" s="13"/>
      <c r="F1976" s="13"/>
      <c r="G1976" s="13"/>
      <c r="H1976" s="13"/>
      <c r="I1976" s="15"/>
      <c r="J1976" s="15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</row>
    <row r="1977" ht="22.5" hidden="1" customHeight="1">
      <c r="A1977" s="6"/>
      <c r="B1977" s="20"/>
      <c r="C1977" s="36"/>
      <c r="D1977" s="13"/>
      <c r="E1977" s="13"/>
      <c r="F1977" s="13"/>
      <c r="G1977" s="13"/>
      <c r="H1977" s="13"/>
      <c r="I1977" s="15"/>
      <c r="J1977" s="15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</row>
    <row r="1978" ht="22.5" hidden="1" customHeight="1">
      <c r="A1978" s="6"/>
      <c r="B1978" s="20"/>
      <c r="C1978" s="36"/>
      <c r="D1978" s="13"/>
      <c r="E1978" s="13"/>
      <c r="F1978" s="13"/>
      <c r="G1978" s="13"/>
      <c r="H1978" s="13"/>
      <c r="I1978" s="15"/>
      <c r="J1978" s="15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</row>
    <row r="1979" ht="22.5" hidden="1" customHeight="1">
      <c r="A1979" s="6"/>
      <c r="B1979" s="20"/>
      <c r="C1979" s="36"/>
      <c r="D1979" s="13"/>
      <c r="E1979" s="13"/>
      <c r="F1979" s="13"/>
      <c r="G1979" s="13"/>
      <c r="H1979" s="13"/>
      <c r="I1979" s="15"/>
      <c r="J1979" s="15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</row>
    <row r="1980" ht="22.5" hidden="1" customHeight="1">
      <c r="A1980" s="6"/>
      <c r="B1980" s="20"/>
      <c r="C1980" s="36"/>
      <c r="D1980" s="13"/>
      <c r="E1980" s="13"/>
      <c r="F1980" s="13"/>
      <c r="G1980" s="13"/>
      <c r="H1980" s="13"/>
      <c r="I1980" s="15"/>
      <c r="J1980" s="15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</row>
    <row r="1981" ht="22.5" hidden="1" customHeight="1">
      <c r="A1981" s="6"/>
      <c r="B1981" s="20"/>
      <c r="C1981" s="36"/>
      <c r="D1981" s="13"/>
      <c r="E1981" s="13"/>
      <c r="F1981" s="13"/>
      <c r="G1981" s="13"/>
      <c r="H1981" s="13"/>
      <c r="I1981" s="15"/>
      <c r="J1981" s="15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</row>
    <row r="1982" ht="22.5" hidden="1" customHeight="1">
      <c r="A1982" s="6"/>
      <c r="B1982" s="20"/>
      <c r="C1982" s="36"/>
      <c r="D1982" s="13"/>
      <c r="E1982" s="13"/>
      <c r="F1982" s="13"/>
      <c r="G1982" s="13"/>
      <c r="H1982" s="13"/>
      <c r="I1982" s="15"/>
      <c r="J1982" s="15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</row>
    <row r="1983" ht="22.5" hidden="1" customHeight="1">
      <c r="A1983" s="6"/>
      <c r="B1983" s="20"/>
      <c r="C1983" s="36"/>
      <c r="D1983" s="13"/>
      <c r="E1983" s="13"/>
      <c r="F1983" s="13"/>
      <c r="G1983" s="13"/>
      <c r="H1983" s="13"/>
      <c r="I1983" s="15"/>
      <c r="J1983" s="15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</row>
    <row r="1984" ht="22.5" hidden="1" customHeight="1">
      <c r="A1984" s="6"/>
      <c r="B1984" s="20"/>
      <c r="C1984" s="36"/>
      <c r="D1984" s="13"/>
      <c r="E1984" s="13"/>
      <c r="F1984" s="13"/>
      <c r="G1984" s="13"/>
      <c r="H1984" s="13"/>
      <c r="I1984" s="15"/>
      <c r="J1984" s="15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</row>
    <row r="1985" ht="22.5" hidden="1" customHeight="1">
      <c r="A1985" s="6"/>
      <c r="B1985" s="20"/>
      <c r="C1985" s="36"/>
      <c r="D1985" s="13"/>
      <c r="E1985" s="13"/>
      <c r="F1985" s="13"/>
      <c r="G1985" s="13"/>
      <c r="H1985" s="13"/>
      <c r="I1985" s="15"/>
      <c r="J1985" s="15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</row>
    <row r="1986" ht="22.5" hidden="1" customHeight="1">
      <c r="A1986" s="6"/>
      <c r="B1986" s="20"/>
      <c r="C1986" s="36"/>
      <c r="D1986" s="13"/>
      <c r="E1986" s="13"/>
      <c r="F1986" s="13"/>
      <c r="G1986" s="13"/>
      <c r="H1986" s="13"/>
      <c r="I1986" s="15"/>
      <c r="J1986" s="15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</row>
    <row r="1987" ht="22.5" hidden="1" customHeight="1">
      <c r="A1987" s="6"/>
      <c r="B1987" s="20"/>
      <c r="C1987" s="36"/>
      <c r="D1987" s="13"/>
      <c r="E1987" s="13"/>
      <c r="F1987" s="13"/>
      <c r="G1987" s="13"/>
      <c r="H1987" s="13"/>
      <c r="I1987" s="15"/>
      <c r="J1987" s="15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</row>
    <row r="1988" ht="22.5" hidden="1" customHeight="1">
      <c r="A1988" s="6"/>
      <c r="B1988" s="20"/>
      <c r="C1988" s="36"/>
      <c r="D1988" s="13"/>
      <c r="E1988" s="13"/>
      <c r="F1988" s="13"/>
      <c r="G1988" s="13"/>
      <c r="H1988" s="13"/>
      <c r="I1988" s="15"/>
      <c r="J1988" s="15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</row>
    <row r="1989" ht="22.5" hidden="1" customHeight="1">
      <c r="A1989" s="6"/>
      <c r="B1989" s="20"/>
      <c r="C1989" s="36"/>
      <c r="D1989" s="13"/>
      <c r="E1989" s="13"/>
      <c r="F1989" s="13"/>
      <c r="G1989" s="13"/>
      <c r="H1989" s="13"/>
      <c r="I1989" s="15"/>
      <c r="J1989" s="15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</row>
    <row r="1990" ht="22.5" hidden="1" customHeight="1">
      <c r="A1990" s="6"/>
      <c r="B1990" s="20"/>
      <c r="C1990" s="36"/>
      <c r="D1990" s="13"/>
      <c r="E1990" s="13"/>
      <c r="F1990" s="13"/>
      <c r="G1990" s="13"/>
      <c r="H1990" s="13"/>
      <c r="I1990" s="15"/>
      <c r="J1990" s="15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</row>
    <row r="1991" ht="22.5" hidden="1" customHeight="1">
      <c r="A1991" s="6"/>
      <c r="B1991" s="20"/>
      <c r="C1991" s="36"/>
      <c r="D1991" s="13"/>
      <c r="E1991" s="13"/>
      <c r="F1991" s="13"/>
      <c r="G1991" s="13"/>
      <c r="H1991" s="13"/>
      <c r="I1991" s="15"/>
      <c r="J1991" s="15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</row>
    <row r="1992" ht="22.5" hidden="1" customHeight="1">
      <c r="A1992" s="6"/>
      <c r="B1992" s="20"/>
      <c r="C1992" s="36"/>
      <c r="D1992" s="13"/>
      <c r="E1992" s="13"/>
      <c r="F1992" s="13"/>
      <c r="G1992" s="13"/>
      <c r="H1992" s="13"/>
      <c r="I1992" s="15"/>
      <c r="J1992" s="15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</row>
    <row r="1993" ht="22.5" hidden="1" customHeight="1">
      <c r="A1993" s="6"/>
      <c r="B1993" s="20"/>
      <c r="C1993" s="36"/>
      <c r="D1993" s="13"/>
      <c r="E1993" s="13"/>
      <c r="F1993" s="13"/>
      <c r="G1993" s="13"/>
      <c r="H1993" s="13"/>
      <c r="I1993" s="15"/>
      <c r="J1993" s="15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</row>
    <row r="1994" ht="22.5" hidden="1" customHeight="1">
      <c r="A1994" s="6"/>
      <c r="B1994" s="20"/>
      <c r="C1994" s="36"/>
      <c r="D1994" s="13"/>
      <c r="E1994" s="13"/>
      <c r="F1994" s="13"/>
      <c r="G1994" s="13"/>
      <c r="H1994" s="13"/>
      <c r="I1994" s="15"/>
      <c r="J1994" s="15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</row>
    <row r="1995" ht="22.5" hidden="1" customHeight="1">
      <c r="A1995" s="6"/>
      <c r="B1995" s="20"/>
      <c r="C1995" s="36"/>
      <c r="D1995" s="13"/>
      <c r="E1995" s="13"/>
      <c r="F1995" s="13"/>
      <c r="G1995" s="13"/>
      <c r="H1995" s="13"/>
      <c r="I1995" s="15"/>
      <c r="J1995" s="15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</row>
    <row r="1996" ht="22.5" hidden="1" customHeight="1">
      <c r="A1996" s="6"/>
      <c r="B1996" s="20"/>
      <c r="C1996" s="36"/>
      <c r="D1996" s="13"/>
      <c r="E1996" s="13"/>
      <c r="F1996" s="13"/>
      <c r="G1996" s="13"/>
      <c r="H1996" s="13"/>
      <c r="I1996" s="15"/>
      <c r="J1996" s="15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</row>
    <row r="1997" ht="22.5" hidden="1" customHeight="1">
      <c r="A1997" s="6"/>
      <c r="B1997" s="20"/>
      <c r="C1997" s="36"/>
      <c r="D1997" s="13"/>
      <c r="E1997" s="13"/>
      <c r="F1997" s="13"/>
      <c r="G1997" s="13"/>
      <c r="H1997" s="13"/>
      <c r="I1997" s="15"/>
      <c r="J1997" s="15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</row>
    <row r="1998" ht="22.5" hidden="1" customHeight="1">
      <c r="A1998" s="6"/>
      <c r="B1998" s="20"/>
      <c r="C1998" s="36"/>
      <c r="D1998" s="13"/>
      <c r="E1998" s="13"/>
      <c r="F1998" s="13"/>
      <c r="G1998" s="13"/>
      <c r="H1998" s="13"/>
      <c r="I1998" s="15"/>
      <c r="J1998" s="15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</row>
    <row r="1999" ht="22.5" hidden="1" customHeight="1">
      <c r="A1999" s="6"/>
      <c r="B1999" s="20"/>
      <c r="C1999" s="36"/>
      <c r="D1999" s="13"/>
      <c r="E1999" s="13"/>
      <c r="F1999" s="13"/>
      <c r="G1999" s="13"/>
      <c r="H1999" s="13"/>
      <c r="I1999" s="15"/>
      <c r="J1999" s="15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</row>
    <row r="2000" ht="22.5" hidden="1" customHeight="1">
      <c r="A2000" s="6"/>
      <c r="B2000" s="20"/>
      <c r="C2000" s="36"/>
      <c r="D2000" s="13"/>
      <c r="E2000" s="13"/>
      <c r="F2000" s="13"/>
      <c r="G2000" s="13"/>
      <c r="H2000" s="13"/>
      <c r="I2000" s="15"/>
      <c r="J2000" s="15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</row>
    <row r="2001" ht="22.5" hidden="1" customHeight="1">
      <c r="A2001" s="6"/>
      <c r="B2001" s="20"/>
      <c r="C2001" s="36"/>
      <c r="D2001" s="13"/>
      <c r="E2001" s="13"/>
      <c r="F2001" s="13"/>
      <c r="G2001" s="13"/>
      <c r="H2001" s="13"/>
      <c r="I2001" s="15"/>
      <c r="J2001" s="15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</row>
    <row r="2002" ht="22.5" hidden="1" customHeight="1">
      <c r="A2002" s="6"/>
      <c r="B2002" s="20"/>
      <c r="C2002" s="36"/>
      <c r="D2002" s="13"/>
      <c r="E2002" s="13"/>
      <c r="F2002" s="13"/>
      <c r="G2002" s="13"/>
      <c r="H2002" s="13"/>
      <c r="I2002" s="15"/>
      <c r="J2002" s="15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</row>
    <row r="2003" ht="22.5" hidden="1" customHeight="1">
      <c r="A2003" s="6"/>
      <c r="B2003" s="20"/>
      <c r="C2003" s="36"/>
      <c r="D2003" s="13"/>
      <c r="E2003" s="13"/>
      <c r="F2003" s="13"/>
      <c r="G2003" s="13"/>
      <c r="H2003" s="13"/>
      <c r="I2003" s="15"/>
      <c r="J2003" s="15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</row>
    <row r="2004" ht="22.5" hidden="1" customHeight="1">
      <c r="A2004" s="6"/>
      <c r="B2004" s="20"/>
      <c r="C2004" s="36"/>
      <c r="D2004" s="13"/>
      <c r="E2004" s="13"/>
      <c r="F2004" s="13"/>
      <c r="G2004" s="13"/>
      <c r="H2004" s="13"/>
      <c r="I2004" s="15"/>
      <c r="J2004" s="15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</row>
    <row r="2005" ht="22.5" hidden="1" customHeight="1">
      <c r="A2005" s="6"/>
      <c r="B2005" s="20"/>
      <c r="C2005" s="36"/>
      <c r="D2005" s="13"/>
      <c r="E2005" s="13"/>
      <c r="F2005" s="13"/>
      <c r="G2005" s="13"/>
      <c r="H2005" s="13"/>
      <c r="I2005" s="15"/>
      <c r="J2005" s="15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</row>
    <row r="2006" ht="22.5" hidden="1" customHeight="1">
      <c r="A2006" s="6"/>
      <c r="B2006" s="20"/>
      <c r="C2006" s="36"/>
      <c r="D2006" s="13"/>
      <c r="E2006" s="13"/>
      <c r="F2006" s="13"/>
      <c r="G2006" s="13"/>
      <c r="H2006" s="13"/>
      <c r="I2006" s="15"/>
      <c r="J2006" s="15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</row>
    <row r="2007" ht="22.5" hidden="1" customHeight="1">
      <c r="A2007" s="6"/>
      <c r="B2007" s="20"/>
      <c r="C2007" s="36"/>
      <c r="D2007" s="13"/>
      <c r="E2007" s="13"/>
      <c r="F2007" s="13"/>
      <c r="G2007" s="13"/>
      <c r="H2007" s="13"/>
      <c r="I2007" s="15"/>
      <c r="J2007" s="15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</row>
    <row r="2008" ht="22.5" hidden="1" customHeight="1">
      <c r="A2008" s="6"/>
      <c r="B2008" s="20"/>
      <c r="C2008" s="36"/>
      <c r="D2008" s="13"/>
      <c r="E2008" s="13"/>
      <c r="F2008" s="13"/>
      <c r="G2008" s="13"/>
      <c r="H2008" s="13"/>
      <c r="I2008" s="15"/>
      <c r="J2008" s="15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</row>
    <row r="2009" ht="22.5" hidden="1" customHeight="1">
      <c r="A2009" s="6"/>
      <c r="B2009" s="20"/>
      <c r="C2009" s="36"/>
      <c r="D2009" s="13"/>
      <c r="E2009" s="13"/>
      <c r="F2009" s="13"/>
      <c r="G2009" s="13"/>
      <c r="H2009" s="13"/>
      <c r="I2009" s="15"/>
      <c r="J2009" s="15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</row>
    <row r="2010" ht="22.5" hidden="1" customHeight="1">
      <c r="A2010" s="6"/>
      <c r="B2010" s="20"/>
      <c r="C2010" s="36"/>
      <c r="D2010" s="13"/>
      <c r="E2010" s="13"/>
      <c r="F2010" s="13"/>
      <c r="G2010" s="13"/>
      <c r="H2010" s="13"/>
      <c r="I2010" s="15"/>
      <c r="J2010" s="15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</row>
    <row r="2011" ht="22.5" hidden="1" customHeight="1">
      <c r="A2011" s="6"/>
      <c r="B2011" s="20"/>
      <c r="C2011" s="36"/>
      <c r="D2011" s="13"/>
      <c r="E2011" s="13"/>
      <c r="F2011" s="13"/>
      <c r="G2011" s="13"/>
      <c r="H2011" s="13"/>
      <c r="I2011" s="15"/>
      <c r="J2011" s="15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</row>
    <row r="2012" ht="22.5" hidden="1" customHeight="1">
      <c r="A2012" s="6"/>
      <c r="B2012" s="20"/>
      <c r="C2012" s="36"/>
      <c r="D2012" s="13"/>
      <c r="E2012" s="13"/>
      <c r="F2012" s="13"/>
      <c r="G2012" s="13"/>
      <c r="H2012" s="13"/>
      <c r="I2012" s="15"/>
      <c r="J2012" s="15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</row>
    <row r="2013" ht="22.5" hidden="1" customHeight="1">
      <c r="A2013" s="6"/>
      <c r="B2013" s="20"/>
      <c r="C2013" s="36"/>
      <c r="D2013" s="13"/>
      <c r="E2013" s="13"/>
      <c r="F2013" s="13"/>
      <c r="G2013" s="13"/>
      <c r="H2013" s="13"/>
      <c r="I2013" s="15"/>
      <c r="J2013" s="15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</row>
    <row r="2014" ht="22.5" hidden="1" customHeight="1">
      <c r="A2014" s="6"/>
      <c r="B2014" s="20"/>
      <c r="C2014" s="36"/>
      <c r="D2014" s="13"/>
      <c r="E2014" s="13"/>
      <c r="F2014" s="13"/>
      <c r="G2014" s="13"/>
      <c r="H2014" s="13"/>
      <c r="I2014" s="15"/>
      <c r="J2014" s="15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</row>
    <row r="2015" ht="22.5" hidden="1" customHeight="1">
      <c r="A2015" s="6"/>
      <c r="B2015" s="20"/>
      <c r="C2015" s="36"/>
      <c r="D2015" s="13"/>
      <c r="E2015" s="13"/>
      <c r="F2015" s="13"/>
      <c r="G2015" s="13"/>
      <c r="H2015" s="13"/>
      <c r="I2015" s="15"/>
      <c r="J2015" s="15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</row>
    <row r="2016" ht="22.5" hidden="1" customHeight="1">
      <c r="A2016" s="6"/>
      <c r="B2016" s="20"/>
      <c r="C2016" s="36"/>
      <c r="D2016" s="13"/>
      <c r="E2016" s="13"/>
      <c r="F2016" s="13"/>
      <c r="G2016" s="13"/>
      <c r="H2016" s="13"/>
      <c r="I2016" s="15"/>
      <c r="J2016" s="15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</row>
    <row r="2017" ht="22.5" hidden="1" customHeight="1">
      <c r="A2017" s="6"/>
      <c r="B2017" s="20"/>
      <c r="C2017" s="36"/>
      <c r="D2017" s="13"/>
      <c r="E2017" s="13"/>
      <c r="F2017" s="13"/>
      <c r="G2017" s="13"/>
      <c r="H2017" s="13"/>
      <c r="I2017" s="15"/>
      <c r="J2017" s="15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</row>
    <row r="2018" ht="22.5" hidden="1" customHeight="1">
      <c r="A2018" s="6"/>
      <c r="B2018" s="20"/>
      <c r="C2018" s="36"/>
      <c r="D2018" s="13"/>
      <c r="E2018" s="13"/>
      <c r="F2018" s="13"/>
      <c r="G2018" s="13"/>
      <c r="H2018" s="13"/>
      <c r="I2018" s="15"/>
      <c r="J2018" s="15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</row>
    <row r="2019" ht="22.5" hidden="1" customHeight="1">
      <c r="A2019" s="6"/>
      <c r="B2019" s="20"/>
      <c r="C2019" s="36"/>
      <c r="D2019" s="13"/>
      <c r="E2019" s="13"/>
      <c r="F2019" s="13"/>
      <c r="G2019" s="13"/>
      <c r="H2019" s="13"/>
      <c r="I2019" s="15"/>
      <c r="J2019" s="15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</row>
    <row r="2020" ht="22.5" hidden="1" customHeight="1">
      <c r="A2020" s="6"/>
      <c r="B2020" s="20"/>
      <c r="C2020" s="36"/>
      <c r="D2020" s="13"/>
      <c r="E2020" s="13"/>
      <c r="F2020" s="13"/>
      <c r="G2020" s="13"/>
      <c r="H2020" s="13"/>
      <c r="I2020" s="15"/>
      <c r="J2020" s="15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</row>
    <row r="2021" ht="22.5" hidden="1" customHeight="1">
      <c r="A2021" s="6"/>
      <c r="B2021" s="20"/>
      <c r="C2021" s="36"/>
      <c r="D2021" s="13"/>
      <c r="E2021" s="13"/>
      <c r="F2021" s="13"/>
      <c r="G2021" s="13"/>
      <c r="H2021" s="13"/>
      <c r="I2021" s="15"/>
      <c r="J2021" s="15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</row>
    <row r="2022" ht="22.5" hidden="1" customHeight="1">
      <c r="A2022" s="6"/>
      <c r="B2022" s="20"/>
      <c r="C2022" s="36"/>
      <c r="D2022" s="13"/>
      <c r="E2022" s="13"/>
      <c r="F2022" s="13"/>
      <c r="G2022" s="13"/>
      <c r="H2022" s="13"/>
      <c r="I2022" s="15"/>
      <c r="J2022" s="15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</row>
    <row r="2023" ht="22.5" hidden="1" customHeight="1">
      <c r="A2023" s="6"/>
      <c r="B2023" s="20"/>
      <c r="C2023" s="36"/>
      <c r="D2023" s="13"/>
      <c r="E2023" s="13"/>
      <c r="F2023" s="13"/>
      <c r="G2023" s="13"/>
      <c r="H2023" s="13"/>
      <c r="I2023" s="15"/>
      <c r="J2023" s="15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</row>
    <row r="2024" ht="22.5" hidden="1" customHeight="1">
      <c r="A2024" s="6"/>
      <c r="B2024" s="20"/>
      <c r="C2024" s="36"/>
      <c r="D2024" s="13"/>
      <c r="E2024" s="13"/>
      <c r="F2024" s="13"/>
      <c r="G2024" s="13"/>
      <c r="H2024" s="13"/>
      <c r="I2024" s="15"/>
      <c r="J2024" s="15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</row>
    <row r="2025" ht="22.5" hidden="1" customHeight="1">
      <c r="A2025" s="6"/>
      <c r="B2025" s="20"/>
      <c r="C2025" s="36"/>
      <c r="D2025" s="13"/>
      <c r="E2025" s="13"/>
      <c r="F2025" s="13"/>
      <c r="G2025" s="13"/>
      <c r="H2025" s="13"/>
      <c r="I2025" s="15"/>
      <c r="J2025" s="15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</row>
    <row r="2026" ht="22.5" hidden="1" customHeight="1">
      <c r="A2026" s="6"/>
      <c r="B2026" s="20"/>
      <c r="C2026" s="36"/>
      <c r="D2026" s="13"/>
      <c r="E2026" s="13"/>
      <c r="F2026" s="13"/>
      <c r="G2026" s="13"/>
      <c r="H2026" s="13"/>
      <c r="I2026" s="15"/>
      <c r="J2026" s="15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</row>
    <row r="2027" ht="22.5" hidden="1" customHeight="1">
      <c r="A2027" s="6"/>
      <c r="B2027" s="20"/>
      <c r="C2027" s="36"/>
      <c r="D2027" s="13"/>
      <c r="E2027" s="13"/>
      <c r="F2027" s="13"/>
      <c r="G2027" s="13"/>
      <c r="H2027" s="13"/>
      <c r="I2027" s="15"/>
      <c r="J2027" s="15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</row>
    <row r="2028" ht="22.5" hidden="1" customHeight="1">
      <c r="A2028" s="6"/>
      <c r="B2028" s="20"/>
      <c r="C2028" s="36"/>
      <c r="D2028" s="13"/>
      <c r="E2028" s="13"/>
      <c r="F2028" s="13"/>
      <c r="G2028" s="13"/>
      <c r="H2028" s="13"/>
      <c r="I2028" s="15"/>
      <c r="J2028" s="15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</row>
    <row r="2029" ht="22.5" hidden="1" customHeight="1">
      <c r="A2029" s="6"/>
      <c r="B2029" s="20"/>
      <c r="C2029" s="36"/>
      <c r="D2029" s="13"/>
      <c r="E2029" s="13"/>
      <c r="F2029" s="13"/>
      <c r="G2029" s="13"/>
      <c r="H2029" s="13"/>
      <c r="I2029" s="15"/>
      <c r="J2029" s="15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</row>
    <row r="2030" ht="22.5" hidden="1" customHeight="1">
      <c r="A2030" s="6"/>
      <c r="B2030" s="20"/>
      <c r="C2030" s="36"/>
      <c r="D2030" s="13"/>
      <c r="E2030" s="13"/>
      <c r="F2030" s="13"/>
      <c r="G2030" s="13"/>
      <c r="H2030" s="13"/>
      <c r="I2030" s="15"/>
      <c r="J2030" s="15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</row>
    <row r="2031" ht="22.5" hidden="1" customHeight="1">
      <c r="A2031" s="6"/>
      <c r="B2031" s="20"/>
      <c r="C2031" s="36"/>
      <c r="D2031" s="13"/>
      <c r="E2031" s="13"/>
      <c r="F2031" s="13"/>
      <c r="G2031" s="13"/>
      <c r="H2031" s="13"/>
      <c r="I2031" s="15"/>
      <c r="J2031" s="15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</row>
    <row r="2032" ht="22.5" hidden="1" customHeight="1">
      <c r="A2032" s="6"/>
      <c r="B2032" s="20"/>
      <c r="C2032" s="36"/>
      <c r="D2032" s="13"/>
      <c r="E2032" s="13"/>
      <c r="F2032" s="13"/>
      <c r="G2032" s="13"/>
      <c r="H2032" s="13"/>
      <c r="I2032" s="15"/>
      <c r="J2032" s="15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</row>
    <row r="2033" ht="22.5" hidden="1" customHeight="1">
      <c r="A2033" s="6"/>
      <c r="B2033" s="20"/>
      <c r="C2033" s="36"/>
      <c r="D2033" s="13"/>
      <c r="E2033" s="13"/>
      <c r="F2033" s="13"/>
      <c r="G2033" s="13"/>
      <c r="H2033" s="13"/>
      <c r="I2033" s="15"/>
      <c r="J2033" s="15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</row>
    <row r="2034" ht="22.5" hidden="1" customHeight="1">
      <c r="A2034" s="6"/>
      <c r="B2034" s="20"/>
      <c r="C2034" s="36"/>
      <c r="D2034" s="13"/>
      <c r="E2034" s="13"/>
      <c r="F2034" s="13"/>
      <c r="G2034" s="13"/>
      <c r="H2034" s="13"/>
      <c r="I2034" s="15"/>
      <c r="J2034" s="15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</row>
    <row r="2035" ht="22.5" hidden="1" customHeight="1">
      <c r="A2035" s="6"/>
      <c r="B2035" s="20"/>
      <c r="C2035" s="36"/>
      <c r="D2035" s="13"/>
      <c r="E2035" s="13"/>
      <c r="F2035" s="13"/>
      <c r="G2035" s="13"/>
      <c r="H2035" s="13"/>
      <c r="I2035" s="15"/>
      <c r="J2035" s="15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</row>
    <row r="2036" ht="22.5" hidden="1" customHeight="1">
      <c r="A2036" s="6"/>
      <c r="B2036" s="20"/>
      <c r="C2036" s="36"/>
      <c r="D2036" s="13"/>
      <c r="E2036" s="13"/>
      <c r="F2036" s="13"/>
      <c r="G2036" s="13"/>
      <c r="H2036" s="13"/>
      <c r="I2036" s="15"/>
      <c r="J2036" s="15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</row>
    <row r="2037" ht="22.5" hidden="1" customHeight="1">
      <c r="A2037" s="6"/>
      <c r="B2037" s="20"/>
      <c r="C2037" s="36"/>
      <c r="D2037" s="13"/>
      <c r="E2037" s="13"/>
      <c r="F2037" s="13"/>
      <c r="G2037" s="13"/>
      <c r="H2037" s="13"/>
      <c r="I2037" s="15"/>
      <c r="J2037" s="15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</row>
    <row r="2038" ht="22.5" hidden="1" customHeight="1">
      <c r="A2038" s="6"/>
      <c r="B2038" s="20"/>
      <c r="C2038" s="36"/>
      <c r="D2038" s="13"/>
      <c r="E2038" s="13"/>
      <c r="F2038" s="13"/>
      <c r="G2038" s="13"/>
      <c r="H2038" s="13"/>
      <c r="I2038" s="15"/>
      <c r="J2038" s="15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</row>
    <row r="2039" ht="22.5" hidden="1" customHeight="1">
      <c r="A2039" s="6"/>
      <c r="B2039" s="20"/>
      <c r="C2039" s="36"/>
      <c r="D2039" s="13"/>
      <c r="E2039" s="13"/>
      <c r="F2039" s="13"/>
      <c r="G2039" s="13"/>
      <c r="H2039" s="13"/>
      <c r="I2039" s="15"/>
      <c r="J2039" s="15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</row>
    <row r="2040" ht="22.5" hidden="1" customHeight="1">
      <c r="A2040" s="6"/>
      <c r="B2040" s="20"/>
      <c r="C2040" s="36"/>
      <c r="D2040" s="13"/>
      <c r="E2040" s="13"/>
      <c r="F2040" s="13"/>
      <c r="G2040" s="13"/>
      <c r="H2040" s="13"/>
      <c r="I2040" s="15"/>
      <c r="J2040" s="15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</row>
    <row r="2041" ht="22.5" hidden="1" customHeight="1">
      <c r="A2041" s="6"/>
      <c r="B2041" s="20"/>
      <c r="C2041" s="36"/>
      <c r="D2041" s="13"/>
      <c r="E2041" s="13"/>
      <c r="F2041" s="13"/>
      <c r="G2041" s="13"/>
      <c r="H2041" s="13"/>
      <c r="I2041" s="15"/>
      <c r="J2041" s="15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</row>
    <row r="2042" ht="22.5" hidden="1" customHeight="1">
      <c r="A2042" s="6"/>
      <c r="B2042" s="20"/>
      <c r="C2042" s="36"/>
      <c r="D2042" s="13"/>
      <c r="E2042" s="13"/>
      <c r="F2042" s="13"/>
      <c r="G2042" s="13"/>
      <c r="H2042" s="13"/>
      <c r="I2042" s="15"/>
      <c r="J2042" s="15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</row>
    <row r="2043" ht="22.5" hidden="1" customHeight="1">
      <c r="A2043" s="6"/>
      <c r="B2043" s="20"/>
      <c r="C2043" s="36"/>
      <c r="D2043" s="13"/>
      <c r="E2043" s="13"/>
      <c r="F2043" s="13"/>
      <c r="G2043" s="13"/>
      <c r="H2043" s="13"/>
      <c r="I2043" s="15"/>
      <c r="J2043" s="15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</row>
    <row r="2044" ht="22.5" hidden="1" customHeight="1">
      <c r="A2044" s="6"/>
      <c r="B2044" s="20"/>
      <c r="C2044" s="36"/>
      <c r="D2044" s="13"/>
      <c r="E2044" s="13"/>
      <c r="F2044" s="13"/>
      <c r="G2044" s="13"/>
      <c r="H2044" s="13"/>
      <c r="I2044" s="15"/>
      <c r="J2044" s="15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</row>
    <row r="2045" ht="22.5" hidden="1" customHeight="1">
      <c r="A2045" s="6"/>
      <c r="B2045" s="20"/>
      <c r="C2045" s="36"/>
      <c r="D2045" s="13"/>
      <c r="E2045" s="13"/>
      <c r="F2045" s="13"/>
      <c r="G2045" s="13"/>
      <c r="H2045" s="13"/>
      <c r="I2045" s="15"/>
      <c r="J2045" s="15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</row>
    <row r="2046" ht="22.5" hidden="1" customHeight="1">
      <c r="A2046" s="6"/>
      <c r="B2046" s="20"/>
      <c r="C2046" s="36"/>
      <c r="D2046" s="13"/>
      <c r="E2046" s="13"/>
      <c r="F2046" s="13"/>
      <c r="G2046" s="13"/>
      <c r="H2046" s="13"/>
      <c r="I2046" s="15"/>
      <c r="J2046" s="15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</row>
    <row r="2047" ht="22.5" hidden="1" customHeight="1">
      <c r="A2047" s="6"/>
      <c r="B2047" s="20"/>
      <c r="C2047" s="36"/>
      <c r="D2047" s="13"/>
      <c r="E2047" s="13"/>
      <c r="F2047" s="13"/>
      <c r="G2047" s="13"/>
      <c r="H2047" s="13"/>
      <c r="I2047" s="15"/>
      <c r="J2047" s="15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</row>
    <row r="2048" ht="22.5" hidden="1" customHeight="1">
      <c r="A2048" s="6"/>
      <c r="B2048" s="20"/>
      <c r="C2048" s="36"/>
      <c r="D2048" s="13"/>
      <c r="E2048" s="13"/>
      <c r="F2048" s="13"/>
      <c r="G2048" s="13"/>
      <c r="H2048" s="13"/>
      <c r="I2048" s="15"/>
      <c r="J2048" s="15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</row>
    <row r="2049" ht="22.5" hidden="1" customHeight="1">
      <c r="A2049" s="6"/>
      <c r="B2049" s="20"/>
      <c r="C2049" s="36"/>
      <c r="D2049" s="13"/>
      <c r="E2049" s="13"/>
      <c r="F2049" s="13"/>
      <c r="G2049" s="13"/>
      <c r="H2049" s="13"/>
      <c r="I2049" s="15"/>
      <c r="J2049" s="15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</row>
    <row r="2050" ht="22.5" hidden="1" customHeight="1">
      <c r="A2050" s="6"/>
      <c r="B2050" s="20"/>
      <c r="C2050" s="36"/>
      <c r="D2050" s="13"/>
      <c r="E2050" s="13"/>
      <c r="F2050" s="13"/>
      <c r="G2050" s="13"/>
      <c r="H2050" s="13"/>
      <c r="I2050" s="15"/>
      <c r="J2050" s="15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</row>
    <row r="2051" ht="22.5" hidden="1" customHeight="1">
      <c r="A2051" s="6"/>
      <c r="B2051" s="20"/>
      <c r="C2051" s="36"/>
      <c r="D2051" s="13"/>
      <c r="E2051" s="13"/>
      <c r="F2051" s="13"/>
      <c r="G2051" s="13"/>
      <c r="H2051" s="13"/>
      <c r="I2051" s="15"/>
      <c r="J2051" s="15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</row>
    <row r="2052" ht="22.5" hidden="1" customHeight="1">
      <c r="A2052" s="6"/>
      <c r="B2052" s="20"/>
      <c r="C2052" s="36"/>
      <c r="D2052" s="13"/>
      <c r="E2052" s="13"/>
      <c r="F2052" s="13"/>
      <c r="G2052" s="13"/>
      <c r="H2052" s="13"/>
      <c r="I2052" s="15"/>
      <c r="J2052" s="15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</row>
    <row r="2053" ht="22.5" hidden="1" customHeight="1">
      <c r="A2053" s="6"/>
      <c r="B2053" s="20"/>
      <c r="C2053" s="36"/>
      <c r="D2053" s="13"/>
      <c r="E2053" s="13"/>
      <c r="F2053" s="13"/>
      <c r="G2053" s="13"/>
      <c r="H2053" s="13"/>
      <c r="I2053" s="15"/>
      <c r="J2053" s="15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</row>
    <row r="2054" ht="22.5" hidden="1" customHeight="1">
      <c r="A2054" s="6"/>
      <c r="B2054" s="20"/>
      <c r="C2054" s="36"/>
      <c r="D2054" s="13"/>
      <c r="E2054" s="13"/>
      <c r="F2054" s="13"/>
      <c r="G2054" s="13"/>
      <c r="H2054" s="13"/>
      <c r="I2054" s="15"/>
      <c r="J2054" s="15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</row>
    <row r="2055" ht="22.5" hidden="1" customHeight="1">
      <c r="A2055" s="6"/>
      <c r="B2055" s="20"/>
      <c r="C2055" s="36"/>
      <c r="D2055" s="13"/>
      <c r="E2055" s="13"/>
      <c r="F2055" s="13"/>
      <c r="G2055" s="13"/>
      <c r="H2055" s="13"/>
      <c r="I2055" s="15"/>
      <c r="J2055" s="15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</row>
    <row r="2056" ht="22.5" hidden="1" customHeight="1">
      <c r="A2056" s="6"/>
      <c r="B2056" s="20"/>
      <c r="C2056" s="36"/>
      <c r="D2056" s="13"/>
      <c r="E2056" s="13"/>
      <c r="F2056" s="13"/>
      <c r="G2056" s="13"/>
      <c r="H2056" s="13"/>
      <c r="I2056" s="15"/>
      <c r="J2056" s="15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</row>
    <row r="2057" ht="22.5" hidden="1" customHeight="1">
      <c r="A2057" s="6"/>
      <c r="B2057" s="20"/>
      <c r="C2057" s="36"/>
      <c r="D2057" s="13"/>
      <c r="E2057" s="13"/>
      <c r="F2057" s="13"/>
      <c r="G2057" s="13"/>
      <c r="H2057" s="13"/>
      <c r="I2057" s="15"/>
      <c r="J2057" s="15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</row>
    <row r="2058" ht="22.5" hidden="1" customHeight="1">
      <c r="A2058" s="6"/>
      <c r="B2058" s="20"/>
      <c r="C2058" s="36"/>
      <c r="D2058" s="13"/>
      <c r="E2058" s="13"/>
      <c r="F2058" s="13"/>
      <c r="G2058" s="13"/>
      <c r="H2058" s="13"/>
      <c r="I2058" s="15"/>
      <c r="J2058" s="15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</row>
    <row r="2059" ht="22.5" hidden="1" customHeight="1">
      <c r="A2059" s="6"/>
      <c r="B2059" s="20"/>
      <c r="C2059" s="36"/>
      <c r="D2059" s="13"/>
      <c r="E2059" s="13"/>
      <c r="F2059" s="13"/>
      <c r="G2059" s="13"/>
      <c r="H2059" s="13"/>
      <c r="I2059" s="15"/>
      <c r="J2059" s="15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</row>
    <row r="2060" ht="22.5" hidden="1" customHeight="1">
      <c r="A2060" s="6"/>
      <c r="B2060" s="20"/>
      <c r="C2060" s="36"/>
      <c r="D2060" s="13"/>
      <c r="E2060" s="13"/>
      <c r="F2060" s="13"/>
      <c r="G2060" s="13"/>
      <c r="H2060" s="13"/>
      <c r="I2060" s="15"/>
      <c r="J2060" s="15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</row>
    <row r="2061" ht="22.5" hidden="1" customHeight="1">
      <c r="A2061" s="6"/>
      <c r="B2061" s="20"/>
      <c r="C2061" s="36"/>
      <c r="D2061" s="13"/>
      <c r="E2061" s="13"/>
      <c r="F2061" s="13"/>
      <c r="G2061" s="13"/>
      <c r="H2061" s="13"/>
      <c r="I2061" s="15"/>
      <c r="J2061" s="15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</row>
    <row r="2062" ht="22.5" hidden="1" customHeight="1">
      <c r="A2062" s="6"/>
      <c r="B2062" s="20"/>
      <c r="C2062" s="36"/>
      <c r="D2062" s="13"/>
      <c r="E2062" s="13"/>
      <c r="F2062" s="13"/>
      <c r="G2062" s="13"/>
      <c r="H2062" s="13"/>
      <c r="I2062" s="15"/>
      <c r="J2062" s="15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</row>
    <row r="2063" ht="22.5" hidden="1" customHeight="1">
      <c r="A2063" s="6"/>
      <c r="B2063" s="20"/>
      <c r="C2063" s="36"/>
      <c r="D2063" s="13"/>
      <c r="E2063" s="13"/>
      <c r="F2063" s="13"/>
      <c r="G2063" s="13"/>
      <c r="H2063" s="13"/>
      <c r="I2063" s="15"/>
      <c r="J2063" s="15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</row>
    <row r="2064" ht="22.5" hidden="1" customHeight="1">
      <c r="A2064" s="6"/>
      <c r="B2064" s="20"/>
      <c r="C2064" s="36"/>
      <c r="D2064" s="13"/>
      <c r="E2064" s="13"/>
      <c r="F2064" s="13"/>
      <c r="G2064" s="13"/>
      <c r="H2064" s="13"/>
      <c r="I2064" s="15"/>
      <c r="J2064" s="15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</row>
    <row r="2065" ht="22.5" hidden="1" customHeight="1">
      <c r="A2065" s="6"/>
      <c r="B2065" s="20"/>
      <c r="C2065" s="36"/>
      <c r="D2065" s="13"/>
      <c r="E2065" s="13"/>
      <c r="F2065" s="13"/>
      <c r="G2065" s="13"/>
      <c r="H2065" s="13"/>
      <c r="I2065" s="15"/>
      <c r="J2065" s="15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</row>
    <row r="2066" ht="22.5" hidden="1" customHeight="1">
      <c r="A2066" s="6"/>
      <c r="B2066" s="20"/>
      <c r="C2066" s="36"/>
      <c r="D2066" s="13"/>
      <c r="E2066" s="13"/>
      <c r="F2066" s="13"/>
      <c r="G2066" s="13"/>
      <c r="H2066" s="13"/>
      <c r="I2066" s="15"/>
      <c r="J2066" s="15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</row>
    <row r="2067" ht="22.5" hidden="1" customHeight="1">
      <c r="A2067" s="6"/>
      <c r="B2067" s="20"/>
      <c r="C2067" s="36"/>
      <c r="D2067" s="13"/>
      <c r="E2067" s="13"/>
      <c r="F2067" s="13"/>
      <c r="G2067" s="13"/>
      <c r="H2067" s="13"/>
      <c r="I2067" s="15"/>
      <c r="J2067" s="15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</row>
    <row r="2068" ht="22.5" hidden="1" customHeight="1">
      <c r="A2068" s="6"/>
      <c r="B2068" s="20"/>
      <c r="C2068" s="36"/>
      <c r="D2068" s="13"/>
      <c r="E2068" s="13"/>
      <c r="F2068" s="13"/>
      <c r="G2068" s="13"/>
      <c r="H2068" s="13"/>
      <c r="I2068" s="15"/>
      <c r="J2068" s="15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</row>
    <row r="2069" ht="22.5" hidden="1" customHeight="1">
      <c r="A2069" s="6"/>
      <c r="B2069" s="20"/>
      <c r="C2069" s="36"/>
      <c r="D2069" s="13"/>
      <c r="E2069" s="13"/>
      <c r="F2069" s="13"/>
      <c r="G2069" s="13"/>
      <c r="H2069" s="13"/>
      <c r="I2069" s="15"/>
      <c r="J2069" s="15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</row>
    <row r="2070" ht="22.5" hidden="1" customHeight="1">
      <c r="A2070" s="6"/>
      <c r="B2070" s="20"/>
      <c r="C2070" s="36"/>
      <c r="D2070" s="13"/>
      <c r="E2070" s="13"/>
      <c r="F2070" s="13"/>
      <c r="G2070" s="13"/>
      <c r="H2070" s="13"/>
      <c r="I2070" s="15"/>
      <c r="J2070" s="15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</row>
    <row r="2071" ht="22.5" hidden="1" customHeight="1">
      <c r="A2071" s="6"/>
      <c r="B2071" s="20"/>
      <c r="C2071" s="36"/>
      <c r="D2071" s="13"/>
      <c r="E2071" s="13"/>
      <c r="F2071" s="13"/>
      <c r="G2071" s="13"/>
      <c r="H2071" s="13"/>
      <c r="I2071" s="15"/>
      <c r="J2071" s="15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</row>
    <row r="2072" ht="22.5" hidden="1" customHeight="1">
      <c r="A2072" s="6"/>
      <c r="B2072" s="20"/>
      <c r="C2072" s="36"/>
      <c r="D2072" s="13"/>
      <c r="E2072" s="13"/>
      <c r="F2072" s="13"/>
      <c r="G2072" s="13"/>
      <c r="H2072" s="13"/>
      <c r="I2072" s="15"/>
      <c r="J2072" s="15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</row>
    <row r="2073" ht="22.5" hidden="1" customHeight="1">
      <c r="A2073" s="6"/>
      <c r="B2073" s="20"/>
      <c r="C2073" s="36"/>
      <c r="D2073" s="13"/>
      <c r="E2073" s="13"/>
      <c r="F2073" s="13"/>
      <c r="G2073" s="13"/>
      <c r="H2073" s="13"/>
      <c r="I2073" s="15"/>
      <c r="J2073" s="15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</row>
    <row r="2074" ht="22.5" hidden="1" customHeight="1">
      <c r="A2074" s="6"/>
      <c r="B2074" s="20"/>
      <c r="C2074" s="36"/>
      <c r="D2074" s="13"/>
      <c r="E2074" s="13"/>
      <c r="F2074" s="13"/>
      <c r="G2074" s="13"/>
      <c r="H2074" s="13"/>
      <c r="I2074" s="15"/>
      <c r="J2074" s="15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</row>
    <row r="2075" ht="22.5" hidden="1" customHeight="1">
      <c r="A2075" s="6"/>
      <c r="B2075" s="20"/>
      <c r="C2075" s="36"/>
      <c r="D2075" s="13"/>
      <c r="E2075" s="13"/>
      <c r="F2075" s="13"/>
      <c r="G2075" s="13"/>
      <c r="H2075" s="13"/>
      <c r="I2075" s="15"/>
      <c r="J2075" s="15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</row>
    <row r="2076" ht="22.5" hidden="1" customHeight="1">
      <c r="A2076" s="6"/>
      <c r="B2076" s="20"/>
      <c r="C2076" s="36"/>
      <c r="D2076" s="13"/>
      <c r="E2076" s="13"/>
      <c r="F2076" s="13"/>
      <c r="G2076" s="13"/>
      <c r="H2076" s="13"/>
      <c r="I2076" s="15"/>
      <c r="J2076" s="15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</row>
    <row r="2077" ht="22.5" hidden="1" customHeight="1">
      <c r="A2077" s="6"/>
      <c r="B2077" s="20"/>
      <c r="C2077" s="36"/>
      <c r="D2077" s="13"/>
      <c r="E2077" s="13"/>
      <c r="F2077" s="13"/>
      <c r="G2077" s="13"/>
      <c r="H2077" s="13"/>
      <c r="I2077" s="15"/>
      <c r="J2077" s="15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</row>
    <row r="2078" ht="22.5" hidden="1" customHeight="1">
      <c r="A2078" s="6"/>
      <c r="B2078" s="20"/>
      <c r="C2078" s="36"/>
      <c r="D2078" s="13"/>
      <c r="E2078" s="13"/>
      <c r="F2078" s="13"/>
      <c r="G2078" s="13"/>
      <c r="H2078" s="13"/>
      <c r="I2078" s="15"/>
      <c r="J2078" s="15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</row>
    <row r="2079" ht="22.5" hidden="1" customHeight="1">
      <c r="A2079" s="6"/>
      <c r="B2079" s="20"/>
      <c r="C2079" s="36"/>
      <c r="D2079" s="13"/>
      <c r="E2079" s="13"/>
      <c r="F2079" s="13"/>
      <c r="G2079" s="13"/>
      <c r="H2079" s="13"/>
      <c r="I2079" s="15"/>
      <c r="J2079" s="15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</row>
    <row r="2080" ht="22.5" hidden="1" customHeight="1">
      <c r="A2080" s="6"/>
      <c r="B2080" s="20"/>
      <c r="C2080" s="36"/>
      <c r="D2080" s="13"/>
      <c r="E2080" s="13"/>
      <c r="F2080" s="13"/>
      <c r="G2080" s="13"/>
      <c r="H2080" s="13"/>
      <c r="I2080" s="15"/>
      <c r="J2080" s="15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</row>
    <row r="2081" ht="22.5" hidden="1" customHeight="1">
      <c r="A2081" s="6"/>
      <c r="B2081" s="20"/>
      <c r="C2081" s="36"/>
      <c r="D2081" s="13"/>
      <c r="E2081" s="13"/>
      <c r="F2081" s="13"/>
      <c r="G2081" s="13"/>
      <c r="H2081" s="13"/>
      <c r="I2081" s="15"/>
      <c r="J2081" s="15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</row>
    <row r="2082" ht="22.5" hidden="1" customHeight="1">
      <c r="A2082" s="6"/>
      <c r="B2082" s="20"/>
      <c r="C2082" s="36"/>
      <c r="D2082" s="13"/>
      <c r="E2082" s="13"/>
      <c r="F2082" s="13"/>
      <c r="G2082" s="13"/>
      <c r="H2082" s="13"/>
      <c r="I2082" s="15"/>
      <c r="J2082" s="15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</row>
    <row r="2083" ht="22.5" hidden="1" customHeight="1">
      <c r="A2083" s="6"/>
      <c r="B2083" s="20"/>
      <c r="C2083" s="36"/>
      <c r="D2083" s="13"/>
      <c r="E2083" s="13"/>
      <c r="F2083" s="13"/>
      <c r="G2083" s="13"/>
      <c r="H2083" s="13"/>
      <c r="I2083" s="15"/>
      <c r="J2083" s="15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</row>
    <row r="2084" ht="22.5" hidden="1" customHeight="1">
      <c r="A2084" s="6"/>
      <c r="B2084" s="20"/>
      <c r="C2084" s="36"/>
      <c r="D2084" s="13"/>
      <c r="E2084" s="13"/>
      <c r="F2084" s="13"/>
      <c r="G2084" s="13"/>
      <c r="H2084" s="13"/>
      <c r="I2084" s="15"/>
      <c r="J2084" s="15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</row>
    <row r="2085" ht="22.5" hidden="1" customHeight="1">
      <c r="A2085" s="6"/>
      <c r="B2085" s="20"/>
      <c r="C2085" s="36"/>
      <c r="D2085" s="13"/>
      <c r="E2085" s="13"/>
      <c r="F2085" s="13"/>
      <c r="G2085" s="13"/>
      <c r="H2085" s="13"/>
      <c r="I2085" s="15"/>
      <c r="J2085" s="15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</row>
    <row r="2086" ht="22.5" hidden="1" customHeight="1">
      <c r="A2086" s="6"/>
      <c r="B2086" s="20"/>
      <c r="C2086" s="36"/>
      <c r="D2086" s="13"/>
      <c r="E2086" s="13"/>
      <c r="F2086" s="13"/>
      <c r="G2086" s="13"/>
      <c r="H2086" s="13"/>
      <c r="I2086" s="15"/>
      <c r="J2086" s="15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</row>
    <row r="2087" ht="22.5" hidden="1" customHeight="1">
      <c r="A2087" s="6"/>
      <c r="B2087" s="20"/>
      <c r="C2087" s="36"/>
      <c r="D2087" s="13"/>
      <c r="E2087" s="13"/>
      <c r="F2087" s="13"/>
      <c r="G2087" s="13"/>
      <c r="H2087" s="13"/>
      <c r="I2087" s="15"/>
      <c r="J2087" s="15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</row>
    <row r="2088" ht="22.5" hidden="1" customHeight="1">
      <c r="A2088" s="6"/>
      <c r="B2088" s="20"/>
      <c r="C2088" s="36"/>
      <c r="D2088" s="13"/>
      <c r="E2088" s="13"/>
      <c r="F2088" s="13"/>
      <c r="G2088" s="13"/>
      <c r="H2088" s="13"/>
      <c r="I2088" s="15"/>
      <c r="J2088" s="15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</row>
    <row r="2089" ht="22.5" hidden="1" customHeight="1">
      <c r="A2089" s="6"/>
      <c r="B2089" s="20"/>
      <c r="C2089" s="36"/>
      <c r="D2089" s="13"/>
      <c r="E2089" s="13"/>
      <c r="F2089" s="13"/>
      <c r="G2089" s="13"/>
      <c r="H2089" s="13"/>
      <c r="I2089" s="15"/>
      <c r="J2089" s="15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</row>
    <row r="2090" ht="22.5" hidden="1" customHeight="1">
      <c r="A2090" s="6"/>
      <c r="B2090" s="20"/>
      <c r="C2090" s="36"/>
      <c r="D2090" s="13"/>
      <c r="E2090" s="13"/>
      <c r="F2090" s="13"/>
      <c r="G2090" s="13"/>
      <c r="H2090" s="13"/>
      <c r="I2090" s="15"/>
      <c r="J2090" s="15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</row>
    <row r="2091" ht="22.5" hidden="1" customHeight="1">
      <c r="A2091" s="6"/>
      <c r="B2091" s="20"/>
      <c r="C2091" s="36"/>
      <c r="D2091" s="13"/>
      <c r="E2091" s="13"/>
      <c r="F2091" s="13"/>
      <c r="G2091" s="13"/>
      <c r="H2091" s="13"/>
      <c r="I2091" s="15"/>
      <c r="J2091" s="15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</row>
    <row r="2092" ht="22.5" hidden="1" customHeight="1">
      <c r="A2092" s="6"/>
      <c r="B2092" s="20"/>
      <c r="C2092" s="36"/>
      <c r="D2092" s="13"/>
      <c r="E2092" s="13"/>
      <c r="F2092" s="13"/>
      <c r="G2092" s="13"/>
      <c r="H2092" s="13"/>
      <c r="I2092" s="15"/>
      <c r="J2092" s="15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</row>
    <row r="2093" ht="22.5" hidden="1" customHeight="1">
      <c r="A2093" s="6"/>
      <c r="B2093" s="20"/>
      <c r="C2093" s="36"/>
      <c r="D2093" s="13"/>
      <c r="E2093" s="13"/>
      <c r="F2093" s="13"/>
      <c r="G2093" s="13"/>
      <c r="H2093" s="13"/>
      <c r="I2093" s="15"/>
      <c r="J2093" s="15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</row>
    <row r="2094" ht="22.5" hidden="1" customHeight="1">
      <c r="A2094" s="6"/>
      <c r="B2094" s="20"/>
      <c r="C2094" s="36"/>
      <c r="D2094" s="13"/>
      <c r="E2094" s="13"/>
      <c r="F2094" s="13"/>
      <c r="G2094" s="13"/>
      <c r="H2094" s="13"/>
      <c r="I2094" s="15"/>
      <c r="J2094" s="15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</row>
    <row r="2095" ht="22.5" hidden="1" customHeight="1">
      <c r="A2095" s="6"/>
      <c r="B2095" s="20"/>
      <c r="C2095" s="36"/>
      <c r="D2095" s="13"/>
      <c r="E2095" s="13"/>
      <c r="F2095" s="13"/>
      <c r="G2095" s="13"/>
      <c r="H2095" s="13"/>
      <c r="I2095" s="15"/>
      <c r="J2095" s="15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</row>
    <row r="2096" ht="22.5" hidden="1" customHeight="1">
      <c r="A2096" s="6"/>
      <c r="B2096" s="20"/>
      <c r="C2096" s="36"/>
      <c r="D2096" s="13"/>
      <c r="E2096" s="13"/>
      <c r="F2096" s="13"/>
      <c r="G2096" s="13"/>
      <c r="H2096" s="13"/>
      <c r="I2096" s="15"/>
      <c r="J2096" s="15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</row>
    <row r="2097" ht="22.5" hidden="1" customHeight="1">
      <c r="A2097" s="6"/>
      <c r="B2097" s="20"/>
      <c r="C2097" s="36"/>
      <c r="D2097" s="13"/>
      <c r="E2097" s="13"/>
      <c r="F2097" s="13"/>
      <c r="G2097" s="13"/>
      <c r="H2097" s="13"/>
      <c r="I2097" s="15"/>
      <c r="J2097" s="15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</row>
    <row r="2098" ht="22.5" hidden="1" customHeight="1">
      <c r="A2098" s="6"/>
      <c r="B2098" s="20"/>
      <c r="C2098" s="36"/>
      <c r="D2098" s="13"/>
      <c r="E2098" s="13"/>
      <c r="F2098" s="13"/>
      <c r="G2098" s="13"/>
      <c r="H2098" s="13"/>
      <c r="I2098" s="15"/>
      <c r="J2098" s="15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</row>
    <row r="2099" ht="22.5" hidden="1" customHeight="1">
      <c r="A2099" s="6"/>
      <c r="B2099" s="20"/>
      <c r="C2099" s="36"/>
      <c r="D2099" s="13"/>
      <c r="E2099" s="13"/>
      <c r="F2099" s="13"/>
      <c r="G2099" s="13"/>
      <c r="H2099" s="13"/>
      <c r="I2099" s="15"/>
      <c r="J2099" s="15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</row>
    <row r="2100" ht="22.5" hidden="1" customHeight="1">
      <c r="A2100" s="6"/>
      <c r="B2100" s="20"/>
      <c r="C2100" s="36"/>
      <c r="D2100" s="13"/>
      <c r="E2100" s="13"/>
      <c r="F2100" s="13"/>
      <c r="G2100" s="13"/>
      <c r="H2100" s="13"/>
      <c r="I2100" s="15"/>
      <c r="J2100" s="15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</row>
    <row r="2101" ht="22.5" hidden="1" customHeight="1">
      <c r="A2101" s="6"/>
      <c r="B2101" s="20"/>
      <c r="C2101" s="36"/>
      <c r="D2101" s="13"/>
      <c r="E2101" s="13"/>
      <c r="F2101" s="13"/>
      <c r="G2101" s="13"/>
      <c r="H2101" s="13"/>
      <c r="I2101" s="15"/>
      <c r="J2101" s="15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</row>
    <row r="2102" ht="22.5" hidden="1" customHeight="1">
      <c r="A2102" s="6"/>
      <c r="B2102" s="20"/>
      <c r="C2102" s="36"/>
      <c r="D2102" s="13"/>
      <c r="E2102" s="13"/>
      <c r="F2102" s="13"/>
      <c r="G2102" s="13"/>
      <c r="H2102" s="13"/>
      <c r="I2102" s="15"/>
      <c r="J2102" s="15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</row>
    <row r="2103" ht="22.5" hidden="1" customHeight="1">
      <c r="A2103" s="6"/>
      <c r="B2103" s="20"/>
      <c r="C2103" s="36"/>
      <c r="D2103" s="13"/>
      <c r="E2103" s="13"/>
      <c r="F2103" s="13"/>
      <c r="G2103" s="13"/>
      <c r="H2103" s="13"/>
      <c r="I2103" s="15"/>
      <c r="J2103" s="15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</row>
    <row r="2104" ht="22.5" hidden="1" customHeight="1">
      <c r="A2104" s="6"/>
      <c r="B2104" s="20"/>
      <c r="C2104" s="36"/>
      <c r="D2104" s="13"/>
      <c r="E2104" s="13"/>
      <c r="F2104" s="13"/>
      <c r="G2104" s="13"/>
      <c r="H2104" s="13"/>
      <c r="I2104" s="15"/>
      <c r="J2104" s="15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</row>
    <row r="2105" ht="22.5" hidden="1" customHeight="1">
      <c r="A2105" s="6"/>
      <c r="B2105" s="20"/>
      <c r="C2105" s="36"/>
      <c r="D2105" s="13"/>
      <c r="E2105" s="13"/>
      <c r="F2105" s="13"/>
      <c r="G2105" s="13"/>
      <c r="H2105" s="13"/>
      <c r="I2105" s="15"/>
      <c r="J2105" s="15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</row>
    <row r="2106" ht="22.5" hidden="1" customHeight="1">
      <c r="A2106" s="6"/>
      <c r="B2106" s="20"/>
      <c r="C2106" s="36"/>
      <c r="D2106" s="13"/>
      <c r="E2106" s="13"/>
      <c r="F2106" s="13"/>
      <c r="G2106" s="13"/>
      <c r="H2106" s="13"/>
      <c r="I2106" s="15"/>
      <c r="J2106" s="15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</row>
    <row r="2107" ht="22.5" hidden="1" customHeight="1">
      <c r="A2107" s="6"/>
      <c r="B2107" s="20"/>
      <c r="C2107" s="36"/>
      <c r="D2107" s="13"/>
      <c r="E2107" s="13"/>
      <c r="F2107" s="13"/>
      <c r="G2107" s="13"/>
      <c r="H2107" s="13"/>
      <c r="I2107" s="15"/>
      <c r="J2107" s="15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</row>
    <row r="2108" ht="22.5" hidden="1" customHeight="1">
      <c r="A2108" s="6"/>
      <c r="B2108" s="20"/>
      <c r="C2108" s="36"/>
      <c r="D2108" s="13"/>
      <c r="E2108" s="13"/>
      <c r="F2108" s="13"/>
      <c r="G2108" s="13"/>
      <c r="H2108" s="13"/>
      <c r="I2108" s="15"/>
      <c r="J2108" s="15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</row>
    <row r="2109" ht="22.5" hidden="1" customHeight="1">
      <c r="A2109" s="6"/>
      <c r="B2109" s="20"/>
      <c r="C2109" s="36"/>
      <c r="D2109" s="13"/>
      <c r="E2109" s="13"/>
      <c r="F2109" s="13"/>
      <c r="G2109" s="13"/>
      <c r="H2109" s="13"/>
      <c r="I2109" s="15"/>
      <c r="J2109" s="15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</row>
    <row r="2110" ht="22.5" hidden="1" customHeight="1">
      <c r="A2110" s="6"/>
      <c r="B2110" s="20"/>
      <c r="C2110" s="36"/>
      <c r="D2110" s="13"/>
      <c r="E2110" s="13"/>
      <c r="F2110" s="13"/>
      <c r="G2110" s="13"/>
      <c r="H2110" s="13"/>
      <c r="I2110" s="15"/>
      <c r="J2110" s="15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</row>
    <row r="2111" ht="22.5" hidden="1" customHeight="1">
      <c r="A2111" s="6"/>
      <c r="B2111" s="20"/>
      <c r="C2111" s="36"/>
      <c r="D2111" s="13"/>
      <c r="E2111" s="13"/>
      <c r="F2111" s="13"/>
      <c r="G2111" s="13"/>
      <c r="H2111" s="13"/>
      <c r="I2111" s="15"/>
      <c r="J2111" s="15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</row>
    <row r="2112" ht="22.5" hidden="1" customHeight="1">
      <c r="A2112" s="6"/>
      <c r="B2112" s="20"/>
      <c r="C2112" s="36"/>
      <c r="D2112" s="13"/>
      <c r="E2112" s="13"/>
      <c r="F2112" s="13"/>
      <c r="G2112" s="13"/>
      <c r="H2112" s="13"/>
      <c r="I2112" s="15"/>
      <c r="J2112" s="15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</row>
    <row r="2113" ht="22.5" hidden="1" customHeight="1">
      <c r="A2113" s="6"/>
      <c r="B2113" s="20"/>
      <c r="C2113" s="36"/>
      <c r="D2113" s="13"/>
      <c r="E2113" s="13"/>
      <c r="F2113" s="13"/>
      <c r="G2113" s="13"/>
      <c r="H2113" s="13"/>
      <c r="I2113" s="15"/>
      <c r="J2113" s="15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</row>
    <row r="2114" ht="22.5" hidden="1" customHeight="1">
      <c r="A2114" s="6"/>
      <c r="B2114" s="20"/>
      <c r="C2114" s="36"/>
      <c r="D2114" s="13"/>
      <c r="E2114" s="13"/>
      <c r="F2114" s="13"/>
      <c r="G2114" s="13"/>
      <c r="H2114" s="13"/>
      <c r="I2114" s="15"/>
      <c r="J2114" s="15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</row>
    <row r="2115" ht="22.5" hidden="1" customHeight="1">
      <c r="A2115" s="6"/>
      <c r="B2115" s="20"/>
      <c r="C2115" s="36"/>
      <c r="D2115" s="13"/>
      <c r="E2115" s="13"/>
      <c r="F2115" s="13"/>
      <c r="G2115" s="13"/>
      <c r="H2115" s="13"/>
      <c r="I2115" s="15"/>
      <c r="J2115" s="15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</row>
    <row r="2116" ht="22.5" hidden="1" customHeight="1">
      <c r="A2116" s="6"/>
      <c r="B2116" s="20"/>
      <c r="C2116" s="36"/>
      <c r="D2116" s="13"/>
      <c r="E2116" s="13"/>
      <c r="F2116" s="13"/>
      <c r="G2116" s="13"/>
      <c r="H2116" s="13"/>
      <c r="I2116" s="15"/>
      <c r="J2116" s="15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</row>
    <row r="2117" ht="22.5" hidden="1" customHeight="1">
      <c r="A2117" s="6"/>
      <c r="B2117" s="20"/>
      <c r="C2117" s="36"/>
      <c r="D2117" s="13"/>
      <c r="E2117" s="13"/>
      <c r="F2117" s="13"/>
      <c r="G2117" s="13"/>
      <c r="H2117" s="13"/>
      <c r="I2117" s="15"/>
      <c r="J2117" s="15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</row>
    <row r="2118" ht="22.5" hidden="1" customHeight="1">
      <c r="A2118" s="6"/>
      <c r="B2118" s="20"/>
      <c r="C2118" s="36"/>
      <c r="D2118" s="13"/>
      <c r="E2118" s="13"/>
      <c r="F2118" s="13"/>
      <c r="G2118" s="13"/>
      <c r="H2118" s="13"/>
      <c r="I2118" s="15"/>
      <c r="J2118" s="15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</row>
    <row r="2119" ht="22.5" hidden="1" customHeight="1">
      <c r="A2119" s="6"/>
      <c r="B2119" s="20"/>
      <c r="C2119" s="36"/>
      <c r="D2119" s="13"/>
      <c r="E2119" s="13"/>
      <c r="F2119" s="13"/>
      <c r="G2119" s="13"/>
      <c r="H2119" s="13"/>
      <c r="I2119" s="15"/>
      <c r="J2119" s="15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</row>
    <row r="2120" ht="22.5" hidden="1" customHeight="1">
      <c r="A2120" s="6"/>
      <c r="B2120" s="20"/>
      <c r="C2120" s="36"/>
      <c r="D2120" s="13"/>
      <c r="E2120" s="13"/>
      <c r="F2120" s="13"/>
      <c r="G2120" s="13"/>
      <c r="H2120" s="13"/>
      <c r="I2120" s="15"/>
      <c r="J2120" s="15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</row>
    <row r="2121" ht="22.5" hidden="1" customHeight="1">
      <c r="A2121" s="6"/>
      <c r="B2121" s="20"/>
      <c r="C2121" s="36"/>
      <c r="D2121" s="13"/>
      <c r="E2121" s="13"/>
      <c r="F2121" s="13"/>
      <c r="G2121" s="13"/>
      <c r="H2121" s="13"/>
      <c r="I2121" s="15"/>
      <c r="J2121" s="15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</row>
    <row r="2122" ht="22.5" hidden="1" customHeight="1">
      <c r="A2122" s="6"/>
      <c r="B2122" s="20"/>
      <c r="C2122" s="36"/>
      <c r="D2122" s="13"/>
      <c r="E2122" s="13"/>
      <c r="F2122" s="13"/>
      <c r="G2122" s="13"/>
      <c r="H2122" s="13"/>
      <c r="I2122" s="15"/>
      <c r="J2122" s="15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</row>
    <row r="2123" ht="22.5" hidden="1" customHeight="1">
      <c r="A2123" s="6"/>
      <c r="B2123" s="20"/>
      <c r="C2123" s="36"/>
      <c r="D2123" s="13"/>
      <c r="E2123" s="13"/>
      <c r="F2123" s="13"/>
      <c r="G2123" s="13"/>
      <c r="H2123" s="13"/>
      <c r="I2123" s="15"/>
      <c r="J2123" s="15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</row>
    <row r="2124" ht="22.5" hidden="1" customHeight="1">
      <c r="A2124" s="6"/>
      <c r="B2124" s="20"/>
      <c r="C2124" s="36"/>
      <c r="D2124" s="13"/>
      <c r="E2124" s="13"/>
      <c r="F2124" s="13"/>
      <c r="G2124" s="13"/>
      <c r="H2124" s="13"/>
      <c r="I2124" s="15"/>
      <c r="J2124" s="15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</row>
    <row r="2125" ht="22.5" hidden="1" customHeight="1">
      <c r="A2125" s="6"/>
      <c r="B2125" s="20"/>
      <c r="C2125" s="36"/>
      <c r="D2125" s="13"/>
      <c r="E2125" s="13"/>
      <c r="F2125" s="13"/>
      <c r="G2125" s="13"/>
      <c r="H2125" s="13"/>
      <c r="I2125" s="15"/>
      <c r="J2125" s="15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</row>
    <row r="2126" ht="22.5" hidden="1" customHeight="1">
      <c r="A2126" s="6"/>
      <c r="B2126" s="20"/>
      <c r="C2126" s="36"/>
      <c r="D2126" s="13"/>
      <c r="E2126" s="13"/>
      <c r="F2126" s="13"/>
      <c r="G2126" s="13"/>
      <c r="H2126" s="13"/>
      <c r="I2126" s="15"/>
      <c r="J2126" s="15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</row>
    <row r="2127" ht="22.5" hidden="1" customHeight="1">
      <c r="A2127" s="6"/>
      <c r="B2127" s="20"/>
      <c r="C2127" s="36"/>
      <c r="D2127" s="13"/>
      <c r="E2127" s="13"/>
      <c r="F2127" s="13"/>
      <c r="G2127" s="13"/>
      <c r="H2127" s="13"/>
      <c r="I2127" s="15"/>
      <c r="J2127" s="15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</row>
    <row r="2128" ht="22.5" hidden="1" customHeight="1">
      <c r="A2128" s="6"/>
      <c r="B2128" s="20"/>
      <c r="C2128" s="36"/>
      <c r="D2128" s="13"/>
      <c r="E2128" s="13"/>
      <c r="F2128" s="13"/>
      <c r="G2128" s="13"/>
      <c r="H2128" s="13"/>
      <c r="I2128" s="15"/>
      <c r="J2128" s="15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</row>
    <row r="2129" ht="22.5" hidden="1" customHeight="1">
      <c r="A2129" s="6"/>
      <c r="B2129" s="20"/>
      <c r="C2129" s="36"/>
      <c r="D2129" s="13"/>
      <c r="E2129" s="13"/>
      <c r="F2129" s="13"/>
      <c r="G2129" s="13"/>
      <c r="H2129" s="13"/>
      <c r="I2129" s="15"/>
      <c r="J2129" s="15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</row>
    <row r="2130" ht="22.5" hidden="1" customHeight="1">
      <c r="A2130" s="6"/>
      <c r="B2130" s="20"/>
      <c r="C2130" s="36"/>
      <c r="D2130" s="13"/>
      <c r="E2130" s="13"/>
      <c r="F2130" s="13"/>
      <c r="G2130" s="13"/>
      <c r="H2130" s="13"/>
      <c r="I2130" s="15"/>
      <c r="J2130" s="15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</row>
    <row r="2131" ht="22.5" hidden="1" customHeight="1">
      <c r="A2131" s="6"/>
      <c r="B2131" s="20"/>
      <c r="C2131" s="36"/>
      <c r="D2131" s="13"/>
      <c r="E2131" s="13"/>
      <c r="F2131" s="13"/>
      <c r="G2131" s="13"/>
      <c r="H2131" s="13"/>
      <c r="I2131" s="15"/>
      <c r="J2131" s="15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</row>
    <row r="2132" ht="22.5" hidden="1" customHeight="1">
      <c r="A2132" s="6"/>
      <c r="B2132" s="20"/>
      <c r="C2132" s="36"/>
      <c r="D2132" s="13"/>
      <c r="E2132" s="13"/>
      <c r="F2132" s="13"/>
      <c r="G2132" s="13"/>
      <c r="H2132" s="13"/>
      <c r="I2132" s="15"/>
      <c r="J2132" s="15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</row>
    <row r="2133" ht="22.5" hidden="1" customHeight="1">
      <c r="A2133" s="6"/>
      <c r="B2133" s="20"/>
      <c r="C2133" s="36"/>
      <c r="D2133" s="13"/>
      <c r="E2133" s="13"/>
      <c r="F2133" s="13"/>
      <c r="G2133" s="13"/>
      <c r="H2133" s="13"/>
      <c r="I2133" s="15"/>
      <c r="J2133" s="15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</row>
    <row r="2134" ht="22.5" hidden="1" customHeight="1">
      <c r="A2134" s="6"/>
      <c r="B2134" s="20"/>
      <c r="C2134" s="36"/>
      <c r="D2134" s="13"/>
      <c r="E2134" s="13"/>
      <c r="F2134" s="13"/>
      <c r="G2134" s="13"/>
      <c r="H2134" s="13"/>
      <c r="I2134" s="15"/>
      <c r="J2134" s="15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</row>
    <row r="2135" ht="22.5" hidden="1" customHeight="1">
      <c r="A2135" s="6"/>
      <c r="B2135" s="20"/>
      <c r="C2135" s="36"/>
      <c r="D2135" s="13"/>
      <c r="E2135" s="13"/>
      <c r="F2135" s="13"/>
      <c r="G2135" s="13"/>
      <c r="H2135" s="13"/>
      <c r="I2135" s="15"/>
      <c r="J2135" s="15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</row>
    <row r="2136" ht="22.5" hidden="1" customHeight="1">
      <c r="A2136" s="6"/>
      <c r="B2136" s="20"/>
      <c r="C2136" s="36"/>
      <c r="D2136" s="13"/>
      <c r="E2136" s="13"/>
      <c r="F2136" s="13"/>
      <c r="G2136" s="13"/>
      <c r="H2136" s="13"/>
      <c r="I2136" s="15"/>
      <c r="J2136" s="15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</row>
    <row r="2137" ht="22.5" hidden="1" customHeight="1">
      <c r="A2137" s="6"/>
      <c r="B2137" s="20"/>
      <c r="C2137" s="36"/>
      <c r="D2137" s="13"/>
      <c r="E2137" s="13"/>
      <c r="F2137" s="13"/>
      <c r="G2137" s="13"/>
      <c r="H2137" s="13"/>
      <c r="I2137" s="15"/>
      <c r="J2137" s="15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</row>
    <row r="2138" ht="22.5" hidden="1" customHeight="1">
      <c r="A2138" s="6"/>
      <c r="B2138" s="20"/>
      <c r="C2138" s="36"/>
      <c r="D2138" s="13"/>
      <c r="E2138" s="13"/>
      <c r="F2138" s="13"/>
      <c r="G2138" s="13"/>
      <c r="H2138" s="13"/>
      <c r="I2138" s="15"/>
      <c r="J2138" s="15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</row>
    <row r="2139" ht="22.5" hidden="1" customHeight="1">
      <c r="A2139" s="6"/>
      <c r="B2139" s="20"/>
      <c r="C2139" s="36"/>
      <c r="D2139" s="13"/>
      <c r="E2139" s="13"/>
      <c r="F2139" s="13"/>
      <c r="G2139" s="13"/>
      <c r="H2139" s="13"/>
      <c r="I2139" s="15"/>
      <c r="J2139" s="15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</row>
    <row r="2140" ht="22.5" hidden="1" customHeight="1">
      <c r="A2140" s="6"/>
      <c r="B2140" s="20"/>
      <c r="C2140" s="36"/>
      <c r="D2140" s="13"/>
      <c r="E2140" s="13"/>
      <c r="F2140" s="13"/>
      <c r="G2140" s="13"/>
      <c r="H2140" s="13"/>
      <c r="I2140" s="15"/>
      <c r="J2140" s="15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</row>
    <row r="2141" ht="22.5" hidden="1" customHeight="1">
      <c r="A2141" s="6"/>
      <c r="B2141" s="20"/>
      <c r="C2141" s="36"/>
      <c r="D2141" s="13"/>
      <c r="E2141" s="13"/>
      <c r="F2141" s="13"/>
      <c r="G2141" s="13"/>
      <c r="H2141" s="13"/>
      <c r="I2141" s="15"/>
      <c r="J2141" s="15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</row>
    <row r="2142" ht="22.5" hidden="1" customHeight="1">
      <c r="A2142" s="6"/>
      <c r="B2142" s="20"/>
      <c r="C2142" s="36"/>
      <c r="D2142" s="13"/>
      <c r="E2142" s="13"/>
      <c r="F2142" s="13"/>
      <c r="G2142" s="13"/>
      <c r="H2142" s="13"/>
      <c r="I2142" s="15"/>
      <c r="J2142" s="15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</row>
    <row r="2143" ht="22.5" hidden="1" customHeight="1">
      <c r="A2143" s="6"/>
      <c r="B2143" s="20"/>
      <c r="C2143" s="36"/>
      <c r="D2143" s="13"/>
      <c r="E2143" s="13"/>
      <c r="F2143" s="13"/>
      <c r="G2143" s="13"/>
      <c r="H2143" s="13"/>
      <c r="I2143" s="15"/>
      <c r="J2143" s="15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</row>
    <row r="2144" ht="22.5" hidden="1" customHeight="1">
      <c r="A2144" s="6"/>
      <c r="B2144" s="20"/>
      <c r="C2144" s="36"/>
      <c r="D2144" s="13"/>
      <c r="E2144" s="13"/>
      <c r="F2144" s="13"/>
      <c r="G2144" s="13"/>
      <c r="H2144" s="13"/>
      <c r="I2144" s="15"/>
      <c r="J2144" s="15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</row>
    <row r="2145" ht="22.5" hidden="1" customHeight="1">
      <c r="A2145" s="6"/>
      <c r="B2145" s="20"/>
      <c r="C2145" s="36"/>
      <c r="D2145" s="13"/>
      <c r="E2145" s="13"/>
      <c r="F2145" s="13"/>
      <c r="G2145" s="13"/>
      <c r="H2145" s="13"/>
      <c r="I2145" s="15"/>
      <c r="J2145" s="15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</row>
    <row r="2146" ht="22.5" hidden="1" customHeight="1">
      <c r="A2146" s="6"/>
      <c r="B2146" s="20"/>
      <c r="C2146" s="36"/>
      <c r="D2146" s="13"/>
      <c r="E2146" s="13"/>
      <c r="F2146" s="13"/>
      <c r="G2146" s="13"/>
      <c r="H2146" s="13"/>
      <c r="I2146" s="15"/>
      <c r="J2146" s="15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</row>
    <row r="2147" ht="22.5" hidden="1" customHeight="1">
      <c r="A2147" s="6"/>
      <c r="B2147" s="20"/>
      <c r="C2147" s="36"/>
      <c r="D2147" s="13"/>
      <c r="E2147" s="13"/>
      <c r="F2147" s="13"/>
      <c r="G2147" s="13"/>
      <c r="H2147" s="13"/>
      <c r="I2147" s="15"/>
      <c r="J2147" s="15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</row>
    <row r="2148" ht="22.5" hidden="1" customHeight="1">
      <c r="A2148" s="6"/>
      <c r="B2148" s="20"/>
      <c r="C2148" s="36"/>
      <c r="D2148" s="13"/>
      <c r="E2148" s="13"/>
      <c r="F2148" s="13"/>
      <c r="G2148" s="13"/>
      <c r="H2148" s="13"/>
      <c r="I2148" s="15"/>
      <c r="J2148" s="15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</row>
    <row r="2149" ht="22.5" hidden="1" customHeight="1">
      <c r="A2149" s="6"/>
      <c r="B2149" s="20"/>
      <c r="C2149" s="36"/>
      <c r="D2149" s="13"/>
      <c r="E2149" s="13"/>
      <c r="F2149" s="13"/>
      <c r="G2149" s="13"/>
      <c r="H2149" s="13"/>
      <c r="I2149" s="15"/>
      <c r="J2149" s="15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</row>
    <row r="2150" ht="22.5" hidden="1" customHeight="1">
      <c r="A2150" s="6"/>
      <c r="B2150" s="20"/>
      <c r="C2150" s="36"/>
      <c r="D2150" s="13"/>
      <c r="E2150" s="13"/>
      <c r="F2150" s="13"/>
      <c r="G2150" s="13"/>
      <c r="H2150" s="13"/>
      <c r="I2150" s="15"/>
      <c r="J2150" s="15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</row>
    <row r="2151" ht="22.5" hidden="1" customHeight="1">
      <c r="A2151" s="6"/>
      <c r="B2151" s="20"/>
      <c r="C2151" s="36"/>
      <c r="D2151" s="13"/>
      <c r="E2151" s="13"/>
      <c r="F2151" s="13"/>
      <c r="G2151" s="13"/>
      <c r="H2151" s="13"/>
      <c r="I2151" s="15"/>
      <c r="J2151" s="15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</row>
    <row r="2152" ht="22.5" hidden="1" customHeight="1">
      <c r="A2152" s="6"/>
      <c r="B2152" s="20"/>
      <c r="C2152" s="36"/>
      <c r="D2152" s="13"/>
      <c r="E2152" s="13"/>
      <c r="F2152" s="13"/>
      <c r="G2152" s="13"/>
      <c r="H2152" s="13"/>
      <c r="I2152" s="15"/>
      <c r="J2152" s="15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</row>
    <row r="2153" ht="22.5" hidden="1" customHeight="1">
      <c r="A2153" s="6"/>
      <c r="B2153" s="20"/>
      <c r="C2153" s="36"/>
      <c r="D2153" s="13"/>
      <c r="E2153" s="13"/>
      <c r="F2153" s="13"/>
      <c r="G2153" s="13"/>
      <c r="H2153" s="13"/>
      <c r="I2153" s="15"/>
      <c r="J2153" s="15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</row>
    <row r="2154" ht="22.5" hidden="1" customHeight="1">
      <c r="A2154" s="6"/>
      <c r="B2154" s="20"/>
      <c r="C2154" s="36"/>
      <c r="D2154" s="13"/>
      <c r="E2154" s="13"/>
      <c r="F2154" s="13"/>
      <c r="G2154" s="13"/>
      <c r="H2154" s="13"/>
      <c r="I2154" s="15"/>
      <c r="J2154" s="15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</row>
    <row r="2155" ht="22.5" hidden="1" customHeight="1">
      <c r="A2155" s="6"/>
      <c r="B2155" s="20"/>
      <c r="C2155" s="36"/>
      <c r="D2155" s="13"/>
      <c r="E2155" s="13"/>
      <c r="F2155" s="13"/>
      <c r="G2155" s="13"/>
      <c r="H2155" s="13"/>
      <c r="I2155" s="15"/>
      <c r="J2155" s="15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</row>
    <row r="2156" ht="22.5" hidden="1" customHeight="1">
      <c r="A2156" s="6"/>
      <c r="B2156" s="20"/>
      <c r="C2156" s="36"/>
      <c r="D2156" s="13"/>
      <c r="E2156" s="13"/>
      <c r="F2156" s="13"/>
      <c r="G2156" s="13"/>
      <c r="H2156" s="13"/>
      <c r="I2156" s="15"/>
      <c r="J2156" s="15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</row>
    <row r="2157" ht="22.5" hidden="1" customHeight="1">
      <c r="A2157" s="6"/>
      <c r="B2157" s="20"/>
      <c r="C2157" s="36"/>
      <c r="D2157" s="13"/>
      <c r="E2157" s="13"/>
      <c r="F2157" s="13"/>
      <c r="G2157" s="13"/>
      <c r="H2157" s="13"/>
      <c r="I2157" s="15"/>
      <c r="J2157" s="15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</row>
    <row r="2158" ht="22.5" hidden="1" customHeight="1">
      <c r="A2158" s="6"/>
      <c r="B2158" s="20"/>
      <c r="C2158" s="36"/>
      <c r="D2158" s="13"/>
      <c r="E2158" s="13"/>
      <c r="F2158" s="13"/>
      <c r="G2158" s="13"/>
      <c r="H2158" s="13"/>
      <c r="I2158" s="15"/>
      <c r="J2158" s="15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</row>
    <row r="2159" ht="22.5" hidden="1" customHeight="1">
      <c r="A2159" s="6"/>
      <c r="B2159" s="20"/>
      <c r="C2159" s="36"/>
      <c r="D2159" s="13"/>
      <c r="E2159" s="13"/>
      <c r="F2159" s="13"/>
      <c r="G2159" s="13"/>
      <c r="H2159" s="13"/>
      <c r="I2159" s="15"/>
      <c r="J2159" s="15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</row>
    <row r="2160" ht="22.5" hidden="1" customHeight="1">
      <c r="A2160" s="6"/>
      <c r="B2160" s="20"/>
      <c r="C2160" s="36"/>
      <c r="D2160" s="13"/>
      <c r="E2160" s="13"/>
      <c r="F2160" s="13"/>
      <c r="G2160" s="13"/>
      <c r="H2160" s="13"/>
      <c r="I2160" s="15"/>
      <c r="J2160" s="15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</row>
    <row r="2161" ht="22.5" hidden="1" customHeight="1">
      <c r="A2161" s="6"/>
      <c r="B2161" s="20"/>
      <c r="C2161" s="36"/>
      <c r="D2161" s="13"/>
      <c r="E2161" s="13"/>
      <c r="F2161" s="13"/>
      <c r="G2161" s="13"/>
      <c r="H2161" s="13"/>
      <c r="I2161" s="15"/>
      <c r="J2161" s="15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</row>
    <row r="2162" ht="22.5" hidden="1" customHeight="1">
      <c r="A2162" s="6"/>
      <c r="B2162" s="20"/>
      <c r="C2162" s="36"/>
      <c r="D2162" s="13"/>
      <c r="E2162" s="13"/>
      <c r="F2162" s="13"/>
      <c r="G2162" s="13"/>
      <c r="H2162" s="13"/>
      <c r="I2162" s="15"/>
      <c r="J2162" s="15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</row>
    <row r="2163" ht="22.5" hidden="1" customHeight="1">
      <c r="A2163" s="6"/>
      <c r="B2163" s="20"/>
      <c r="C2163" s="36"/>
      <c r="D2163" s="13"/>
      <c r="E2163" s="13"/>
      <c r="F2163" s="13"/>
      <c r="G2163" s="13"/>
      <c r="H2163" s="13"/>
      <c r="I2163" s="15"/>
      <c r="J2163" s="15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</row>
    <row r="2164" ht="22.5" hidden="1" customHeight="1">
      <c r="A2164" s="6"/>
      <c r="B2164" s="20"/>
      <c r="C2164" s="36"/>
      <c r="D2164" s="13"/>
      <c r="E2164" s="13"/>
      <c r="F2164" s="13"/>
      <c r="G2164" s="13"/>
      <c r="H2164" s="13"/>
      <c r="I2164" s="15"/>
      <c r="J2164" s="15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</row>
    <row r="2165" ht="22.5" hidden="1" customHeight="1">
      <c r="A2165" s="6"/>
      <c r="B2165" s="20"/>
      <c r="C2165" s="36"/>
      <c r="D2165" s="13"/>
      <c r="E2165" s="13"/>
      <c r="F2165" s="13"/>
      <c r="G2165" s="13"/>
      <c r="H2165" s="13"/>
      <c r="I2165" s="15"/>
      <c r="J2165" s="15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</row>
    <row r="2166" ht="22.5" hidden="1" customHeight="1">
      <c r="A2166" s="6"/>
      <c r="B2166" s="20"/>
      <c r="C2166" s="36"/>
      <c r="D2166" s="13"/>
      <c r="E2166" s="13"/>
      <c r="F2166" s="13"/>
      <c r="G2166" s="13"/>
      <c r="H2166" s="13"/>
      <c r="I2166" s="15"/>
      <c r="J2166" s="15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</row>
    <row r="2167" ht="22.5" hidden="1" customHeight="1">
      <c r="A2167" s="6"/>
      <c r="B2167" s="20"/>
      <c r="C2167" s="36"/>
      <c r="D2167" s="13"/>
      <c r="E2167" s="13"/>
      <c r="F2167" s="13"/>
      <c r="G2167" s="13"/>
      <c r="H2167" s="13"/>
      <c r="I2167" s="15"/>
      <c r="J2167" s="15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</row>
    <row r="2168" ht="22.5" hidden="1" customHeight="1">
      <c r="A2168" s="6"/>
      <c r="B2168" s="20"/>
      <c r="C2168" s="36"/>
      <c r="D2168" s="13"/>
      <c r="E2168" s="13"/>
      <c r="F2168" s="13"/>
      <c r="G2168" s="13"/>
      <c r="H2168" s="13"/>
      <c r="I2168" s="15"/>
      <c r="J2168" s="15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</row>
    <row r="2169" ht="22.5" hidden="1" customHeight="1">
      <c r="A2169" s="6"/>
      <c r="B2169" s="20"/>
      <c r="C2169" s="36"/>
      <c r="D2169" s="13"/>
      <c r="E2169" s="13"/>
      <c r="F2169" s="13"/>
      <c r="G2169" s="13"/>
      <c r="H2169" s="13"/>
      <c r="I2169" s="15"/>
      <c r="J2169" s="15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</row>
    <row r="2170" ht="22.5" hidden="1" customHeight="1">
      <c r="A2170" s="6"/>
      <c r="B2170" s="20"/>
      <c r="C2170" s="36"/>
      <c r="D2170" s="13"/>
      <c r="E2170" s="13"/>
      <c r="F2170" s="13"/>
      <c r="G2170" s="13"/>
      <c r="H2170" s="13"/>
      <c r="I2170" s="15"/>
      <c r="J2170" s="15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</row>
    <row r="2171" ht="22.5" hidden="1" customHeight="1">
      <c r="A2171" s="6"/>
      <c r="B2171" s="20"/>
      <c r="C2171" s="36"/>
      <c r="D2171" s="13"/>
      <c r="E2171" s="13"/>
      <c r="F2171" s="13"/>
      <c r="G2171" s="13"/>
      <c r="H2171" s="13"/>
      <c r="I2171" s="15"/>
      <c r="J2171" s="15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</row>
    <row r="2172" ht="22.5" hidden="1" customHeight="1">
      <c r="A2172" s="6"/>
      <c r="B2172" s="20"/>
      <c r="C2172" s="36"/>
      <c r="D2172" s="13"/>
      <c r="E2172" s="13"/>
      <c r="F2172" s="13"/>
      <c r="G2172" s="13"/>
      <c r="H2172" s="13"/>
      <c r="I2172" s="15"/>
      <c r="J2172" s="15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</row>
    <row r="2173" ht="22.5" hidden="1" customHeight="1">
      <c r="A2173" s="6"/>
      <c r="B2173" s="20"/>
      <c r="C2173" s="36"/>
      <c r="D2173" s="13"/>
      <c r="E2173" s="13"/>
      <c r="F2173" s="13"/>
      <c r="G2173" s="13"/>
      <c r="H2173" s="13"/>
      <c r="I2173" s="15"/>
      <c r="J2173" s="15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</row>
    <row r="2174" ht="22.5" hidden="1" customHeight="1">
      <c r="A2174" s="6"/>
      <c r="B2174" s="20"/>
      <c r="C2174" s="36"/>
      <c r="D2174" s="13"/>
      <c r="E2174" s="13"/>
      <c r="F2174" s="13"/>
      <c r="G2174" s="13"/>
      <c r="H2174" s="13"/>
      <c r="I2174" s="15"/>
      <c r="J2174" s="15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</row>
    <row r="2175" ht="22.5" hidden="1" customHeight="1">
      <c r="A2175" s="6"/>
      <c r="B2175" s="20"/>
      <c r="C2175" s="36"/>
      <c r="D2175" s="13"/>
      <c r="E2175" s="13"/>
      <c r="F2175" s="13"/>
      <c r="G2175" s="13"/>
      <c r="H2175" s="13"/>
      <c r="I2175" s="15"/>
      <c r="J2175" s="15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</row>
    <row r="2176" ht="22.5" hidden="1" customHeight="1">
      <c r="A2176" s="6"/>
      <c r="B2176" s="20"/>
      <c r="C2176" s="36"/>
      <c r="D2176" s="13"/>
      <c r="E2176" s="13"/>
      <c r="F2176" s="13"/>
      <c r="G2176" s="13"/>
      <c r="H2176" s="13"/>
      <c r="I2176" s="15"/>
      <c r="J2176" s="15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</row>
    <row r="2177" ht="22.5" hidden="1" customHeight="1">
      <c r="A2177" s="6"/>
      <c r="B2177" s="20"/>
      <c r="C2177" s="36"/>
      <c r="D2177" s="13"/>
      <c r="E2177" s="13"/>
      <c r="F2177" s="13"/>
      <c r="G2177" s="13"/>
      <c r="H2177" s="13"/>
      <c r="I2177" s="15"/>
      <c r="J2177" s="15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</row>
    <row r="2178" ht="22.5" hidden="1" customHeight="1">
      <c r="A2178" s="6"/>
      <c r="B2178" s="20"/>
      <c r="C2178" s="36"/>
      <c r="D2178" s="13"/>
      <c r="E2178" s="13"/>
      <c r="F2178" s="13"/>
      <c r="G2178" s="13"/>
      <c r="H2178" s="13"/>
      <c r="I2178" s="15"/>
      <c r="J2178" s="15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</row>
    <row r="2179" ht="22.5" hidden="1" customHeight="1">
      <c r="A2179" s="6"/>
      <c r="B2179" s="20"/>
      <c r="C2179" s="36"/>
      <c r="D2179" s="13"/>
      <c r="E2179" s="13"/>
      <c r="F2179" s="13"/>
      <c r="G2179" s="13"/>
      <c r="H2179" s="13"/>
      <c r="I2179" s="15"/>
      <c r="J2179" s="15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</row>
    <row r="2180" ht="22.5" hidden="1" customHeight="1">
      <c r="A2180" s="6"/>
      <c r="B2180" s="20"/>
      <c r="C2180" s="36"/>
      <c r="D2180" s="13"/>
      <c r="E2180" s="13"/>
      <c r="F2180" s="13"/>
      <c r="G2180" s="13"/>
      <c r="H2180" s="13"/>
      <c r="I2180" s="15"/>
      <c r="J2180" s="15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</row>
    <row r="2181" ht="22.5" hidden="1" customHeight="1">
      <c r="A2181" s="6"/>
      <c r="B2181" s="20"/>
      <c r="C2181" s="36"/>
      <c r="D2181" s="13"/>
      <c r="E2181" s="13"/>
      <c r="F2181" s="13"/>
      <c r="G2181" s="13"/>
      <c r="H2181" s="13"/>
      <c r="I2181" s="15"/>
      <c r="J2181" s="15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</row>
    <row r="2182" ht="22.5" hidden="1" customHeight="1">
      <c r="A2182" s="6"/>
      <c r="B2182" s="20"/>
      <c r="C2182" s="36"/>
      <c r="D2182" s="13"/>
      <c r="E2182" s="13"/>
      <c r="F2182" s="13"/>
      <c r="G2182" s="13"/>
      <c r="H2182" s="13"/>
      <c r="I2182" s="15"/>
      <c r="J2182" s="15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</row>
    <row r="2183" ht="22.5" hidden="1" customHeight="1">
      <c r="A2183" s="6"/>
      <c r="B2183" s="20"/>
      <c r="C2183" s="36"/>
      <c r="D2183" s="13"/>
      <c r="E2183" s="13"/>
      <c r="F2183" s="13"/>
      <c r="G2183" s="13"/>
      <c r="H2183" s="13"/>
      <c r="I2183" s="15"/>
      <c r="J2183" s="15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</row>
    <row r="2184" ht="22.5" hidden="1" customHeight="1">
      <c r="A2184" s="6"/>
      <c r="B2184" s="20"/>
      <c r="C2184" s="36"/>
      <c r="D2184" s="13"/>
      <c r="E2184" s="13"/>
      <c r="F2184" s="13"/>
      <c r="G2184" s="13"/>
      <c r="H2184" s="13"/>
      <c r="I2184" s="15"/>
      <c r="J2184" s="15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</row>
    <row r="2185" ht="22.5" hidden="1" customHeight="1">
      <c r="A2185" s="6"/>
      <c r="B2185" s="20"/>
      <c r="C2185" s="36"/>
      <c r="D2185" s="13"/>
      <c r="E2185" s="13"/>
      <c r="F2185" s="13"/>
      <c r="G2185" s="13"/>
      <c r="H2185" s="13"/>
      <c r="I2185" s="15"/>
      <c r="J2185" s="15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</row>
    <row r="2186" ht="22.5" hidden="1" customHeight="1">
      <c r="A2186" s="6"/>
      <c r="B2186" s="20"/>
      <c r="C2186" s="36"/>
      <c r="D2186" s="13"/>
      <c r="E2186" s="13"/>
      <c r="F2186" s="13"/>
      <c r="G2186" s="13"/>
      <c r="H2186" s="13"/>
      <c r="I2186" s="15"/>
      <c r="J2186" s="15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</row>
    <row r="2187" ht="22.5" hidden="1" customHeight="1">
      <c r="A2187" s="6"/>
      <c r="B2187" s="20"/>
      <c r="C2187" s="36"/>
      <c r="D2187" s="13"/>
      <c r="E2187" s="13"/>
      <c r="F2187" s="13"/>
      <c r="G2187" s="13"/>
      <c r="H2187" s="13"/>
      <c r="I2187" s="15"/>
      <c r="J2187" s="15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</row>
    <row r="2188" ht="22.5" hidden="1" customHeight="1">
      <c r="A2188" s="6"/>
      <c r="B2188" s="20"/>
      <c r="C2188" s="36"/>
      <c r="D2188" s="13"/>
      <c r="E2188" s="13"/>
      <c r="F2188" s="13"/>
      <c r="G2188" s="13"/>
      <c r="H2188" s="13"/>
      <c r="I2188" s="15"/>
      <c r="J2188" s="15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</row>
    <row r="2189" ht="22.5" hidden="1" customHeight="1">
      <c r="A2189" s="6"/>
      <c r="B2189" s="20"/>
      <c r="C2189" s="36"/>
      <c r="D2189" s="13"/>
      <c r="E2189" s="13"/>
      <c r="F2189" s="13"/>
      <c r="G2189" s="13"/>
      <c r="H2189" s="13"/>
      <c r="I2189" s="15"/>
      <c r="J2189" s="15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</row>
    <row r="2190" ht="22.5" hidden="1" customHeight="1">
      <c r="A2190" s="6"/>
      <c r="B2190" s="20"/>
      <c r="C2190" s="36"/>
      <c r="D2190" s="13"/>
      <c r="E2190" s="13"/>
      <c r="F2190" s="13"/>
      <c r="G2190" s="13"/>
      <c r="H2190" s="13"/>
      <c r="I2190" s="15"/>
      <c r="J2190" s="15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</row>
    <row r="2191" ht="22.5" hidden="1" customHeight="1">
      <c r="A2191" s="6"/>
      <c r="B2191" s="20"/>
      <c r="C2191" s="36"/>
      <c r="D2191" s="13"/>
      <c r="E2191" s="13"/>
      <c r="F2191" s="13"/>
      <c r="G2191" s="13"/>
      <c r="H2191" s="13"/>
      <c r="I2191" s="15"/>
      <c r="J2191" s="15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</row>
    <row r="2192" ht="22.5" hidden="1" customHeight="1">
      <c r="A2192" s="6"/>
      <c r="B2192" s="20"/>
      <c r="C2192" s="36"/>
      <c r="D2192" s="13"/>
      <c r="E2192" s="13"/>
      <c r="F2192" s="13"/>
      <c r="G2192" s="13"/>
      <c r="H2192" s="13"/>
      <c r="I2192" s="15"/>
      <c r="J2192" s="15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</row>
    <row r="2193" ht="22.5" hidden="1" customHeight="1">
      <c r="A2193" s="6"/>
      <c r="B2193" s="20"/>
      <c r="C2193" s="36"/>
      <c r="D2193" s="13"/>
      <c r="E2193" s="13"/>
      <c r="F2193" s="13"/>
      <c r="G2193" s="13"/>
      <c r="H2193" s="13"/>
      <c r="I2193" s="15"/>
      <c r="J2193" s="15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</row>
    <row r="2194" ht="22.5" hidden="1" customHeight="1">
      <c r="A2194" s="6"/>
      <c r="B2194" s="20"/>
      <c r="C2194" s="36"/>
      <c r="D2194" s="13"/>
      <c r="E2194" s="13"/>
      <c r="F2194" s="13"/>
      <c r="G2194" s="13"/>
      <c r="H2194" s="13"/>
      <c r="I2194" s="15"/>
      <c r="J2194" s="15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</row>
    <row r="2195" ht="22.5" hidden="1" customHeight="1">
      <c r="A2195" s="6"/>
      <c r="B2195" s="20"/>
      <c r="C2195" s="36"/>
      <c r="D2195" s="13"/>
      <c r="E2195" s="13"/>
      <c r="F2195" s="13"/>
      <c r="G2195" s="13"/>
      <c r="H2195" s="13"/>
      <c r="I2195" s="15"/>
      <c r="J2195" s="15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</row>
    <row r="2196" ht="22.5" hidden="1" customHeight="1">
      <c r="A2196" s="6"/>
      <c r="B2196" s="20"/>
      <c r="C2196" s="36"/>
      <c r="D2196" s="13"/>
      <c r="E2196" s="13"/>
      <c r="F2196" s="13"/>
      <c r="G2196" s="13"/>
      <c r="H2196" s="13"/>
      <c r="I2196" s="15"/>
      <c r="J2196" s="15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</row>
    <row r="2197" ht="22.5" hidden="1" customHeight="1">
      <c r="A2197" s="6"/>
      <c r="B2197" s="20"/>
      <c r="C2197" s="36"/>
      <c r="D2197" s="13"/>
      <c r="E2197" s="13"/>
      <c r="F2197" s="13"/>
      <c r="G2197" s="13"/>
      <c r="H2197" s="13"/>
      <c r="I2197" s="15"/>
      <c r="J2197" s="15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</row>
    <row r="2198" ht="22.5" hidden="1" customHeight="1">
      <c r="A2198" s="6"/>
      <c r="B2198" s="20"/>
      <c r="C2198" s="36"/>
      <c r="D2198" s="13"/>
      <c r="E2198" s="13"/>
      <c r="F2198" s="13"/>
      <c r="G2198" s="13"/>
      <c r="H2198" s="13"/>
      <c r="I2198" s="15"/>
      <c r="J2198" s="15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</row>
    <row r="2199" ht="22.5" hidden="1" customHeight="1">
      <c r="A2199" s="6"/>
      <c r="B2199" s="20"/>
      <c r="C2199" s="36"/>
      <c r="D2199" s="13"/>
      <c r="E2199" s="13"/>
      <c r="F2199" s="13"/>
      <c r="G2199" s="13"/>
      <c r="H2199" s="13"/>
      <c r="I2199" s="15"/>
      <c r="J2199" s="15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</row>
    <row r="2200" ht="22.5" hidden="1" customHeight="1">
      <c r="A2200" s="6"/>
      <c r="B2200" s="20"/>
      <c r="C2200" s="36"/>
      <c r="D2200" s="13"/>
      <c r="E2200" s="13"/>
      <c r="F2200" s="13"/>
      <c r="G2200" s="13"/>
      <c r="H2200" s="13"/>
      <c r="I2200" s="15"/>
      <c r="J2200" s="15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</row>
    <row r="2201" ht="22.5" hidden="1" customHeight="1">
      <c r="A2201" s="6"/>
      <c r="B2201" s="20"/>
      <c r="C2201" s="36"/>
      <c r="D2201" s="13"/>
      <c r="E2201" s="13"/>
      <c r="F2201" s="13"/>
      <c r="G2201" s="13"/>
      <c r="H2201" s="13"/>
      <c r="I2201" s="15"/>
      <c r="J2201" s="15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</row>
    <row r="2202" ht="22.5" hidden="1" customHeight="1">
      <c r="A2202" s="6"/>
      <c r="B2202" s="20"/>
      <c r="C2202" s="36"/>
      <c r="D2202" s="13"/>
      <c r="E2202" s="13"/>
      <c r="F2202" s="13"/>
      <c r="G2202" s="13"/>
      <c r="H2202" s="13"/>
      <c r="I2202" s="15"/>
      <c r="J2202" s="15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</row>
    <row r="2203" ht="22.5" hidden="1" customHeight="1">
      <c r="A2203" s="6"/>
      <c r="B2203" s="20"/>
      <c r="C2203" s="36"/>
      <c r="D2203" s="13"/>
      <c r="E2203" s="13"/>
      <c r="F2203" s="13"/>
      <c r="G2203" s="13"/>
      <c r="H2203" s="13"/>
      <c r="I2203" s="15"/>
      <c r="J2203" s="15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</row>
    <row r="2204" ht="22.5" hidden="1" customHeight="1">
      <c r="A2204" s="6"/>
      <c r="B2204" s="20"/>
      <c r="C2204" s="36"/>
      <c r="D2204" s="13"/>
      <c r="E2204" s="13"/>
      <c r="F2204" s="13"/>
      <c r="G2204" s="13"/>
      <c r="H2204" s="13"/>
      <c r="I2204" s="15"/>
      <c r="J2204" s="15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</row>
    <row r="2205" ht="22.5" hidden="1" customHeight="1">
      <c r="A2205" s="6"/>
      <c r="B2205" s="20"/>
      <c r="C2205" s="36"/>
      <c r="D2205" s="13"/>
      <c r="E2205" s="13"/>
      <c r="F2205" s="13"/>
      <c r="G2205" s="13"/>
      <c r="H2205" s="13"/>
      <c r="I2205" s="15"/>
      <c r="J2205" s="15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</row>
    <row r="2206" ht="22.5" hidden="1" customHeight="1">
      <c r="A2206" s="6"/>
      <c r="B2206" s="20"/>
      <c r="C2206" s="36"/>
      <c r="D2206" s="13"/>
      <c r="E2206" s="13"/>
      <c r="F2206" s="13"/>
      <c r="G2206" s="13"/>
      <c r="H2206" s="13"/>
      <c r="I2206" s="15"/>
      <c r="J2206" s="15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</row>
    <row r="2207" ht="22.5" hidden="1" customHeight="1">
      <c r="A2207" s="6"/>
      <c r="B2207" s="20"/>
      <c r="C2207" s="36"/>
      <c r="D2207" s="13"/>
      <c r="E2207" s="13"/>
      <c r="F2207" s="13"/>
      <c r="G2207" s="13"/>
      <c r="H2207" s="13"/>
      <c r="I2207" s="15"/>
      <c r="J2207" s="15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</row>
    <row r="2208" ht="22.5" hidden="1" customHeight="1">
      <c r="A2208" s="6"/>
      <c r="B2208" s="20"/>
      <c r="C2208" s="36"/>
      <c r="D2208" s="13"/>
      <c r="E2208" s="13"/>
      <c r="F2208" s="13"/>
      <c r="G2208" s="13"/>
      <c r="H2208" s="13"/>
      <c r="I2208" s="15"/>
      <c r="J2208" s="15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</row>
    <row r="2209" ht="22.5" hidden="1" customHeight="1">
      <c r="A2209" s="6"/>
      <c r="B2209" s="20"/>
      <c r="C2209" s="36"/>
      <c r="D2209" s="13"/>
      <c r="E2209" s="13"/>
      <c r="F2209" s="13"/>
      <c r="G2209" s="13"/>
      <c r="H2209" s="13"/>
      <c r="I2209" s="15"/>
      <c r="J2209" s="15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</row>
    <row r="2210" ht="22.5" hidden="1" customHeight="1">
      <c r="A2210" s="6"/>
      <c r="B2210" s="20"/>
      <c r="C2210" s="36"/>
      <c r="D2210" s="13"/>
      <c r="E2210" s="13"/>
      <c r="F2210" s="13"/>
      <c r="G2210" s="13"/>
      <c r="H2210" s="13"/>
      <c r="I2210" s="15"/>
      <c r="J2210" s="15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</row>
    <row r="2211" ht="22.5" hidden="1" customHeight="1">
      <c r="A2211" s="6"/>
      <c r="B2211" s="20"/>
      <c r="C2211" s="36"/>
      <c r="D2211" s="13"/>
      <c r="E2211" s="13"/>
      <c r="F2211" s="13"/>
      <c r="G2211" s="13"/>
      <c r="H2211" s="13"/>
      <c r="I2211" s="15"/>
      <c r="J2211" s="15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</row>
    <row r="2212" ht="22.5" hidden="1" customHeight="1">
      <c r="A2212" s="6"/>
      <c r="B2212" s="20"/>
      <c r="C2212" s="36"/>
      <c r="D2212" s="13"/>
      <c r="E2212" s="13"/>
      <c r="F2212" s="13"/>
      <c r="G2212" s="13"/>
      <c r="H2212" s="13"/>
      <c r="I2212" s="15"/>
      <c r="J2212" s="15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</row>
    <row r="2213" ht="22.5" hidden="1" customHeight="1">
      <c r="A2213" s="6"/>
      <c r="B2213" s="20"/>
      <c r="C2213" s="36"/>
      <c r="D2213" s="13"/>
      <c r="E2213" s="13"/>
      <c r="F2213" s="13"/>
      <c r="G2213" s="13"/>
      <c r="H2213" s="13"/>
      <c r="I2213" s="15"/>
      <c r="J2213" s="15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</row>
    <row r="2214" ht="22.5" hidden="1" customHeight="1">
      <c r="A2214" s="6"/>
      <c r="B2214" s="20"/>
      <c r="C2214" s="36"/>
      <c r="D2214" s="13"/>
      <c r="E2214" s="13"/>
      <c r="F2214" s="13"/>
      <c r="G2214" s="13"/>
      <c r="H2214" s="13"/>
      <c r="I2214" s="15"/>
      <c r="J2214" s="15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</row>
    <row r="2215" ht="22.5" hidden="1" customHeight="1">
      <c r="A2215" s="6"/>
      <c r="B2215" s="20"/>
      <c r="C2215" s="36"/>
      <c r="D2215" s="13"/>
      <c r="E2215" s="13"/>
      <c r="F2215" s="13"/>
      <c r="G2215" s="13"/>
      <c r="H2215" s="13"/>
      <c r="I2215" s="15"/>
      <c r="J2215" s="15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</row>
    <row r="2216" ht="22.5" hidden="1" customHeight="1">
      <c r="A2216" s="6"/>
      <c r="B2216" s="20"/>
      <c r="C2216" s="36"/>
      <c r="D2216" s="13"/>
      <c r="E2216" s="13"/>
      <c r="F2216" s="13"/>
      <c r="G2216" s="13"/>
      <c r="H2216" s="13"/>
      <c r="I2216" s="15"/>
      <c r="J2216" s="15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</row>
    <row r="2217" ht="22.5" hidden="1" customHeight="1">
      <c r="A2217" s="6"/>
      <c r="B2217" s="20"/>
      <c r="C2217" s="36"/>
      <c r="D2217" s="13"/>
      <c r="E2217" s="13"/>
      <c r="F2217" s="13"/>
      <c r="G2217" s="13"/>
      <c r="H2217" s="13"/>
      <c r="I2217" s="15"/>
      <c r="J2217" s="15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</row>
    <row r="2218" ht="22.5" hidden="1" customHeight="1">
      <c r="A2218" s="6"/>
      <c r="B2218" s="20"/>
      <c r="C2218" s="36"/>
      <c r="D2218" s="13"/>
      <c r="E2218" s="13"/>
      <c r="F2218" s="13"/>
      <c r="G2218" s="13"/>
      <c r="H2218" s="13"/>
      <c r="I2218" s="15"/>
      <c r="J2218" s="15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</row>
    <row r="2219" ht="22.5" hidden="1" customHeight="1">
      <c r="A2219" s="6"/>
      <c r="B2219" s="20"/>
      <c r="C2219" s="36"/>
      <c r="D2219" s="13"/>
      <c r="E2219" s="13"/>
      <c r="F2219" s="13"/>
      <c r="G2219" s="13"/>
      <c r="H2219" s="13"/>
      <c r="I2219" s="15"/>
      <c r="J2219" s="15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</row>
    <row r="2220" ht="22.5" hidden="1" customHeight="1">
      <c r="A2220" s="6"/>
      <c r="B2220" s="20"/>
      <c r="C2220" s="36"/>
      <c r="D2220" s="13"/>
      <c r="E2220" s="13"/>
      <c r="F2220" s="13"/>
      <c r="G2220" s="13"/>
      <c r="H2220" s="13"/>
      <c r="I2220" s="15"/>
      <c r="J2220" s="15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</row>
    <row r="2221" ht="22.5" hidden="1" customHeight="1">
      <c r="A2221" s="6"/>
      <c r="B2221" s="20"/>
      <c r="C2221" s="36"/>
      <c r="D2221" s="13"/>
      <c r="E2221" s="13"/>
      <c r="F2221" s="13"/>
      <c r="G2221" s="13"/>
      <c r="H2221" s="13"/>
      <c r="I2221" s="15"/>
      <c r="J2221" s="15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</row>
    <row r="2222" ht="22.5" hidden="1" customHeight="1">
      <c r="A2222" s="6"/>
      <c r="B2222" s="20"/>
      <c r="C2222" s="36"/>
      <c r="D2222" s="13"/>
      <c r="E2222" s="13"/>
      <c r="F2222" s="13"/>
      <c r="G2222" s="13"/>
      <c r="H2222" s="13"/>
      <c r="I2222" s="15"/>
      <c r="J2222" s="15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</row>
    <row r="2223" ht="22.5" hidden="1" customHeight="1">
      <c r="A2223" s="6"/>
      <c r="B2223" s="20"/>
      <c r="C2223" s="36"/>
      <c r="D2223" s="13"/>
      <c r="E2223" s="13"/>
      <c r="F2223" s="13"/>
      <c r="G2223" s="13"/>
      <c r="H2223" s="13"/>
      <c r="I2223" s="15"/>
      <c r="J2223" s="15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</row>
    <row r="2224" ht="22.5" hidden="1" customHeight="1">
      <c r="A2224" s="6"/>
      <c r="B2224" s="20"/>
      <c r="C2224" s="36"/>
      <c r="D2224" s="13"/>
      <c r="E2224" s="13"/>
      <c r="F2224" s="13"/>
      <c r="G2224" s="13"/>
      <c r="H2224" s="13"/>
      <c r="I2224" s="15"/>
      <c r="J2224" s="15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</row>
    <row r="2225" ht="22.5" hidden="1" customHeight="1">
      <c r="A2225" s="6"/>
      <c r="B2225" s="20"/>
      <c r="C2225" s="36"/>
      <c r="D2225" s="13"/>
      <c r="E2225" s="13"/>
      <c r="F2225" s="13"/>
      <c r="G2225" s="13"/>
      <c r="H2225" s="13"/>
      <c r="I2225" s="15"/>
      <c r="J2225" s="15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</row>
    <row r="2226" ht="22.5" hidden="1" customHeight="1">
      <c r="A2226" s="6"/>
      <c r="B2226" s="20"/>
      <c r="C2226" s="36"/>
      <c r="D2226" s="13"/>
      <c r="E2226" s="13"/>
      <c r="F2226" s="13"/>
      <c r="G2226" s="13"/>
      <c r="H2226" s="13"/>
      <c r="I2226" s="15"/>
      <c r="J2226" s="15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</row>
    <row r="2227" ht="22.5" hidden="1" customHeight="1">
      <c r="A2227" s="6"/>
      <c r="B2227" s="20"/>
      <c r="C2227" s="36"/>
      <c r="D2227" s="13"/>
      <c r="E2227" s="13"/>
      <c r="F2227" s="13"/>
      <c r="G2227" s="13"/>
      <c r="H2227" s="13"/>
      <c r="I2227" s="15"/>
      <c r="J2227" s="15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</row>
    <row r="2228" ht="22.5" hidden="1" customHeight="1">
      <c r="A2228" s="6"/>
      <c r="B2228" s="20"/>
      <c r="C2228" s="36"/>
      <c r="D2228" s="13"/>
      <c r="E2228" s="13"/>
      <c r="F2228" s="13"/>
      <c r="G2228" s="13"/>
      <c r="H2228" s="13"/>
      <c r="I2228" s="15"/>
      <c r="J2228" s="15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</row>
    <row r="2229" ht="22.5" hidden="1" customHeight="1">
      <c r="A2229" s="6"/>
      <c r="B2229" s="20"/>
      <c r="C2229" s="36"/>
      <c r="D2229" s="13"/>
      <c r="E2229" s="13"/>
      <c r="F2229" s="13"/>
      <c r="G2229" s="13"/>
      <c r="H2229" s="13"/>
      <c r="I2229" s="15"/>
      <c r="J2229" s="15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</row>
    <row r="2230" ht="22.5" hidden="1" customHeight="1">
      <c r="A2230" s="6"/>
      <c r="B2230" s="20"/>
      <c r="C2230" s="36"/>
      <c r="D2230" s="13"/>
      <c r="E2230" s="13"/>
      <c r="F2230" s="13"/>
      <c r="G2230" s="13"/>
      <c r="H2230" s="13"/>
      <c r="I2230" s="15"/>
      <c r="J2230" s="15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</row>
    <row r="2231" ht="22.5" hidden="1" customHeight="1">
      <c r="A2231" s="6"/>
      <c r="B2231" s="20"/>
      <c r="C2231" s="36"/>
      <c r="D2231" s="13"/>
      <c r="E2231" s="13"/>
      <c r="F2231" s="13"/>
      <c r="G2231" s="13"/>
      <c r="H2231" s="13"/>
      <c r="I2231" s="15"/>
      <c r="J2231" s="15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</row>
    <row r="2232" ht="22.5" hidden="1" customHeight="1">
      <c r="A2232" s="6"/>
      <c r="B2232" s="20"/>
      <c r="C2232" s="36"/>
      <c r="D2232" s="13"/>
      <c r="E2232" s="13"/>
      <c r="F2232" s="13"/>
      <c r="G2232" s="13"/>
      <c r="H2232" s="13"/>
      <c r="I2232" s="15"/>
      <c r="J2232" s="15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</row>
    <row r="2233" ht="22.5" hidden="1" customHeight="1">
      <c r="A2233" s="6"/>
      <c r="B2233" s="20"/>
      <c r="C2233" s="36"/>
      <c r="D2233" s="13"/>
      <c r="E2233" s="13"/>
      <c r="F2233" s="13"/>
      <c r="G2233" s="13"/>
      <c r="H2233" s="13"/>
      <c r="I2233" s="15"/>
      <c r="J2233" s="15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</row>
    <row r="2234" ht="22.5" hidden="1" customHeight="1">
      <c r="A2234" s="6"/>
      <c r="B2234" s="20"/>
      <c r="C2234" s="36"/>
      <c r="D2234" s="13"/>
      <c r="E2234" s="13"/>
      <c r="F2234" s="13"/>
      <c r="G2234" s="13"/>
      <c r="H2234" s="13"/>
      <c r="I2234" s="15"/>
      <c r="J2234" s="15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</row>
    <row r="2235" ht="22.5" hidden="1" customHeight="1">
      <c r="A2235" s="6"/>
      <c r="B2235" s="20"/>
      <c r="C2235" s="36"/>
      <c r="D2235" s="13"/>
      <c r="E2235" s="13"/>
      <c r="F2235" s="13"/>
      <c r="G2235" s="13"/>
      <c r="H2235" s="13"/>
      <c r="I2235" s="15"/>
      <c r="J2235" s="15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</row>
    <row r="2236" ht="22.5" hidden="1" customHeight="1">
      <c r="A2236" s="6"/>
      <c r="B2236" s="20"/>
      <c r="C2236" s="36"/>
      <c r="D2236" s="13"/>
      <c r="E2236" s="13"/>
      <c r="F2236" s="13"/>
      <c r="G2236" s="13"/>
      <c r="H2236" s="13"/>
      <c r="I2236" s="15"/>
      <c r="J2236" s="15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</row>
    <row r="2237" ht="22.5" hidden="1" customHeight="1">
      <c r="A2237" s="6"/>
      <c r="B2237" s="20"/>
      <c r="C2237" s="36"/>
      <c r="D2237" s="13"/>
      <c r="E2237" s="13"/>
      <c r="F2237" s="13"/>
      <c r="G2237" s="13"/>
      <c r="H2237" s="13"/>
      <c r="I2237" s="15"/>
      <c r="J2237" s="15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</row>
    <row r="2238" ht="22.5" hidden="1" customHeight="1">
      <c r="A2238" s="6"/>
      <c r="B2238" s="20"/>
      <c r="C2238" s="36"/>
      <c r="D2238" s="13"/>
      <c r="E2238" s="13"/>
      <c r="F2238" s="13"/>
      <c r="G2238" s="13"/>
      <c r="H2238" s="13"/>
      <c r="I2238" s="15"/>
      <c r="J2238" s="15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</row>
    <row r="2239" ht="22.5" hidden="1" customHeight="1">
      <c r="A2239" s="6"/>
      <c r="B2239" s="20"/>
      <c r="C2239" s="36"/>
      <c r="D2239" s="13"/>
      <c r="E2239" s="13"/>
      <c r="F2239" s="13"/>
      <c r="G2239" s="13"/>
      <c r="H2239" s="13"/>
      <c r="I2239" s="15"/>
      <c r="J2239" s="15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</row>
    <row r="2240" ht="22.5" hidden="1" customHeight="1">
      <c r="A2240" s="6"/>
      <c r="B2240" s="20"/>
      <c r="C2240" s="36"/>
      <c r="D2240" s="13"/>
      <c r="E2240" s="13"/>
      <c r="F2240" s="13"/>
      <c r="G2240" s="13"/>
      <c r="H2240" s="13"/>
      <c r="I2240" s="15"/>
      <c r="J2240" s="15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</row>
    <row r="2241" ht="22.5" hidden="1" customHeight="1">
      <c r="A2241" s="6"/>
      <c r="B2241" s="20"/>
      <c r="C2241" s="36"/>
      <c r="D2241" s="13"/>
      <c r="E2241" s="13"/>
      <c r="F2241" s="13"/>
      <c r="G2241" s="13"/>
      <c r="H2241" s="13"/>
      <c r="I2241" s="15"/>
      <c r="J2241" s="15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</row>
    <row r="2242" ht="22.5" hidden="1" customHeight="1">
      <c r="A2242" s="6"/>
      <c r="B2242" s="20"/>
      <c r="C2242" s="36"/>
      <c r="D2242" s="13"/>
      <c r="E2242" s="13"/>
      <c r="F2242" s="13"/>
      <c r="G2242" s="13"/>
      <c r="H2242" s="13"/>
      <c r="I2242" s="15"/>
      <c r="J2242" s="15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</row>
    <row r="2243" ht="22.5" hidden="1" customHeight="1">
      <c r="A2243" s="6"/>
      <c r="B2243" s="20"/>
      <c r="C2243" s="36"/>
      <c r="D2243" s="13"/>
      <c r="E2243" s="13"/>
      <c r="F2243" s="13"/>
      <c r="G2243" s="13"/>
      <c r="H2243" s="13"/>
      <c r="I2243" s="15"/>
      <c r="J2243" s="15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</row>
    <row r="2244" ht="22.5" hidden="1" customHeight="1">
      <c r="A2244" s="6"/>
      <c r="B2244" s="20"/>
      <c r="C2244" s="36"/>
      <c r="D2244" s="13"/>
      <c r="E2244" s="13"/>
      <c r="F2244" s="13"/>
      <c r="G2244" s="13"/>
      <c r="H2244" s="13"/>
      <c r="I2244" s="15"/>
      <c r="J2244" s="15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</row>
    <row r="2245" ht="22.5" hidden="1" customHeight="1">
      <c r="A2245" s="6"/>
      <c r="B2245" s="20"/>
      <c r="C2245" s="36"/>
      <c r="D2245" s="13"/>
      <c r="E2245" s="13"/>
      <c r="F2245" s="13"/>
      <c r="G2245" s="13"/>
      <c r="H2245" s="13"/>
      <c r="I2245" s="15"/>
      <c r="J2245" s="15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</row>
    <row r="2246" ht="22.5" hidden="1" customHeight="1">
      <c r="A2246" s="6"/>
      <c r="B2246" s="20"/>
      <c r="C2246" s="36"/>
      <c r="D2246" s="13"/>
      <c r="E2246" s="13"/>
      <c r="F2246" s="13"/>
      <c r="G2246" s="13"/>
      <c r="H2246" s="13"/>
      <c r="I2246" s="15"/>
      <c r="J2246" s="15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</row>
    <row r="2247" ht="22.5" hidden="1" customHeight="1">
      <c r="A2247" s="6"/>
      <c r="B2247" s="20"/>
      <c r="C2247" s="36"/>
      <c r="D2247" s="13"/>
      <c r="E2247" s="13"/>
      <c r="F2247" s="13"/>
      <c r="G2247" s="13"/>
      <c r="H2247" s="13"/>
      <c r="I2247" s="15"/>
      <c r="J2247" s="15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</row>
    <row r="2248" ht="22.5" hidden="1" customHeight="1">
      <c r="A2248" s="6"/>
      <c r="B2248" s="20"/>
      <c r="C2248" s="36"/>
      <c r="D2248" s="13"/>
      <c r="E2248" s="13"/>
      <c r="F2248" s="13"/>
      <c r="G2248" s="13"/>
      <c r="H2248" s="13"/>
      <c r="I2248" s="15"/>
      <c r="J2248" s="15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</row>
    <row r="2249" ht="22.5" hidden="1" customHeight="1">
      <c r="A2249" s="6"/>
      <c r="B2249" s="20"/>
      <c r="C2249" s="36"/>
      <c r="D2249" s="13"/>
      <c r="E2249" s="13"/>
      <c r="F2249" s="13"/>
      <c r="G2249" s="13"/>
      <c r="H2249" s="13"/>
      <c r="I2249" s="15"/>
      <c r="J2249" s="15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</row>
    <row r="2250" ht="22.5" hidden="1" customHeight="1">
      <c r="A2250" s="6"/>
      <c r="B2250" s="20"/>
      <c r="C2250" s="36"/>
      <c r="D2250" s="13"/>
      <c r="E2250" s="13"/>
      <c r="F2250" s="13"/>
      <c r="G2250" s="13"/>
      <c r="H2250" s="13"/>
      <c r="I2250" s="15"/>
      <c r="J2250" s="15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</row>
    <row r="2251" ht="22.5" hidden="1" customHeight="1">
      <c r="A2251" s="6"/>
      <c r="B2251" s="20"/>
      <c r="C2251" s="36"/>
      <c r="D2251" s="13"/>
      <c r="E2251" s="13"/>
      <c r="F2251" s="13"/>
      <c r="G2251" s="13"/>
      <c r="H2251" s="13"/>
      <c r="I2251" s="15"/>
      <c r="J2251" s="15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</row>
    <row r="2252" ht="22.5" hidden="1" customHeight="1">
      <c r="A2252" s="6"/>
      <c r="B2252" s="20"/>
      <c r="C2252" s="36"/>
      <c r="D2252" s="13"/>
      <c r="E2252" s="13"/>
      <c r="F2252" s="13"/>
      <c r="G2252" s="13"/>
      <c r="H2252" s="13"/>
      <c r="I2252" s="15"/>
      <c r="J2252" s="15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</row>
    <row r="2253" ht="22.5" hidden="1" customHeight="1">
      <c r="A2253" s="6"/>
      <c r="B2253" s="20"/>
      <c r="C2253" s="36"/>
      <c r="D2253" s="13"/>
      <c r="E2253" s="13"/>
      <c r="F2253" s="13"/>
      <c r="G2253" s="13"/>
      <c r="H2253" s="13"/>
      <c r="I2253" s="15"/>
      <c r="J2253" s="15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</row>
    <row r="2254" ht="22.5" hidden="1" customHeight="1">
      <c r="A2254" s="6"/>
      <c r="B2254" s="20"/>
      <c r="C2254" s="36"/>
      <c r="D2254" s="13"/>
      <c r="E2254" s="13"/>
      <c r="F2254" s="13"/>
      <c r="G2254" s="13"/>
      <c r="H2254" s="13"/>
      <c r="I2254" s="15"/>
      <c r="J2254" s="15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</row>
    <row r="2255" ht="22.5" hidden="1" customHeight="1">
      <c r="A2255" s="6"/>
      <c r="B2255" s="20"/>
      <c r="C2255" s="36"/>
      <c r="D2255" s="13"/>
      <c r="E2255" s="13"/>
      <c r="F2255" s="13"/>
      <c r="G2255" s="13"/>
      <c r="H2255" s="13"/>
      <c r="I2255" s="15"/>
      <c r="J2255" s="15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</row>
    <row r="2256" ht="22.5" hidden="1" customHeight="1">
      <c r="A2256" s="6"/>
      <c r="B2256" s="20"/>
      <c r="C2256" s="36"/>
      <c r="D2256" s="13"/>
      <c r="E2256" s="13"/>
      <c r="F2256" s="13"/>
      <c r="G2256" s="13"/>
      <c r="H2256" s="13"/>
      <c r="I2256" s="15"/>
      <c r="J2256" s="15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</row>
    <row r="2257" ht="22.5" hidden="1" customHeight="1">
      <c r="A2257" s="6"/>
      <c r="B2257" s="20"/>
      <c r="C2257" s="36"/>
      <c r="D2257" s="13"/>
      <c r="E2257" s="13"/>
      <c r="F2257" s="13"/>
      <c r="G2257" s="13"/>
      <c r="H2257" s="13"/>
      <c r="I2257" s="15"/>
      <c r="J2257" s="15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</row>
    <row r="2258" ht="22.5" hidden="1" customHeight="1">
      <c r="A2258" s="6"/>
      <c r="B2258" s="20"/>
      <c r="C2258" s="36"/>
      <c r="D2258" s="13"/>
      <c r="E2258" s="13"/>
      <c r="F2258" s="13"/>
      <c r="G2258" s="13"/>
      <c r="H2258" s="13"/>
      <c r="I2258" s="15"/>
      <c r="J2258" s="15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</row>
    <row r="2259" ht="22.5" hidden="1" customHeight="1">
      <c r="A2259" s="6"/>
      <c r="B2259" s="20"/>
      <c r="C2259" s="36"/>
      <c r="D2259" s="13"/>
      <c r="E2259" s="13"/>
      <c r="F2259" s="13"/>
      <c r="G2259" s="13"/>
      <c r="H2259" s="13"/>
      <c r="I2259" s="15"/>
      <c r="J2259" s="15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</row>
    <row r="2260" ht="22.5" hidden="1" customHeight="1">
      <c r="A2260" s="6"/>
      <c r="B2260" s="20"/>
      <c r="C2260" s="36"/>
      <c r="D2260" s="13"/>
      <c r="E2260" s="13"/>
      <c r="F2260" s="13"/>
      <c r="G2260" s="13"/>
      <c r="H2260" s="13"/>
      <c r="I2260" s="15"/>
      <c r="J2260" s="15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</row>
    <row r="2261" ht="22.5" hidden="1" customHeight="1">
      <c r="A2261" s="6"/>
      <c r="B2261" s="20"/>
      <c r="C2261" s="36"/>
      <c r="D2261" s="13"/>
      <c r="E2261" s="13"/>
      <c r="F2261" s="13"/>
      <c r="G2261" s="13"/>
      <c r="H2261" s="13"/>
      <c r="I2261" s="15"/>
      <c r="J2261" s="15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</row>
    <row r="2262" ht="22.5" hidden="1" customHeight="1">
      <c r="A2262" s="6"/>
      <c r="B2262" s="20"/>
      <c r="C2262" s="36"/>
      <c r="D2262" s="13"/>
      <c r="E2262" s="13"/>
      <c r="F2262" s="13"/>
      <c r="G2262" s="13"/>
      <c r="H2262" s="13"/>
      <c r="I2262" s="15"/>
      <c r="J2262" s="15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</row>
    <row r="2263" ht="22.5" hidden="1" customHeight="1">
      <c r="A2263" s="6"/>
      <c r="B2263" s="20"/>
      <c r="C2263" s="36"/>
      <c r="D2263" s="13"/>
      <c r="E2263" s="13"/>
      <c r="F2263" s="13"/>
      <c r="G2263" s="13"/>
      <c r="H2263" s="13"/>
      <c r="I2263" s="15"/>
      <c r="J2263" s="15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</row>
    <row r="2264" ht="22.5" hidden="1" customHeight="1">
      <c r="A2264" s="6"/>
      <c r="B2264" s="20"/>
      <c r="C2264" s="36"/>
      <c r="D2264" s="13"/>
      <c r="E2264" s="13"/>
      <c r="F2264" s="13"/>
      <c r="G2264" s="13"/>
      <c r="H2264" s="13"/>
      <c r="I2264" s="15"/>
      <c r="J2264" s="15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</row>
    <row r="2265" ht="22.5" hidden="1" customHeight="1">
      <c r="A2265" s="6"/>
      <c r="B2265" s="20"/>
      <c r="C2265" s="36"/>
      <c r="D2265" s="13"/>
      <c r="E2265" s="13"/>
      <c r="F2265" s="13"/>
      <c r="G2265" s="13"/>
      <c r="H2265" s="13"/>
      <c r="I2265" s="15"/>
      <c r="J2265" s="15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</row>
    <row r="2266" ht="22.5" hidden="1" customHeight="1">
      <c r="A2266" s="6"/>
      <c r="B2266" s="20"/>
      <c r="C2266" s="36"/>
      <c r="D2266" s="13"/>
      <c r="E2266" s="13"/>
      <c r="F2266" s="13"/>
      <c r="G2266" s="13"/>
      <c r="H2266" s="13"/>
      <c r="I2266" s="15"/>
      <c r="J2266" s="15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</row>
    <row r="2267" ht="22.5" hidden="1" customHeight="1">
      <c r="A2267" s="6"/>
      <c r="B2267" s="20"/>
      <c r="C2267" s="36"/>
      <c r="D2267" s="13"/>
      <c r="E2267" s="13"/>
      <c r="F2267" s="13"/>
      <c r="G2267" s="13"/>
      <c r="H2267" s="13"/>
      <c r="I2267" s="15"/>
      <c r="J2267" s="15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</row>
    <row r="2268" ht="22.5" hidden="1" customHeight="1">
      <c r="A2268" s="6"/>
      <c r="B2268" s="20"/>
      <c r="C2268" s="36"/>
      <c r="D2268" s="13"/>
      <c r="E2268" s="13"/>
      <c r="F2268" s="13"/>
      <c r="G2268" s="13"/>
      <c r="H2268" s="13"/>
      <c r="I2268" s="15"/>
      <c r="J2268" s="15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</row>
    <row r="2269" ht="22.5" hidden="1" customHeight="1">
      <c r="A2269" s="6"/>
      <c r="B2269" s="20"/>
      <c r="C2269" s="36"/>
      <c r="D2269" s="13"/>
      <c r="E2269" s="13"/>
      <c r="F2269" s="13"/>
      <c r="G2269" s="13"/>
      <c r="H2269" s="13"/>
      <c r="I2269" s="15"/>
      <c r="J2269" s="15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</row>
    <row r="2270" ht="22.5" hidden="1" customHeight="1">
      <c r="A2270" s="6"/>
      <c r="B2270" s="20"/>
      <c r="C2270" s="36"/>
      <c r="D2270" s="13"/>
      <c r="E2270" s="13"/>
      <c r="F2270" s="13"/>
      <c r="G2270" s="13"/>
      <c r="H2270" s="13"/>
      <c r="I2270" s="15"/>
      <c r="J2270" s="15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</row>
    <row r="2271" ht="22.5" hidden="1" customHeight="1">
      <c r="A2271" s="6"/>
      <c r="B2271" s="20"/>
      <c r="C2271" s="36"/>
      <c r="D2271" s="13"/>
      <c r="E2271" s="13"/>
      <c r="F2271" s="13"/>
      <c r="G2271" s="13"/>
      <c r="H2271" s="13"/>
      <c r="I2271" s="15"/>
      <c r="J2271" s="15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</row>
    <row r="2272" ht="22.5" hidden="1" customHeight="1">
      <c r="A2272" s="6"/>
      <c r="B2272" s="20"/>
      <c r="C2272" s="36"/>
      <c r="D2272" s="13"/>
      <c r="E2272" s="13"/>
      <c r="F2272" s="13"/>
      <c r="G2272" s="13"/>
      <c r="H2272" s="13"/>
      <c r="I2272" s="15"/>
      <c r="J2272" s="15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</row>
    <row r="2273" ht="22.5" hidden="1" customHeight="1">
      <c r="A2273" s="6"/>
      <c r="B2273" s="20"/>
      <c r="C2273" s="36"/>
      <c r="D2273" s="13"/>
      <c r="E2273" s="13"/>
      <c r="F2273" s="13"/>
      <c r="G2273" s="13"/>
      <c r="H2273" s="13"/>
      <c r="I2273" s="15"/>
      <c r="J2273" s="15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</row>
    <row r="2274" ht="22.5" hidden="1" customHeight="1">
      <c r="A2274" s="6"/>
      <c r="B2274" s="20"/>
      <c r="C2274" s="36"/>
      <c r="D2274" s="13"/>
      <c r="E2274" s="13"/>
      <c r="F2274" s="13"/>
      <c r="G2274" s="13"/>
      <c r="H2274" s="13"/>
      <c r="I2274" s="15"/>
      <c r="J2274" s="15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</row>
    <row r="2275" ht="22.5" hidden="1" customHeight="1">
      <c r="A2275" s="6"/>
      <c r="B2275" s="20"/>
      <c r="C2275" s="36"/>
      <c r="D2275" s="13"/>
      <c r="E2275" s="13"/>
      <c r="F2275" s="13"/>
      <c r="G2275" s="13"/>
      <c r="H2275" s="13"/>
      <c r="I2275" s="15"/>
      <c r="J2275" s="15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</row>
    <row r="2276" ht="22.5" hidden="1" customHeight="1">
      <c r="A2276" s="6"/>
      <c r="B2276" s="20"/>
      <c r="C2276" s="36"/>
      <c r="D2276" s="13"/>
      <c r="E2276" s="13"/>
      <c r="F2276" s="13"/>
      <c r="G2276" s="13"/>
      <c r="H2276" s="13"/>
      <c r="I2276" s="15"/>
      <c r="J2276" s="15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</row>
    <row r="2277" ht="22.5" hidden="1" customHeight="1">
      <c r="A2277" s="6"/>
      <c r="B2277" s="20"/>
      <c r="C2277" s="36"/>
      <c r="D2277" s="13"/>
      <c r="E2277" s="13"/>
      <c r="F2277" s="13"/>
      <c r="G2277" s="13"/>
      <c r="H2277" s="13"/>
      <c r="I2277" s="15"/>
      <c r="J2277" s="15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</row>
    <row r="2278" ht="22.5" hidden="1" customHeight="1">
      <c r="A2278" s="6"/>
      <c r="B2278" s="20"/>
      <c r="C2278" s="36"/>
      <c r="D2278" s="13"/>
      <c r="E2278" s="13"/>
      <c r="F2278" s="13"/>
      <c r="G2278" s="13"/>
      <c r="H2278" s="13"/>
      <c r="I2278" s="15"/>
      <c r="J2278" s="15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</row>
    <row r="2279" ht="22.5" hidden="1" customHeight="1">
      <c r="A2279" s="6"/>
      <c r="B2279" s="20"/>
      <c r="C2279" s="36"/>
      <c r="D2279" s="13"/>
      <c r="E2279" s="13"/>
      <c r="F2279" s="13"/>
      <c r="G2279" s="13"/>
      <c r="H2279" s="13"/>
      <c r="I2279" s="15"/>
      <c r="J2279" s="15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</row>
    <row r="2280" ht="22.5" hidden="1" customHeight="1">
      <c r="A2280" s="6"/>
      <c r="B2280" s="20"/>
      <c r="C2280" s="36"/>
      <c r="D2280" s="13"/>
      <c r="E2280" s="13"/>
      <c r="F2280" s="13"/>
      <c r="G2280" s="13"/>
      <c r="H2280" s="13"/>
      <c r="I2280" s="15"/>
      <c r="J2280" s="15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</row>
    <row r="2281" ht="22.5" hidden="1" customHeight="1">
      <c r="A2281" s="6"/>
      <c r="B2281" s="20"/>
      <c r="C2281" s="36"/>
      <c r="D2281" s="13"/>
      <c r="E2281" s="13"/>
      <c r="F2281" s="13"/>
      <c r="G2281" s="13"/>
      <c r="H2281" s="13"/>
      <c r="I2281" s="15"/>
      <c r="J2281" s="15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</row>
    <row r="2282" ht="22.5" hidden="1" customHeight="1">
      <c r="A2282" s="6"/>
      <c r="B2282" s="20"/>
      <c r="C2282" s="36"/>
      <c r="D2282" s="13"/>
      <c r="E2282" s="13"/>
      <c r="F2282" s="13"/>
      <c r="G2282" s="13"/>
      <c r="H2282" s="13"/>
      <c r="I2282" s="15"/>
      <c r="J2282" s="15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</row>
    <row r="2283" ht="22.5" hidden="1" customHeight="1">
      <c r="A2283" s="6"/>
      <c r="B2283" s="20"/>
      <c r="C2283" s="36"/>
      <c r="D2283" s="13"/>
      <c r="E2283" s="13"/>
      <c r="F2283" s="13"/>
      <c r="G2283" s="13"/>
      <c r="H2283" s="13"/>
      <c r="I2283" s="15"/>
      <c r="J2283" s="15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</row>
    <row r="2284" ht="22.5" hidden="1" customHeight="1">
      <c r="A2284" s="6"/>
      <c r="B2284" s="20"/>
      <c r="C2284" s="36"/>
      <c r="D2284" s="13"/>
      <c r="E2284" s="13"/>
      <c r="F2284" s="13"/>
      <c r="G2284" s="13"/>
      <c r="H2284" s="13"/>
      <c r="I2284" s="15"/>
      <c r="J2284" s="15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</row>
    <row r="2285" ht="22.5" hidden="1" customHeight="1">
      <c r="A2285" s="6"/>
      <c r="B2285" s="20"/>
      <c r="C2285" s="36"/>
      <c r="D2285" s="13"/>
      <c r="E2285" s="13"/>
      <c r="F2285" s="13"/>
      <c r="G2285" s="13"/>
      <c r="H2285" s="13"/>
      <c r="I2285" s="15"/>
      <c r="J2285" s="15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</row>
    <row r="2286" ht="22.5" hidden="1" customHeight="1">
      <c r="A2286" s="6"/>
      <c r="B2286" s="20"/>
      <c r="C2286" s="36"/>
      <c r="D2286" s="13"/>
      <c r="E2286" s="13"/>
      <c r="F2286" s="13"/>
      <c r="G2286" s="13"/>
      <c r="H2286" s="13"/>
      <c r="I2286" s="15"/>
      <c r="J2286" s="15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</row>
    <row r="2287" ht="22.5" hidden="1" customHeight="1">
      <c r="A2287" s="6"/>
      <c r="B2287" s="20"/>
      <c r="C2287" s="36"/>
      <c r="D2287" s="13"/>
      <c r="E2287" s="13"/>
      <c r="F2287" s="13"/>
      <c r="G2287" s="13"/>
      <c r="H2287" s="13"/>
      <c r="I2287" s="15"/>
      <c r="J2287" s="15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</row>
    <row r="2288" ht="22.5" hidden="1" customHeight="1">
      <c r="A2288" s="6"/>
      <c r="B2288" s="20"/>
      <c r="C2288" s="36"/>
      <c r="D2288" s="13"/>
      <c r="E2288" s="13"/>
      <c r="F2288" s="13"/>
      <c r="G2288" s="13"/>
      <c r="H2288" s="13"/>
      <c r="I2288" s="15"/>
      <c r="J2288" s="15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</row>
    <row r="2289" ht="22.5" hidden="1" customHeight="1">
      <c r="A2289" s="6"/>
      <c r="B2289" s="20"/>
      <c r="C2289" s="36"/>
      <c r="D2289" s="13"/>
      <c r="E2289" s="13"/>
      <c r="F2289" s="13"/>
      <c r="G2289" s="13"/>
      <c r="H2289" s="13"/>
      <c r="I2289" s="15"/>
      <c r="J2289" s="15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</row>
    <row r="2290" ht="22.5" hidden="1" customHeight="1">
      <c r="A2290" s="6"/>
      <c r="B2290" s="20"/>
      <c r="C2290" s="36"/>
      <c r="D2290" s="13"/>
      <c r="E2290" s="13"/>
      <c r="F2290" s="13"/>
      <c r="G2290" s="13"/>
      <c r="H2290" s="13"/>
      <c r="I2290" s="15"/>
      <c r="J2290" s="15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</row>
    <row r="2291" ht="22.5" hidden="1" customHeight="1">
      <c r="A2291" s="6"/>
      <c r="B2291" s="20"/>
      <c r="C2291" s="36"/>
      <c r="D2291" s="13"/>
      <c r="E2291" s="13"/>
      <c r="F2291" s="13"/>
      <c r="G2291" s="13"/>
      <c r="H2291" s="13"/>
      <c r="I2291" s="15"/>
      <c r="J2291" s="15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</row>
    <row r="2292" ht="22.5" hidden="1" customHeight="1">
      <c r="A2292" s="6"/>
      <c r="B2292" s="20"/>
      <c r="C2292" s="36"/>
      <c r="D2292" s="13"/>
      <c r="E2292" s="13"/>
      <c r="F2292" s="13"/>
      <c r="G2292" s="13"/>
      <c r="H2292" s="13"/>
      <c r="I2292" s="15"/>
      <c r="J2292" s="15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</row>
    <row r="2293" ht="22.5" hidden="1" customHeight="1">
      <c r="A2293" s="6"/>
      <c r="B2293" s="20"/>
      <c r="C2293" s="36"/>
      <c r="D2293" s="13"/>
      <c r="E2293" s="13"/>
      <c r="F2293" s="13"/>
      <c r="G2293" s="13"/>
      <c r="H2293" s="13"/>
      <c r="I2293" s="15"/>
      <c r="J2293" s="15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</row>
    <row r="2294" ht="22.5" hidden="1" customHeight="1">
      <c r="A2294" s="6"/>
      <c r="B2294" s="20"/>
      <c r="C2294" s="36"/>
      <c r="D2294" s="13"/>
      <c r="E2294" s="13"/>
      <c r="F2294" s="13"/>
      <c r="G2294" s="13"/>
      <c r="H2294" s="13"/>
      <c r="I2294" s="15"/>
      <c r="J2294" s="15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</row>
    <row r="2295" ht="22.5" hidden="1" customHeight="1">
      <c r="A2295" s="6"/>
      <c r="B2295" s="20"/>
      <c r="C2295" s="36"/>
      <c r="D2295" s="13"/>
      <c r="E2295" s="13"/>
      <c r="F2295" s="13"/>
      <c r="G2295" s="13"/>
      <c r="H2295" s="13"/>
      <c r="I2295" s="15"/>
      <c r="J2295" s="15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</row>
    <row r="2296" ht="22.5" hidden="1" customHeight="1">
      <c r="A2296" s="6"/>
      <c r="B2296" s="20"/>
      <c r="C2296" s="36"/>
      <c r="D2296" s="13"/>
      <c r="E2296" s="13"/>
      <c r="F2296" s="13"/>
      <c r="G2296" s="13"/>
      <c r="H2296" s="13"/>
      <c r="I2296" s="15"/>
      <c r="J2296" s="15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</row>
    <row r="2297" ht="22.5" hidden="1" customHeight="1">
      <c r="A2297" s="6"/>
      <c r="B2297" s="20"/>
      <c r="C2297" s="36"/>
      <c r="D2297" s="13"/>
      <c r="E2297" s="13"/>
      <c r="F2297" s="13"/>
      <c r="G2297" s="13"/>
      <c r="H2297" s="13"/>
      <c r="I2297" s="15"/>
      <c r="J2297" s="15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</row>
    <row r="2298" ht="22.5" hidden="1" customHeight="1">
      <c r="A2298" s="6"/>
      <c r="B2298" s="20"/>
      <c r="C2298" s="36"/>
      <c r="D2298" s="13"/>
      <c r="E2298" s="13"/>
      <c r="F2298" s="13"/>
      <c r="G2298" s="13"/>
      <c r="H2298" s="13"/>
      <c r="I2298" s="15"/>
      <c r="J2298" s="15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</row>
    <row r="2299" ht="22.5" hidden="1" customHeight="1">
      <c r="A2299" s="6"/>
      <c r="B2299" s="20"/>
      <c r="C2299" s="36"/>
      <c r="D2299" s="13"/>
      <c r="E2299" s="13"/>
      <c r="F2299" s="13"/>
      <c r="G2299" s="13"/>
      <c r="H2299" s="13"/>
      <c r="I2299" s="15"/>
      <c r="J2299" s="15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</row>
    <row r="2300" ht="22.5" hidden="1" customHeight="1">
      <c r="A2300" s="6"/>
      <c r="B2300" s="20"/>
      <c r="C2300" s="36"/>
      <c r="D2300" s="13"/>
      <c r="E2300" s="13"/>
      <c r="F2300" s="13"/>
      <c r="G2300" s="13"/>
      <c r="H2300" s="13"/>
      <c r="I2300" s="15"/>
      <c r="J2300" s="15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</row>
    <row r="2301" ht="22.5" hidden="1" customHeight="1">
      <c r="A2301" s="6"/>
      <c r="B2301" s="20"/>
      <c r="C2301" s="36"/>
      <c r="D2301" s="13"/>
      <c r="E2301" s="13"/>
      <c r="F2301" s="13"/>
      <c r="G2301" s="13"/>
      <c r="H2301" s="13"/>
      <c r="I2301" s="15"/>
      <c r="J2301" s="15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</row>
    <row r="2302" ht="22.5" hidden="1" customHeight="1">
      <c r="A2302" s="6"/>
      <c r="B2302" s="20"/>
      <c r="C2302" s="36"/>
      <c r="D2302" s="13"/>
      <c r="E2302" s="13"/>
      <c r="F2302" s="13"/>
      <c r="G2302" s="13"/>
      <c r="H2302" s="13"/>
      <c r="I2302" s="15"/>
      <c r="J2302" s="15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</row>
    <row r="2303" ht="22.5" hidden="1" customHeight="1">
      <c r="A2303" s="6"/>
      <c r="B2303" s="20"/>
      <c r="C2303" s="36"/>
      <c r="D2303" s="13"/>
      <c r="E2303" s="13"/>
      <c r="F2303" s="13"/>
      <c r="G2303" s="13"/>
      <c r="H2303" s="13"/>
      <c r="I2303" s="15"/>
      <c r="J2303" s="15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</row>
    <row r="2304" ht="22.5" hidden="1" customHeight="1">
      <c r="A2304" s="6"/>
      <c r="B2304" s="20"/>
      <c r="C2304" s="36"/>
      <c r="D2304" s="13"/>
      <c r="E2304" s="13"/>
      <c r="F2304" s="13"/>
      <c r="G2304" s="13"/>
      <c r="H2304" s="13"/>
      <c r="I2304" s="15"/>
      <c r="J2304" s="15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</row>
    <row r="2305" ht="22.5" hidden="1" customHeight="1">
      <c r="A2305" s="6"/>
      <c r="B2305" s="20"/>
      <c r="C2305" s="36"/>
      <c r="D2305" s="13"/>
      <c r="E2305" s="13"/>
      <c r="F2305" s="13"/>
      <c r="G2305" s="13"/>
      <c r="H2305" s="13"/>
      <c r="I2305" s="15"/>
      <c r="J2305" s="15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</row>
    <row r="2306" ht="22.5" hidden="1" customHeight="1">
      <c r="A2306" s="6"/>
      <c r="B2306" s="20"/>
      <c r="C2306" s="36"/>
      <c r="D2306" s="13"/>
      <c r="E2306" s="13"/>
      <c r="F2306" s="13"/>
      <c r="G2306" s="13"/>
      <c r="H2306" s="13"/>
      <c r="I2306" s="15"/>
      <c r="J2306" s="15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</row>
    <row r="2307" ht="22.5" hidden="1" customHeight="1">
      <c r="A2307" s="6"/>
      <c r="B2307" s="20"/>
      <c r="C2307" s="36"/>
      <c r="D2307" s="13"/>
      <c r="E2307" s="13"/>
      <c r="F2307" s="13"/>
      <c r="G2307" s="13"/>
      <c r="H2307" s="13"/>
      <c r="I2307" s="15"/>
      <c r="J2307" s="15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</row>
    <row r="2308" ht="22.5" hidden="1" customHeight="1">
      <c r="A2308" s="6"/>
      <c r="B2308" s="20"/>
      <c r="C2308" s="36"/>
      <c r="D2308" s="13"/>
      <c r="E2308" s="13"/>
      <c r="F2308" s="13"/>
      <c r="G2308" s="13"/>
      <c r="H2308" s="13"/>
      <c r="I2308" s="15"/>
      <c r="J2308" s="15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</row>
    <row r="2309" ht="22.5" hidden="1" customHeight="1">
      <c r="A2309" s="6"/>
      <c r="B2309" s="20"/>
      <c r="C2309" s="36"/>
      <c r="D2309" s="13"/>
      <c r="E2309" s="13"/>
      <c r="F2309" s="13"/>
      <c r="G2309" s="13"/>
      <c r="H2309" s="13"/>
      <c r="I2309" s="15"/>
      <c r="J2309" s="15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</row>
    <row r="2310" ht="22.5" hidden="1" customHeight="1">
      <c r="A2310" s="6"/>
      <c r="B2310" s="20"/>
      <c r="C2310" s="36"/>
      <c r="D2310" s="13"/>
      <c r="E2310" s="13"/>
      <c r="F2310" s="13"/>
      <c r="G2310" s="13"/>
      <c r="H2310" s="13"/>
      <c r="I2310" s="15"/>
      <c r="J2310" s="15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</row>
    <row r="2311" ht="22.5" hidden="1" customHeight="1">
      <c r="A2311" s="6"/>
      <c r="B2311" s="20"/>
      <c r="C2311" s="36"/>
      <c r="D2311" s="13"/>
      <c r="E2311" s="13"/>
      <c r="F2311" s="13"/>
      <c r="G2311" s="13"/>
      <c r="H2311" s="13"/>
      <c r="I2311" s="15"/>
      <c r="J2311" s="15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</row>
    <row r="2312" ht="22.5" hidden="1" customHeight="1">
      <c r="A2312" s="6"/>
      <c r="B2312" s="20"/>
      <c r="C2312" s="36"/>
      <c r="D2312" s="13"/>
      <c r="E2312" s="13"/>
      <c r="F2312" s="13"/>
      <c r="G2312" s="13"/>
      <c r="H2312" s="13"/>
      <c r="I2312" s="15"/>
      <c r="J2312" s="15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</row>
    <row r="2313" ht="22.5" hidden="1" customHeight="1">
      <c r="A2313" s="6"/>
      <c r="B2313" s="20"/>
      <c r="C2313" s="36"/>
      <c r="D2313" s="13"/>
      <c r="E2313" s="13"/>
      <c r="F2313" s="13"/>
      <c r="G2313" s="13"/>
      <c r="H2313" s="13"/>
      <c r="I2313" s="15"/>
      <c r="J2313" s="15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</row>
    <row r="2314" ht="22.5" hidden="1" customHeight="1">
      <c r="A2314" s="6"/>
      <c r="B2314" s="20"/>
      <c r="C2314" s="36"/>
      <c r="D2314" s="13"/>
      <c r="E2314" s="13"/>
      <c r="F2314" s="13"/>
      <c r="G2314" s="13"/>
      <c r="H2314" s="13"/>
      <c r="I2314" s="15"/>
      <c r="J2314" s="15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</row>
    <row r="2315" ht="22.5" hidden="1" customHeight="1">
      <c r="A2315" s="6"/>
      <c r="B2315" s="20"/>
      <c r="C2315" s="36"/>
      <c r="D2315" s="13"/>
      <c r="E2315" s="13"/>
      <c r="F2315" s="13"/>
      <c r="G2315" s="13"/>
      <c r="H2315" s="13"/>
      <c r="I2315" s="15"/>
      <c r="J2315" s="15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</row>
    <row r="2316" ht="22.5" hidden="1" customHeight="1">
      <c r="A2316" s="6"/>
      <c r="B2316" s="20"/>
      <c r="C2316" s="36"/>
      <c r="D2316" s="13"/>
      <c r="E2316" s="13"/>
      <c r="F2316" s="13"/>
      <c r="G2316" s="13"/>
      <c r="H2316" s="13"/>
      <c r="I2316" s="15"/>
      <c r="J2316" s="15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</row>
    <row r="2317" ht="22.5" hidden="1" customHeight="1">
      <c r="A2317" s="6"/>
      <c r="B2317" s="20"/>
      <c r="C2317" s="36"/>
      <c r="D2317" s="13"/>
      <c r="E2317" s="13"/>
      <c r="F2317" s="13"/>
      <c r="G2317" s="13"/>
      <c r="H2317" s="13"/>
      <c r="I2317" s="15"/>
      <c r="J2317" s="15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</row>
    <row r="2318" ht="22.5" hidden="1" customHeight="1">
      <c r="A2318" s="6"/>
      <c r="B2318" s="20"/>
      <c r="C2318" s="36"/>
      <c r="D2318" s="13"/>
      <c r="E2318" s="13"/>
      <c r="F2318" s="13"/>
      <c r="G2318" s="13"/>
      <c r="H2318" s="13"/>
      <c r="I2318" s="15"/>
      <c r="J2318" s="15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</row>
    <row r="2319" ht="22.5" hidden="1" customHeight="1">
      <c r="A2319" s="6"/>
      <c r="B2319" s="20"/>
      <c r="C2319" s="36"/>
      <c r="D2319" s="13"/>
      <c r="E2319" s="13"/>
      <c r="F2319" s="13"/>
      <c r="G2319" s="13"/>
      <c r="H2319" s="13"/>
      <c r="I2319" s="15"/>
      <c r="J2319" s="15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</row>
    <row r="2320" ht="22.5" hidden="1" customHeight="1">
      <c r="A2320" s="6"/>
      <c r="B2320" s="20"/>
      <c r="C2320" s="36"/>
      <c r="D2320" s="13"/>
      <c r="E2320" s="13"/>
      <c r="F2320" s="13"/>
      <c r="G2320" s="13"/>
      <c r="H2320" s="13"/>
      <c r="I2320" s="15"/>
      <c r="J2320" s="15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</row>
    <row r="2321" ht="22.5" hidden="1" customHeight="1">
      <c r="A2321" s="6"/>
      <c r="B2321" s="20"/>
      <c r="C2321" s="36"/>
      <c r="D2321" s="13"/>
      <c r="E2321" s="13"/>
      <c r="F2321" s="13"/>
      <c r="G2321" s="13"/>
      <c r="H2321" s="13"/>
      <c r="I2321" s="15"/>
      <c r="J2321" s="15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</row>
    <row r="2322" ht="22.5" hidden="1" customHeight="1">
      <c r="A2322" s="6"/>
      <c r="B2322" s="20"/>
      <c r="C2322" s="36"/>
      <c r="D2322" s="13"/>
      <c r="E2322" s="13"/>
      <c r="F2322" s="13"/>
      <c r="G2322" s="13"/>
      <c r="H2322" s="13"/>
      <c r="I2322" s="15"/>
      <c r="J2322" s="15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</row>
    <row r="2323" ht="22.5" hidden="1" customHeight="1">
      <c r="A2323" s="6"/>
      <c r="B2323" s="20"/>
      <c r="C2323" s="36"/>
      <c r="D2323" s="13"/>
      <c r="E2323" s="13"/>
      <c r="F2323" s="13"/>
      <c r="G2323" s="13"/>
      <c r="H2323" s="13"/>
      <c r="I2323" s="15"/>
      <c r="J2323" s="15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</row>
    <row r="2324" ht="22.5" hidden="1" customHeight="1">
      <c r="A2324" s="6"/>
      <c r="B2324" s="20"/>
      <c r="C2324" s="36"/>
      <c r="D2324" s="13"/>
      <c r="E2324" s="13"/>
      <c r="F2324" s="13"/>
      <c r="G2324" s="13"/>
      <c r="H2324" s="13"/>
      <c r="I2324" s="15"/>
      <c r="J2324" s="15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</row>
    <row r="2325" ht="22.5" hidden="1" customHeight="1">
      <c r="A2325" s="6"/>
      <c r="B2325" s="20"/>
      <c r="C2325" s="36"/>
      <c r="D2325" s="13"/>
      <c r="E2325" s="13"/>
      <c r="F2325" s="13"/>
      <c r="G2325" s="13"/>
      <c r="H2325" s="13"/>
      <c r="I2325" s="15"/>
      <c r="J2325" s="15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</row>
    <row r="2326" ht="22.5" hidden="1" customHeight="1">
      <c r="A2326" s="6"/>
      <c r="B2326" s="20"/>
      <c r="C2326" s="36"/>
      <c r="D2326" s="13"/>
      <c r="E2326" s="13"/>
      <c r="F2326" s="13"/>
      <c r="G2326" s="13"/>
      <c r="H2326" s="13"/>
      <c r="I2326" s="15"/>
      <c r="J2326" s="15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</row>
    <row r="2327" ht="22.5" hidden="1" customHeight="1">
      <c r="A2327" s="6"/>
      <c r="B2327" s="20"/>
      <c r="C2327" s="36"/>
      <c r="D2327" s="13"/>
      <c r="E2327" s="13"/>
      <c r="F2327" s="13"/>
      <c r="G2327" s="13"/>
      <c r="H2327" s="13"/>
      <c r="I2327" s="15"/>
      <c r="J2327" s="15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</row>
    <row r="2328" ht="22.5" hidden="1" customHeight="1">
      <c r="A2328" s="6"/>
      <c r="B2328" s="20"/>
      <c r="C2328" s="36"/>
      <c r="D2328" s="13"/>
      <c r="E2328" s="13"/>
      <c r="F2328" s="13"/>
      <c r="G2328" s="13"/>
      <c r="H2328" s="13"/>
      <c r="I2328" s="15"/>
      <c r="J2328" s="15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</row>
    <row r="2329" ht="22.5" hidden="1" customHeight="1">
      <c r="A2329" s="6"/>
      <c r="B2329" s="20"/>
      <c r="C2329" s="36"/>
      <c r="D2329" s="13"/>
      <c r="E2329" s="13"/>
      <c r="F2329" s="13"/>
      <c r="G2329" s="13"/>
      <c r="H2329" s="13"/>
      <c r="I2329" s="15"/>
      <c r="J2329" s="15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</row>
    <row r="2330" ht="22.5" hidden="1" customHeight="1">
      <c r="A2330" s="6"/>
      <c r="B2330" s="20"/>
      <c r="C2330" s="36"/>
      <c r="D2330" s="13"/>
      <c r="E2330" s="13"/>
      <c r="F2330" s="13"/>
      <c r="G2330" s="13"/>
      <c r="H2330" s="13"/>
      <c r="I2330" s="15"/>
      <c r="J2330" s="15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</row>
    <row r="2331" ht="22.5" hidden="1" customHeight="1">
      <c r="A2331" s="6"/>
      <c r="B2331" s="20"/>
      <c r="C2331" s="36"/>
      <c r="D2331" s="13"/>
      <c r="E2331" s="13"/>
      <c r="F2331" s="13"/>
      <c r="G2331" s="13"/>
      <c r="H2331" s="13"/>
      <c r="I2331" s="15"/>
      <c r="J2331" s="15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</row>
    <row r="2332" ht="22.5" hidden="1" customHeight="1">
      <c r="A2332" s="6"/>
      <c r="B2332" s="20"/>
      <c r="C2332" s="36"/>
      <c r="D2332" s="13"/>
      <c r="E2332" s="13"/>
      <c r="F2332" s="13"/>
      <c r="G2332" s="13"/>
      <c r="H2332" s="13"/>
      <c r="I2332" s="15"/>
      <c r="J2332" s="15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</row>
    <row r="2333" ht="22.5" hidden="1" customHeight="1">
      <c r="A2333" s="6"/>
      <c r="B2333" s="20"/>
      <c r="C2333" s="36"/>
      <c r="D2333" s="13"/>
      <c r="E2333" s="13"/>
      <c r="F2333" s="13"/>
      <c r="G2333" s="13"/>
      <c r="H2333" s="13"/>
      <c r="I2333" s="15"/>
      <c r="J2333" s="15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</row>
    <row r="2334" ht="22.5" hidden="1" customHeight="1">
      <c r="A2334" s="6"/>
      <c r="B2334" s="20"/>
      <c r="C2334" s="36"/>
      <c r="D2334" s="13"/>
      <c r="E2334" s="13"/>
      <c r="F2334" s="13"/>
      <c r="G2334" s="13"/>
      <c r="H2334" s="13"/>
      <c r="I2334" s="15"/>
      <c r="J2334" s="15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</row>
    <row r="2335" ht="22.5" hidden="1" customHeight="1">
      <c r="A2335" s="6"/>
      <c r="B2335" s="20"/>
      <c r="C2335" s="36"/>
      <c r="D2335" s="13"/>
      <c r="E2335" s="13"/>
      <c r="F2335" s="13"/>
      <c r="G2335" s="13"/>
      <c r="H2335" s="13"/>
      <c r="I2335" s="15"/>
      <c r="J2335" s="15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</row>
    <row r="2336" ht="22.5" hidden="1" customHeight="1">
      <c r="A2336" s="6"/>
      <c r="B2336" s="20"/>
      <c r="C2336" s="36"/>
      <c r="D2336" s="13"/>
      <c r="E2336" s="13"/>
      <c r="F2336" s="13"/>
      <c r="G2336" s="13"/>
      <c r="H2336" s="13"/>
      <c r="I2336" s="15"/>
      <c r="J2336" s="15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</row>
    <row r="2337" ht="22.5" hidden="1" customHeight="1">
      <c r="A2337" s="6"/>
      <c r="B2337" s="20"/>
      <c r="C2337" s="36"/>
      <c r="D2337" s="13"/>
      <c r="E2337" s="13"/>
      <c r="F2337" s="13"/>
      <c r="G2337" s="13"/>
      <c r="H2337" s="13"/>
      <c r="I2337" s="15"/>
      <c r="J2337" s="15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</row>
    <row r="2338" ht="22.5" hidden="1" customHeight="1">
      <c r="A2338" s="6"/>
      <c r="B2338" s="20"/>
      <c r="C2338" s="36"/>
      <c r="D2338" s="13"/>
      <c r="E2338" s="13"/>
      <c r="F2338" s="13"/>
      <c r="G2338" s="13"/>
      <c r="H2338" s="13"/>
      <c r="I2338" s="15"/>
      <c r="J2338" s="15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</row>
    <row r="2339" ht="22.5" hidden="1" customHeight="1">
      <c r="A2339" s="6"/>
      <c r="B2339" s="20"/>
      <c r="C2339" s="36"/>
      <c r="D2339" s="13"/>
      <c r="E2339" s="13"/>
      <c r="F2339" s="13"/>
      <c r="G2339" s="13"/>
      <c r="H2339" s="13"/>
      <c r="I2339" s="15"/>
      <c r="J2339" s="15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</row>
    <row r="2340" ht="22.5" hidden="1" customHeight="1">
      <c r="A2340" s="6"/>
      <c r="B2340" s="20"/>
      <c r="C2340" s="36"/>
      <c r="D2340" s="13"/>
      <c r="E2340" s="13"/>
      <c r="F2340" s="13"/>
      <c r="G2340" s="13"/>
      <c r="H2340" s="13"/>
      <c r="I2340" s="15"/>
      <c r="J2340" s="15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</row>
    <row r="2341" ht="22.5" hidden="1" customHeight="1">
      <c r="A2341" s="6"/>
      <c r="B2341" s="20"/>
      <c r="C2341" s="36"/>
      <c r="D2341" s="13"/>
      <c r="E2341" s="13"/>
      <c r="F2341" s="13"/>
      <c r="G2341" s="13"/>
      <c r="H2341" s="13"/>
      <c r="I2341" s="15"/>
      <c r="J2341" s="15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</row>
    <row r="2342" ht="22.5" hidden="1" customHeight="1">
      <c r="A2342" s="6"/>
      <c r="B2342" s="20"/>
      <c r="C2342" s="36"/>
      <c r="D2342" s="13"/>
      <c r="E2342" s="13"/>
      <c r="F2342" s="13"/>
      <c r="G2342" s="13"/>
      <c r="H2342" s="13"/>
      <c r="I2342" s="15"/>
      <c r="J2342" s="15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</row>
    <row r="2343" ht="22.5" hidden="1" customHeight="1">
      <c r="A2343" s="6"/>
      <c r="B2343" s="20"/>
      <c r="C2343" s="36"/>
      <c r="D2343" s="13"/>
      <c r="E2343" s="13"/>
      <c r="F2343" s="13"/>
      <c r="G2343" s="13"/>
      <c r="H2343" s="13"/>
      <c r="I2343" s="15"/>
      <c r="J2343" s="15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</row>
    <row r="2344" ht="22.5" hidden="1" customHeight="1">
      <c r="A2344" s="6"/>
      <c r="B2344" s="20"/>
      <c r="C2344" s="36"/>
      <c r="D2344" s="13"/>
      <c r="E2344" s="13"/>
      <c r="F2344" s="13"/>
      <c r="G2344" s="13"/>
      <c r="H2344" s="13"/>
      <c r="I2344" s="15"/>
      <c r="J2344" s="15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</row>
    <row r="2345" ht="22.5" hidden="1" customHeight="1">
      <c r="A2345" s="6"/>
      <c r="B2345" s="20"/>
      <c r="C2345" s="36"/>
      <c r="D2345" s="13"/>
      <c r="E2345" s="13"/>
      <c r="F2345" s="13"/>
      <c r="G2345" s="13"/>
      <c r="H2345" s="13"/>
      <c r="I2345" s="15"/>
      <c r="J2345" s="15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</row>
    <row r="2346" ht="22.5" hidden="1" customHeight="1">
      <c r="A2346" s="6"/>
      <c r="B2346" s="20"/>
      <c r="C2346" s="36"/>
      <c r="D2346" s="13"/>
      <c r="E2346" s="13"/>
      <c r="F2346" s="13"/>
      <c r="G2346" s="13"/>
      <c r="H2346" s="13"/>
      <c r="I2346" s="15"/>
      <c r="J2346" s="15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</row>
    <row r="2347" ht="22.5" hidden="1" customHeight="1">
      <c r="A2347" s="6"/>
      <c r="B2347" s="20"/>
      <c r="C2347" s="36"/>
      <c r="D2347" s="13"/>
      <c r="E2347" s="13"/>
      <c r="F2347" s="13"/>
      <c r="G2347" s="13"/>
      <c r="H2347" s="13"/>
      <c r="I2347" s="15"/>
      <c r="J2347" s="15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</row>
    <row r="2348" ht="22.5" hidden="1" customHeight="1">
      <c r="A2348" s="6"/>
      <c r="B2348" s="20"/>
      <c r="C2348" s="36"/>
      <c r="D2348" s="13"/>
      <c r="E2348" s="13"/>
      <c r="F2348" s="13"/>
      <c r="G2348" s="13"/>
      <c r="H2348" s="13"/>
      <c r="I2348" s="15"/>
      <c r="J2348" s="15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</row>
    <row r="2349" ht="22.5" hidden="1" customHeight="1">
      <c r="A2349" s="6"/>
      <c r="B2349" s="20"/>
      <c r="C2349" s="36"/>
      <c r="D2349" s="13"/>
      <c r="E2349" s="13"/>
      <c r="F2349" s="13"/>
      <c r="G2349" s="13"/>
      <c r="H2349" s="13"/>
      <c r="I2349" s="15"/>
      <c r="J2349" s="15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</row>
    <row r="2350" ht="22.5" hidden="1" customHeight="1">
      <c r="A2350" s="6"/>
      <c r="B2350" s="20"/>
      <c r="C2350" s="36"/>
      <c r="D2350" s="13"/>
      <c r="E2350" s="13"/>
      <c r="F2350" s="13"/>
      <c r="G2350" s="13"/>
      <c r="H2350" s="13"/>
      <c r="I2350" s="15"/>
      <c r="J2350" s="15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</row>
    <row r="2351" ht="22.5" hidden="1" customHeight="1">
      <c r="A2351" s="6"/>
      <c r="B2351" s="20"/>
      <c r="C2351" s="36"/>
      <c r="D2351" s="13"/>
      <c r="E2351" s="13"/>
      <c r="F2351" s="13"/>
      <c r="G2351" s="13"/>
      <c r="H2351" s="13"/>
      <c r="I2351" s="15"/>
      <c r="J2351" s="15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</row>
    <row r="2352" ht="22.5" hidden="1" customHeight="1">
      <c r="A2352" s="6"/>
      <c r="B2352" s="20"/>
      <c r="C2352" s="36"/>
      <c r="D2352" s="13"/>
      <c r="E2352" s="13"/>
      <c r="F2352" s="13"/>
      <c r="G2352" s="13"/>
      <c r="H2352" s="13"/>
      <c r="I2352" s="15"/>
      <c r="J2352" s="15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</row>
    <row r="2353" ht="22.5" hidden="1" customHeight="1">
      <c r="A2353" s="6"/>
      <c r="B2353" s="20"/>
      <c r="C2353" s="36"/>
      <c r="D2353" s="13"/>
      <c r="E2353" s="13"/>
      <c r="F2353" s="13"/>
      <c r="G2353" s="13"/>
      <c r="H2353" s="13"/>
      <c r="I2353" s="15"/>
      <c r="J2353" s="15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</row>
    <row r="2354" ht="22.5" hidden="1" customHeight="1">
      <c r="A2354" s="6"/>
      <c r="B2354" s="20"/>
      <c r="C2354" s="36"/>
      <c r="D2354" s="13"/>
      <c r="E2354" s="13"/>
      <c r="F2354" s="13"/>
      <c r="G2354" s="13"/>
      <c r="H2354" s="13"/>
      <c r="I2354" s="15"/>
      <c r="J2354" s="15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</row>
    <row r="2355" ht="22.5" hidden="1" customHeight="1">
      <c r="A2355" s="6"/>
      <c r="B2355" s="20"/>
      <c r="C2355" s="36"/>
      <c r="D2355" s="13"/>
      <c r="E2355" s="13"/>
      <c r="F2355" s="13"/>
      <c r="G2355" s="13"/>
      <c r="H2355" s="13"/>
      <c r="I2355" s="15"/>
      <c r="J2355" s="15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</row>
    <row r="2356" ht="22.5" hidden="1" customHeight="1">
      <c r="A2356" s="6"/>
      <c r="B2356" s="20"/>
      <c r="C2356" s="36"/>
      <c r="D2356" s="13"/>
      <c r="E2356" s="13"/>
      <c r="F2356" s="13"/>
      <c r="G2356" s="13"/>
      <c r="H2356" s="13"/>
      <c r="I2356" s="15"/>
      <c r="J2356" s="15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</row>
    <row r="2357" ht="22.5" hidden="1" customHeight="1">
      <c r="A2357" s="6"/>
      <c r="B2357" s="20"/>
      <c r="C2357" s="36"/>
      <c r="D2357" s="13"/>
      <c r="E2357" s="13"/>
      <c r="F2357" s="13"/>
      <c r="G2357" s="13"/>
      <c r="H2357" s="13"/>
      <c r="I2357" s="15"/>
      <c r="J2357" s="15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</row>
    <row r="2358" ht="22.5" hidden="1" customHeight="1">
      <c r="A2358" s="6"/>
      <c r="B2358" s="20"/>
      <c r="C2358" s="36"/>
      <c r="D2358" s="13"/>
      <c r="E2358" s="13"/>
      <c r="F2358" s="13"/>
      <c r="G2358" s="13"/>
      <c r="H2358" s="13"/>
      <c r="I2358" s="15"/>
      <c r="J2358" s="15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</row>
    <row r="2359" ht="22.5" hidden="1" customHeight="1">
      <c r="A2359" s="6"/>
      <c r="B2359" s="20"/>
      <c r="C2359" s="36"/>
      <c r="D2359" s="13"/>
      <c r="E2359" s="13"/>
      <c r="F2359" s="13"/>
      <c r="G2359" s="13"/>
      <c r="H2359" s="13"/>
      <c r="I2359" s="15"/>
      <c r="J2359" s="15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</row>
    <row r="2360" ht="22.5" hidden="1" customHeight="1">
      <c r="A2360" s="6"/>
      <c r="B2360" s="20"/>
      <c r="C2360" s="36"/>
      <c r="D2360" s="13"/>
      <c r="E2360" s="13"/>
      <c r="F2360" s="13"/>
      <c r="G2360" s="13"/>
      <c r="H2360" s="13"/>
      <c r="I2360" s="15"/>
      <c r="J2360" s="15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</row>
    <row r="2361" ht="22.5" hidden="1" customHeight="1">
      <c r="A2361" s="6"/>
      <c r="B2361" s="20"/>
      <c r="C2361" s="36"/>
      <c r="D2361" s="13"/>
      <c r="E2361" s="13"/>
      <c r="F2361" s="13"/>
      <c r="G2361" s="13"/>
      <c r="H2361" s="13"/>
      <c r="I2361" s="15"/>
      <c r="J2361" s="15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</row>
    <row r="2362" ht="22.5" hidden="1" customHeight="1">
      <c r="A2362" s="6"/>
      <c r="B2362" s="20"/>
      <c r="C2362" s="36"/>
      <c r="D2362" s="13"/>
      <c r="E2362" s="13"/>
      <c r="F2362" s="13"/>
      <c r="G2362" s="13"/>
      <c r="H2362" s="13"/>
      <c r="I2362" s="15"/>
      <c r="J2362" s="15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</row>
    <row r="2363" ht="22.5" hidden="1" customHeight="1">
      <c r="A2363" s="6"/>
      <c r="B2363" s="20"/>
      <c r="C2363" s="36"/>
      <c r="D2363" s="13"/>
      <c r="E2363" s="13"/>
      <c r="F2363" s="13"/>
      <c r="G2363" s="13"/>
      <c r="H2363" s="13"/>
      <c r="I2363" s="15"/>
      <c r="J2363" s="15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</row>
    <row r="2364" ht="22.5" hidden="1" customHeight="1">
      <c r="A2364" s="6"/>
      <c r="B2364" s="20"/>
      <c r="C2364" s="36"/>
      <c r="D2364" s="13"/>
      <c r="E2364" s="13"/>
      <c r="F2364" s="13"/>
      <c r="G2364" s="13"/>
      <c r="H2364" s="13"/>
      <c r="I2364" s="15"/>
      <c r="J2364" s="15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</row>
    <row r="2365" ht="22.5" hidden="1" customHeight="1">
      <c r="A2365" s="6"/>
      <c r="B2365" s="20"/>
      <c r="C2365" s="36"/>
      <c r="D2365" s="13"/>
      <c r="E2365" s="13"/>
      <c r="F2365" s="13"/>
      <c r="G2365" s="13"/>
      <c r="H2365" s="13"/>
      <c r="I2365" s="15"/>
      <c r="J2365" s="15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</row>
    <row r="2366" ht="22.5" hidden="1" customHeight="1">
      <c r="A2366" s="6"/>
      <c r="B2366" s="20"/>
      <c r="C2366" s="36"/>
      <c r="D2366" s="13"/>
      <c r="E2366" s="13"/>
      <c r="F2366" s="13"/>
      <c r="G2366" s="13"/>
      <c r="H2366" s="13"/>
      <c r="I2366" s="15"/>
      <c r="J2366" s="15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</row>
    <row r="2367" ht="22.5" hidden="1" customHeight="1">
      <c r="A2367" s="6"/>
      <c r="B2367" s="20"/>
      <c r="C2367" s="36"/>
      <c r="D2367" s="13"/>
      <c r="E2367" s="13"/>
      <c r="F2367" s="13"/>
      <c r="G2367" s="13"/>
      <c r="H2367" s="13"/>
      <c r="I2367" s="15"/>
      <c r="J2367" s="15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</row>
    <row r="2368" ht="22.5" hidden="1" customHeight="1">
      <c r="A2368" s="6"/>
      <c r="B2368" s="20"/>
      <c r="C2368" s="36"/>
      <c r="D2368" s="13"/>
      <c r="E2368" s="13"/>
      <c r="F2368" s="13"/>
      <c r="G2368" s="13"/>
      <c r="H2368" s="13"/>
      <c r="I2368" s="15"/>
      <c r="J2368" s="15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</row>
    <row r="2369" ht="22.5" hidden="1" customHeight="1">
      <c r="A2369" s="6"/>
      <c r="B2369" s="20"/>
      <c r="C2369" s="36"/>
      <c r="D2369" s="13"/>
      <c r="E2369" s="13"/>
      <c r="F2369" s="13"/>
      <c r="G2369" s="13"/>
      <c r="H2369" s="13"/>
      <c r="I2369" s="15"/>
      <c r="J2369" s="15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</row>
    <row r="2370" ht="22.5" hidden="1" customHeight="1">
      <c r="A2370" s="6"/>
      <c r="B2370" s="20"/>
      <c r="C2370" s="36"/>
      <c r="D2370" s="13"/>
      <c r="E2370" s="13"/>
      <c r="F2370" s="13"/>
      <c r="G2370" s="13"/>
      <c r="H2370" s="13"/>
      <c r="I2370" s="15"/>
      <c r="J2370" s="15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</row>
    <row r="2371" ht="22.5" hidden="1" customHeight="1">
      <c r="A2371" s="6"/>
      <c r="B2371" s="20"/>
      <c r="C2371" s="36"/>
      <c r="D2371" s="13"/>
      <c r="E2371" s="13"/>
      <c r="F2371" s="13"/>
      <c r="G2371" s="13"/>
      <c r="H2371" s="13"/>
      <c r="I2371" s="15"/>
      <c r="J2371" s="15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</row>
    <row r="2372" ht="22.5" hidden="1" customHeight="1">
      <c r="A2372" s="6"/>
      <c r="B2372" s="20"/>
      <c r="C2372" s="36"/>
      <c r="D2372" s="13"/>
      <c r="E2372" s="13"/>
      <c r="F2372" s="13"/>
      <c r="G2372" s="13"/>
      <c r="H2372" s="13"/>
      <c r="I2372" s="15"/>
      <c r="J2372" s="15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</row>
    <row r="2373" ht="22.5" hidden="1" customHeight="1">
      <c r="A2373" s="6"/>
      <c r="B2373" s="20"/>
      <c r="C2373" s="36"/>
      <c r="D2373" s="13"/>
      <c r="E2373" s="13"/>
      <c r="F2373" s="13"/>
      <c r="G2373" s="13"/>
      <c r="H2373" s="13"/>
      <c r="I2373" s="15"/>
      <c r="J2373" s="15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</row>
    <row r="2374" ht="22.5" hidden="1" customHeight="1">
      <c r="A2374" s="6"/>
      <c r="B2374" s="20"/>
      <c r="C2374" s="36"/>
      <c r="D2374" s="13"/>
      <c r="E2374" s="13"/>
      <c r="F2374" s="13"/>
      <c r="G2374" s="13"/>
      <c r="H2374" s="13"/>
      <c r="I2374" s="15"/>
      <c r="J2374" s="15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</row>
    <row r="2375" ht="22.5" hidden="1" customHeight="1">
      <c r="A2375" s="6"/>
      <c r="B2375" s="20"/>
      <c r="C2375" s="36"/>
      <c r="D2375" s="13"/>
      <c r="E2375" s="13"/>
      <c r="F2375" s="13"/>
      <c r="G2375" s="13"/>
      <c r="H2375" s="13"/>
      <c r="I2375" s="15"/>
      <c r="J2375" s="15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</row>
    <row r="2376" ht="22.5" hidden="1" customHeight="1">
      <c r="A2376" s="6"/>
      <c r="B2376" s="20"/>
      <c r="C2376" s="36"/>
      <c r="D2376" s="13"/>
      <c r="E2376" s="13"/>
      <c r="F2376" s="13"/>
      <c r="G2376" s="13"/>
      <c r="H2376" s="13"/>
      <c r="I2376" s="15"/>
      <c r="J2376" s="15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</row>
    <row r="2377" ht="22.5" hidden="1" customHeight="1">
      <c r="A2377" s="6"/>
      <c r="B2377" s="20"/>
      <c r="C2377" s="36"/>
      <c r="D2377" s="13"/>
      <c r="E2377" s="13"/>
      <c r="F2377" s="13"/>
      <c r="G2377" s="13"/>
      <c r="H2377" s="13"/>
      <c r="I2377" s="15"/>
      <c r="J2377" s="15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</row>
    <row r="2378" ht="22.5" hidden="1" customHeight="1">
      <c r="A2378" s="6"/>
      <c r="B2378" s="20"/>
      <c r="C2378" s="36"/>
      <c r="D2378" s="13"/>
      <c r="E2378" s="13"/>
      <c r="F2378" s="13"/>
      <c r="G2378" s="13"/>
      <c r="H2378" s="13"/>
      <c r="I2378" s="15"/>
      <c r="J2378" s="15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</row>
    <row r="2379" ht="22.5" hidden="1" customHeight="1">
      <c r="A2379" s="6"/>
      <c r="B2379" s="20"/>
      <c r="C2379" s="36"/>
      <c r="D2379" s="13"/>
      <c r="E2379" s="13"/>
      <c r="F2379" s="13"/>
      <c r="G2379" s="13"/>
      <c r="H2379" s="13"/>
      <c r="I2379" s="15"/>
      <c r="J2379" s="15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</row>
    <row r="2380" ht="22.5" hidden="1" customHeight="1">
      <c r="A2380" s="6"/>
      <c r="B2380" s="20"/>
      <c r="C2380" s="36"/>
      <c r="D2380" s="13"/>
      <c r="E2380" s="13"/>
      <c r="F2380" s="13"/>
      <c r="G2380" s="13"/>
      <c r="H2380" s="13"/>
      <c r="I2380" s="15"/>
      <c r="J2380" s="15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</row>
    <row r="2381" ht="22.5" hidden="1" customHeight="1">
      <c r="A2381" s="6"/>
      <c r="B2381" s="20"/>
      <c r="C2381" s="36"/>
      <c r="D2381" s="13"/>
      <c r="E2381" s="13"/>
      <c r="F2381" s="13"/>
      <c r="G2381" s="13"/>
      <c r="H2381" s="13"/>
      <c r="I2381" s="15"/>
      <c r="J2381" s="15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</row>
    <row r="2382" ht="22.5" hidden="1" customHeight="1">
      <c r="A2382" s="6"/>
      <c r="B2382" s="20"/>
      <c r="C2382" s="36"/>
      <c r="D2382" s="13"/>
      <c r="E2382" s="13"/>
      <c r="F2382" s="13"/>
      <c r="G2382" s="13"/>
      <c r="H2382" s="13"/>
      <c r="I2382" s="15"/>
      <c r="J2382" s="15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</row>
    <row r="2383" ht="22.5" hidden="1" customHeight="1">
      <c r="A2383" s="6"/>
      <c r="B2383" s="20"/>
      <c r="C2383" s="36"/>
      <c r="D2383" s="13"/>
      <c r="E2383" s="13"/>
      <c r="F2383" s="13"/>
      <c r="G2383" s="13"/>
      <c r="H2383" s="13"/>
      <c r="I2383" s="15"/>
      <c r="J2383" s="15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</row>
    <row r="2384" ht="22.5" hidden="1" customHeight="1">
      <c r="A2384" s="6"/>
      <c r="B2384" s="20"/>
      <c r="C2384" s="36"/>
      <c r="D2384" s="13"/>
      <c r="E2384" s="13"/>
      <c r="F2384" s="13"/>
      <c r="G2384" s="13"/>
      <c r="H2384" s="13"/>
      <c r="I2384" s="15"/>
      <c r="J2384" s="15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</row>
    <row r="2385" ht="22.5" hidden="1" customHeight="1">
      <c r="A2385" s="6"/>
      <c r="B2385" s="20"/>
      <c r="C2385" s="36"/>
      <c r="D2385" s="13"/>
      <c r="E2385" s="13"/>
      <c r="F2385" s="13"/>
      <c r="G2385" s="13"/>
      <c r="H2385" s="13"/>
      <c r="I2385" s="15"/>
      <c r="J2385" s="15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</row>
    <row r="2386" ht="22.5" hidden="1" customHeight="1">
      <c r="A2386" s="6"/>
      <c r="B2386" s="20"/>
      <c r="C2386" s="36"/>
      <c r="D2386" s="13"/>
      <c r="E2386" s="13"/>
      <c r="F2386" s="13"/>
      <c r="G2386" s="13"/>
      <c r="H2386" s="13"/>
      <c r="I2386" s="15"/>
      <c r="J2386" s="15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</row>
    <row r="2387" ht="22.5" hidden="1" customHeight="1">
      <c r="A2387" s="6"/>
      <c r="B2387" s="20"/>
      <c r="C2387" s="36"/>
      <c r="D2387" s="13"/>
      <c r="E2387" s="13"/>
      <c r="F2387" s="13"/>
      <c r="G2387" s="13"/>
      <c r="H2387" s="13"/>
      <c r="I2387" s="15"/>
      <c r="J2387" s="15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</row>
    <row r="2388" ht="22.5" hidden="1" customHeight="1">
      <c r="A2388" s="6"/>
      <c r="B2388" s="20"/>
      <c r="C2388" s="36"/>
      <c r="D2388" s="13"/>
      <c r="E2388" s="13"/>
      <c r="F2388" s="13"/>
      <c r="G2388" s="13"/>
      <c r="H2388" s="13"/>
      <c r="I2388" s="15"/>
      <c r="J2388" s="15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</row>
    <row r="2389" ht="22.5" hidden="1" customHeight="1">
      <c r="A2389" s="6"/>
      <c r="B2389" s="20"/>
      <c r="C2389" s="36"/>
      <c r="D2389" s="13"/>
      <c r="E2389" s="13"/>
      <c r="F2389" s="13"/>
      <c r="G2389" s="13"/>
      <c r="H2389" s="13"/>
      <c r="I2389" s="15"/>
      <c r="J2389" s="15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</row>
    <row r="2390" ht="22.5" hidden="1" customHeight="1">
      <c r="A2390" s="6"/>
      <c r="B2390" s="20"/>
      <c r="C2390" s="36"/>
      <c r="D2390" s="13"/>
      <c r="E2390" s="13"/>
      <c r="F2390" s="13"/>
      <c r="G2390" s="13"/>
      <c r="H2390" s="13"/>
      <c r="I2390" s="15"/>
      <c r="J2390" s="15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</row>
    <row r="2391" ht="22.5" hidden="1" customHeight="1">
      <c r="A2391" s="6"/>
      <c r="B2391" s="20"/>
      <c r="C2391" s="36"/>
      <c r="D2391" s="13"/>
      <c r="E2391" s="13"/>
      <c r="F2391" s="13"/>
      <c r="G2391" s="13"/>
      <c r="H2391" s="13"/>
      <c r="I2391" s="15"/>
      <c r="J2391" s="15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</row>
    <row r="2392" ht="22.5" hidden="1" customHeight="1">
      <c r="A2392" s="6"/>
      <c r="B2392" s="20"/>
      <c r="C2392" s="36"/>
      <c r="D2392" s="13"/>
      <c r="E2392" s="13"/>
      <c r="F2392" s="13"/>
      <c r="G2392" s="13"/>
      <c r="H2392" s="13"/>
      <c r="I2392" s="15"/>
      <c r="J2392" s="15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</row>
    <row r="2393" ht="22.5" hidden="1" customHeight="1">
      <c r="A2393" s="6"/>
      <c r="B2393" s="20"/>
      <c r="C2393" s="36"/>
      <c r="D2393" s="13"/>
      <c r="E2393" s="13"/>
      <c r="F2393" s="13"/>
      <c r="G2393" s="13"/>
      <c r="H2393" s="13"/>
      <c r="I2393" s="15"/>
      <c r="J2393" s="15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</row>
    <row r="2394" ht="22.5" hidden="1" customHeight="1">
      <c r="A2394" s="6"/>
      <c r="B2394" s="20"/>
      <c r="C2394" s="36"/>
      <c r="D2394" s="13"/>
      <c r="E2394" s="13"/>
      <c r="F2394" s="13"/>
      <c r="G2394" s="13"/>
      <c r="H2394" s="13"/>
      <c r="I2394" s="15"/>
      <c r="J2394" s="15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</row>
    <row r="2395" ht="22.5" hidden="1" customHeight="1">
      <c r="A2395" s="6"/>
      <c r="B2395" s="20"/>
      <c r="C2395" s="36"/>
      <c r="D2395" s="13"/>
      <c r="E2395" s="13"/>
      <c r="F2395" s="13"/>
      <c r="G2395" s="13"/>
      <c r="H2395" s="13"/>
      <c r="I2395" s="15"/>
      <c r="J2395" s="15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</row>
    <row r="2396" ht="22.5" hidden="1" customHeight="1">
      <c r="A2396" s="6"/>
      <c r="B2396" s="20"/>
      <c r="C2396" s="36"/>
      <c r="D2396" s="13"/>
      <c r="E2396" s="13"/>
      <c r="F2396" s="13"/>
      <c r="G2396" s="13"/>
      <c r="H2396" s="13"/>
      <c r="I2396" s="15"/>
      <c r="J2396" s="15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</row>
    <row r="2397" ht="22.5" hidden="1" customHeight="1">
      <c r="A2397" s="6"/>
      <c r="B2397" s="20"/>
      <c r="C2397" s="36"/>
      <c r="D2397" s="13"/>
      <c r="E2397" s="13"/>
      <c r="F2397" s="13"/>
      <c r="G2397" s="13"/>
      <c r="H2397" s="13"/>
      <c r="I2397" s="15"/>
      <c r="J2397" s="15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</row>
    <row r="2398" ht="22.5" hidden="1" customHeight="1">
      <c r="A2398" s="6"/>
      <c r="B2398" s="20"/>
      <c r="C2398" s="36"/>
      <c r="D2398" s="13"/>
      <c r="E2398" s="13"/>
      <c r="F2398" s="13"/>
      <c r="G2398" s="13"/>
      <c r="H2398" s="13"/>
      <c r="I2398" s="15"/>
      <c r="J2398" s="15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</row>
    <row r="2399" ht="22.5" hidden="1" customHeight="1">
      <c r="A2399" s="6"/>
      <c r="B2399" s="20"/>
      <c r="C2399" s="36"/>
      <c r="D2399" s="13"/>
      <c r="E2399" s="13"/>
      <c r="F2399" s="13"/>
      <c r="G2399" s="13"/>
      <c r="H2399" s="13"/>
      <c r="I2399" s="15"/>
      <c r="J2399" s="15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</row>
    <row r="2400" ht="22.5" hidden="1" customHeight="1">
      <c r="A2400" s="6"/>
      <c r="B2400" s="20"/>
      <c r="C2400" s="36"/>
      <c r="D2400" s="13"/>
      <c r="E2400" s="13"/>
      <c r="F2400" s="13"/>
      <c r="G2400" s="13"/>
      <c r="H2400" s="13"/>
      <c r="I2400" s="15"/>
      <c r="J2400" s="15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</row>
    <row r="2401" ht="22.5" hidden="1" customHeight="1">
      <c r="A2401" s="6"/>
      <c r="B2401" s="20"/>
      <c r="C2401" s="36"/>
      <c r="D2401" s="13"/>
      <c r="E2401" s="13"/>
      <c r="F2401" s="13"/>
      <c r="G2401" s="13"/>
      <c r="H2401" s="13"/>
      <c r="I2401" s="15"/>
      <c r="J2401" s="15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</row>
    <row r="2402" ht="22.5" hidden="1" customHeight="1">
      <c r="A2402" s="6"/>
      <c r="B2402" s="20"/>
      <c r="C2402" s="36"/>
      <c r="D2402" s="13"/>
      <c r="E2402" s="13"/>
      <c r="F2402" s="13"/>
      <c r="G2402" s="13"/>
      <c r="H2402" s="13"/>
      <c r="I2402" s="15"/>
      <c r="J2402" s="15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</row>
    <row r="2403" ht="22.5" hidden="1" customHeight="1">
      <c r="A2403" s="6"/>
      <c r="B2403" s="20"/>
      <c r="C2403" s="36"/>
      <c r="D2403" s="13"/>
      <c r="E2403" s="13"/>
      <c r="F2403" s="13"/>
      <c r="G2403" s="13"/>
      <c r="H2403" s="13"/>
      <c r="I2403" s="15"/>
      <c r="J2403" s="15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</row>
    <row r="2404" ht="22.5" hidden="1" customHeight="1">
      <c r="A2404" s="6"/>
      <c r="B2404" s="20"/>
      <c r="C2404" s="36"/>
      <c r="D2404" s="13"/>
      <c r="E2404" s="13"/>
      <c r="F2404" s="13"/>
      <c r="G2404" s="13"/>
      <c r="H2404" s="13"/>
      <c r="I2404" s="15"/>
      <c r="J2404" s="15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</row>
    <row r="2405" ht="22.5" hidden="1" customHeight="1">
      <c r="A2405" s="6"/>
      <c r="B2405" s="20"/>
      <c r="C2405" s="36"/>
      <c r="D2405" s="13"/>
      <c r="E2405" s="13"/>
      <c r="F2405" s="13"/>
      <c r="G2405" s="13"/>
      <c r="H2405" s="13"/>
      <c r="I2405" s="15"/>
      <c r="J2405" s="15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</row>
    <row r="2406" ht="22.5" hidden="1" customHeight="1">
      <c r="A2406" s="6"/>
      <c r="B2406" s="20"/>
      <c r="C2406" s="36"/>
      <c r="D2406" s="13"/>
      <c r="E2406" s="13"/>
      <c r="F2406" s="13"/>
      <c r="G2406" s="13"/>
      <c r="H2406" s="13"/>
      <c r="I2406" s="15"/>
      <c r="J2406" s="15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</row>
    <row r="2407" ht="22.5" hidden="1" customHeight="1">
      <c r="A2407" s="6"/>
      <c r="B2407" s="20"/>
      <c r="C2407" s="36"/>
      <c r="D2407" s="13"/>
      <c r="E2407" s="13"/>
      <c r="F2407" s="13"/>
      <c r="G2407" s="13"/>
      <c r="H2407" s="13"/>
      <c r="I2407" s="15"/>
      <c r="J2407" s="15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</row>
    <row r="2408" ht="22.5" hidden="1" customHeight="1">
      <c r="A2408" s="6"/>
      <c r="B2408" s="20"/>
      <c r="C2408" s="36"/>
      <c r="D2408" s="13"/>
      <c r="E2408" s="13"/>
      <c r="F2408" s="13"/>
      <c r="G2408" s="13"/>
      <c r="H2408" s="13"/>
      <c r="I2408" s="15"/>
      <c r="J2408" s="15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</row>
    <row r="2409" ht="22.5" hidden="1" customHeight="1">
      <c r="A2409" s="6"/>
      <c r="B2409" s="20"/>
      <c r="C2409" s="36"/>
      <c r="D2409" s="13"/>
      <c r="E2409" s="13"/>
      <c r="F2409" s="13"/>
      <c r="G2409" s="13"/>
      <c r="H2409" s="13"/>
      <c r="I2409" s="15"/>
      <c r="J2409" s="15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</row>
    <row r="2410" ht="22.5" hidden="1" customHeight="1">
      <c r="A2410" s="6"/>
      <c r="B2410" s="20"/>
      <c r="C2410" s="36"/>
      <c r="D2410" s="13"/>
      <c r="E2410" s="13"/>
      <c r="F2410" s="13"/>
      <c r="G2410" s="13"/>
      <c r="H2410" s="13"/>
      <c r="I2410" s="15"/>
      <c r="J2410" s="15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</row>
    <row r="2411" ht="22.5" hidden="1" customHeight="1">
      <c r="A2411" s="6"/>
      <c r="B2411" s="20"/>
      <c r="C2411" s="36"/>
      <c r="D2411" s="13"/>
      <c r="E2411" s="13"/>
      <c r="F2411" s="13"/>
      <c r="G2411" s="13"/>
      <c r="H2411" s="13"/>
      <c r="I2411" s="15"/>
      <c r="J2411" s="15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</row>
    <row r="2412" ht="22.5" hidden="1" customHeight="1">
      <c r="A2412" s="6"/>
      <c r="B2412" s="20"/>
      <c r="C2412" s="36"/>
      <c r="D2412" s="13"/>
      <c r="E2412" s="13"/>
      <c r="F2412" s="13"/>
      <c r="G2412" s="13"/>
      <c r="H2412" s="13"/>
      <c r="I2412" s="15"/>
      <c r="J2412" s="15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</row>
    <row r="2413" ht="22.5" hidden="1" customHeight="1">
      <c r="A2413" s="6"/>
      <c r="B2413" s="20"/>
      <c r="C2413" s="36"/>
      <c r="D2413" s="13"/>
      <c r="E2413" s="13"/>
      <c r="F2413" s="13"/>
      <c r="G2413" s="13"/>
      <c r="H2413" s="13"/>
      <c r="I2413" s="15"/>
      <c r="J2413" s="15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</row>
    <row r="2414" ht="22.5" hidden="1" customHeight="1">
      <c r="A2414" s="6"/>
      <c r="B2414" s="20"/>
      <c r="C2414" s="36"/>
      <c r="D2414" s="13"/>
      <c r="E2414" s="13"/>
      <c r="F2414" s="13"/>
      <c r="G2414" s="13"/>
      <c r="H2414" s="13"/>
      <c r="I2414" s="15"/>
      <c r="J2414" s="15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</row>
    <row r="2415" ht="22.5" hidden="1" customHeight="1">
      <c r="A2415" s="6"/>
      <c r="B2415" s="20"/>
      <c r="C2415" s="36"/>
      <c r="D2415" s="13"/>
      <c r="E2415" s="13"/>
      <c r="F2415" s="13"/>
      <c r="G2415" s="13"/>
      <c r="H2415" s="13"/>
      <c r="I2415" s="15"/>
      <c r="J2415" s="15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</row>
    <row r="2416" ht="22.5" hidden="1" customHeight="1">
      <c r="A2416" s="6"/>
      <c r="B2416" s="20"/>
      <c r="C2416" s="36"/>
      <c r="D2416" s="13"/>
      <c r="E2416" s="13"/>
      <c r="F2416" s="13"/>
      <c r="G2416" s="13"/>
      <c r="H2416" s="13"/>
      <c r="I2416" s="15"/>
      <c r="J2416" s="15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</row>
    <row r="2417" ht="22.5" hidden="1" customHeight="1">
      <c r="A2417" s="6"/>
      <c r="B2417" s="20"/>
      <c r="C2417" s="36"/>
      <c r="D2417" s="13"/>
      <c r="E2417" s="13"/>
      <c r="F2417" s="13"/>
      <c r="G2417" s="13"/>
      <c r="H2417" s="13"/>
      <c r="I2417" s="15"/>
      <c r="J2417" s="15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</row>
    <row r="2418" ht="22.5" hidden="1" customHeight="1">
      <c r="A2418" s="6"/>
      <c r="B2418" s="20"/>
      <c r="C2418" s="36"/>
      <c r="D2418" s="13"/>
      <c r="E2418" s="13"/>
      <c r="F2418" s="13"/>
      <c r="G2418" s="13"/>
      <c r="H2418" s="13"/>
      <c r="I2418" s="15"/>
      <c r="J2418" s="15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</row>
    <row r="2419" ht="22.5" hidden="1" customHeight="1">
      <c r="A2419" s="6"/>
      <c r="B2419" s="20"/>
      <c r="C2419" s="36"/>
      <c r="D2419" s="13"/>
      <c r="E2419" s="13"/>
      <c r="F2419" s="13"/>
      <c r="G2419" s="13"/>
      <c r="H2419" s="13"/>
      <c r="I2419" s="15"/>
      <c r="J2419" s="15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</row>
    <row r="2420" ht="22.5" hidden="1" customHeight="1">
      <c r="A2420" s="6"/>
      <c r="B2420" s="20"/>
      <c r="C2420" s="36"/>
      <c r="D2420" s="13"/>
      <c r="E2420" s="13"/>
      <c r="F2420" s="13"/>
      <c r="G2420" s="13"/>
      <c r="H2420" s="13"/>
      <c r="I2420" s="15"/>
      <c r="J2420" s="15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</row>
    <row r="2421" ht="22.5" hidden="1" customHeight="1">
      <c r="A2421" s="6"/>
      <c r="B2421" s="20"/>
      <c r="C2421" s="36"/>
      <c r="D2421" s="13"/>
      <c r="E2421" s="13"/>
      <c r="F2421" s="13"/>
      <c r="G2421" s="13"/>
      <c r="H2421" s="13"/>
      <c r="I2421" s="15"/>
      <c r="J2421" s="15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</row>
    <row r="2422" ht="22.5" hidden="1" customHeight="1">
      <c r="A2422" s="6"/>
      <c r="B2422" s="20"/>
      <c r="C2422" s="36"/>
      <c r="D2422" s="13"/>
      <c r="E2422" s="13"/>
      <c r="F2422" s="13"/>
      <c r="G2422" s="13"/>
      <c r="H2422" s="13"/>
      <c r="I2422" s="15"/>
      <c r="J2422" s="15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</row>
    <row r="2423" ht="22.5" hidden="1" customHeight="1">
      <c r="A2423" s="6"/>
      <c r="B2423" s="20"/>
      <c r="C2423" s="36"/>
      <c r="D2423" s="13"/>
      <c r="E2423" s="13"/>
      <c r="F2423" s="13"/>
      <c r="G2423" s="13"/>
      <c r="H2423" s="13"/>
      <c r="I2423" s="15"/>
      <c r="J2423" s="15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</row>
    <row r="2424" ht="22.5" hidden="1" customHeight="1">
      <c r="A2424" s="6"/>
      <c r="B2424" s="20"/>
      <c r="C2424" s="36"/>
      <c r="D2424" s="13"/>
      <c r="E2424" s="13"/>
      <c r="F2424" s="13"/>
      <c r="G2424" s="13"/>
      <c r="H2424" s="13"/>
      <c r="I2424" s="15"/>
      <c r="J2424" s="15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</row>
    <row r="2425" ht="22.5" hidden="1" customHeight="1">
      <c r="A2425" s="6"/>
      <c r="B2425" s="20"/>
      <c r="C2425" s="36"/>
      <c r="D2425" s="13"/>
      <c r="E2425" s="13"/>
      <c r="F2425" s="13"/>
      <c r="G2425" s="13"/>
      <c r="H2425" s="13"/>
      <c r="I2425" s="15"/>
      <c r="J2425" s="15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</row>
    <row r="2426" ht="22.5" hidden="1" customHeight="1">
      <c r="A2426" s="6"/>
      <c r="B2426" s="20"/>
      <c r="C2426" s="36"/>
      <c r="D2426" s="13"/>
      <c r="E2426" s="13"/>
      <c r="F2426" s="13"/>
      <c r="G2426" s="13"/>
      <c r="H2426" s="13"/>
      <c r="I2426" s="15"/>
      <c r="J2426" s="15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</row>
    <row r="2427" ht="22.5" hidden="1" customHeight="1">
      <c r="A2427" s="6"/>
      <c r="B2427" s="20"/>
      <c r="C2427" s="36"/>
      <c r="D2427" s="13"/>
      <c r="E2427" s="13"/>
      <c r="F2427" s="13"/>
      <c r="G2427" s="13"/>
      <c r="H2427" s="13"/>
      <c r="I2427" s="15"/>
      <c r="J2427" s="15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</row>
    <row r="2428" ht="22.5" hidden="1" customHeight="1">
      <c r="A2428" s="6"/>
      <c r="B2428" s="20"/>
      <c r="C2428" s="36"/>
      <c r="D2428" s="13"/>
      <c r="E2428" s="13"/>
      <c r="F2428" s="13"/>
      <c r="G2428" s="13"/>
      <c r="H2428" s="13"/>
      <c r="I2428" s="15"/>
      <c r="J2428" s="15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</row>
    <row r="2429" ht="22.5" hidden="1" customHeight="1">
      <c r="A2429" s="6"/>
      <c r="B2429" s="20"/>
      <c r="C2429" s="36"/>
      <c r="D2429" s="13"/>
      <c r="E2429" s="13"/>
      <c r="F2429" s="13"/>
      <c r="G2429" s="13"/>
      <c r="H2429" s="13"/>
      <c r="I2429" s="15"/>
      <c r="J2429" s="15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</row>
    <row r="2430" ht="22.5" hidden="1" customHeight="1">
      <c r="A2430" s="6"/>
      <c r="B2430" s="20"/>
      <c r="C2430" s="36"/>
      <c r="D2430" s="13"/>
      <c r="E2430" s="13"/>
      <c r="F2430" s="13"/>
      <c r="G2430" s="13"/>
      <c r="H2430" s="13"/>
      <c r="I2430" s="15"/>
      <c r="J2430" s="15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</row>
    <row r="2431" ht="22.5" hidden="1" customHeight="1">
      <c r="A2431" s="6"/>
      <c r="B2431" s="20"/>
      <c r="C2431" s="36"/>
      <c r="D2431" s="13"/>
      <c r="E2431" s="13"/>
      <c r="F2431" s="13"/>
      <c r="G2431" s="13"/>
      <c r="H2431" s="13"/>
      <c r="I2431" s="15"/>
      <c r="J2431" s="15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</row>
    <row r="2432" ht="22.5" hidden="1" customHeight="1">
      <c r="A2432" s="6"/>
      <c r="B2432" s="20"/>
      <c r="C2432" s="36"/>
      <c r="D2432" s="13"/>
      <c r="E2432" s="13"/>
      <c r="F2432" s="13"/>
      <c r="G2432" s="13"/>
      <c r="H2432" s="13"/>
      <c r="I2432" s="15"/>
      <c r="J2432" s="15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</row>
    <row r="2433" ht="22.5" hidden="1" customHeight="1">
      <c r="A2433" s="6"/>
      <c r="B2433" s="20"/>
      <c r="C2433" s="36"/>
      <c r="D2433" s="13"/>
      <c r="E2433" s="13"/>
      <c r="F2433" s="13"/>
      <c r="G2433" s="13"/>
      <c r="H2433" s="13"/>
      <c r="I2433" s="15"/>
      <c r="J2433" s="15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</row>
    <row r="2434" ht="22.5" hidden="1" customHeight="1">
      <c r="A2434" s="6"/>
      <c r="B2434" s="20"/>
      <c r="C2434" s="36"/>
      <c r="D2434" s="13"/>
      <c r="E2434" s="13"/>
      <c r="F2434" s="13"/>
      <c r="G2434" s="13"/>
      <c r="H2434" s="13"/>
      <c r="I2434" s="15"/>
      <c r="J2434" s="15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</row>
    <row r="2435" ht="22.5" hidden="1" customHeight="1">
      <c r="A2435" s="6"/>
      <c r="B2435" s="20"/>
      <c r="C2435" s="36"/>
      <c r="D2435" s="13"/>
      <c r="E2435" s="13"/>
      <c r="F2435" s="13"/>
      <c r="G2435" s="13"/>
      <c r="H2435" s="13"/>
      <c r="I2435" s="15"/>
      <c r="J2435" s="15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</row>
    <row r="2436" ht="22.5" hidden="1" customHeight="1">
      <c r="A2436" s="6"/>
      <c r="B2436" s="20"/>
      <c r="C2436" s="36"/>
      <c r="D2436" s="13"/>
      <c r="E2436" s="13"/>
      <c r="F2436" s="13"/>
      <c r="G2436" s="13"/>
      <c r="H2436" s="13"/>
      <c r="I2436" s="15"/>
      <c r="J2436" s="15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</row>
    <row r="2437" ht="22.5" hidden="1" customHeight="1">
      <c r="A2437" s="6"/>
      <c r="B2437" s="20"/>
      <c r="C2437" s="36"/>
      <c r="D2437" s="13"/>
      <c r="E2437" s="13"/>
      <c r="F2437" s="13"/>
      <c r="G2437" s="13"/>
      <c r="H2437" s="13"/>
      <c r="I2437" s="15"/>
      <c r="J2437" s="15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</row>
    <row r="2438" ht="22.5" hidden="1" customHeight="1">
      <c r="A2438" s="6"/>
      <c r="B2438" s="20"/>
      <c r="C2438" s="36"/>
      <c r="D2438" s="13"/>
      <c r="E2438" s="13"/>
      <c r="F2438" s="13"/>
      <c r="G2438" s="13"/>
      <c r="H2438" s="13"/>
      <c r="I2438" s="15"/>
      <c r="J2438" s="15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</row>
    <row r="2439" ht="22.5" hidden="1" customHeight="1">
      <c r="A2439" s="6"/>
      <c r="B2439" s="20"/>
      <c r="C2439" s="36"/>
      <c r="D2439" s="13"/>
      <c r="E2439" s="13"/>
      <c r="F2439" s="13"/>
      <c r="G2439" s="13"/>
      <c r="H2439" s="13"/>
      <c r="I2439" s="15"/>
      <c r="J2439" s="15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</row>
    <row r="2440" ht="22.5" hidden="1" customHeight="1">
      <c r="A2440" s="6"/>
      <c r="B2440" s="20"/>
      <c r="C2440" s="36"/>
      <c r="D2440" s="13"/>
      <c r="E2440" s="13"/>
      <c r="F2440" s="13"/>
      <c r="G2440" s="13"/>
      <c r="H2440" s="13"/>
      <c r="I2440" s="15"/>
      <c r="J2440" s="15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</row>
    <row r="2441" ht="22.5" hidden="1" customHeight="1">
      <c r="A2441" s="6"/>
      <c r="B2441" s="20"/>
      <c r="C2441" s="36"/>
      <c r="D2441" s="13"/>
      <c r="E2441" s="13"/>
      <c r="F2441" s="13"/>
      <c r="G2441" s="13"/>
      <c r="H2441" s="13"/>
      <c r="I2441" s="15"/>
      <c r="J2441" s="15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</row>
    <row r="2442" ht="22.5" hidden="1" customHeight="1">
      <c r="A2442" s="6"/>
      <c r="B2442" s="20"/>
      <c r="C2442" s="36"/>
      <c r="D2442" s="13"/>
      <c r="E2442" s="13"/>
      <c r="F2442" s="13"/>
      <c r="G2442" s="13"/>
      <c r="H2442" s="13"/>
      <c r="I2442" s="15"/>
      <c r="J2442" s="15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</row>
    <row r="2443" ht="22.5" hidden="1" customHeight="1">
      <c r="A2443" s="6"/>
      <c r="B2443" s="20"/>
      <c r="C2443" s="36"/>
      <c r="D2443" s="13"/>
      <c r="E2443" s="13"/>
      <c r="F2443" s="13"/>
      <c r="G2443" s="13"/>
      <c r="H2443" s="13"/>
      <c r="I2443" s="15"/>
      <c r="J2443" s="15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</row>
    <row r="2444" ht="22.5" hidden="1" customHeight="1">
      <c r="A2444" s="6"/>
      <c r="B2444" s="20"/>
      <c r="C2444" s="36"/>
      <c r="D2444" s="13"/>
      <c r="E2444" s="13"/>
      <c r="F2444" s="13"/>
      <c r="G2444" s="13"/>
      <c r="H2444" s="13"/>
      <c r="I2444" s="15"/>
      <c r="J2444" s="15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</row>
    <row r="2445" ht="22.5" hidden="1" customHeight="1">
      <c r="A2445" s="6"/>
      <c r="B2445" s="20"/>
      <c r="C2445" s="36"/>
      <c r="D2445" s="13"/>
      <c r="E2445" s="13"/>
      <c r="F2445" s="13"/>
      <c r="G2445" s="13"/>
      <c r="H2445" s="13"/>
      <c r="I2445" s="15"/>
      <c r="J2445" s="15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</row>
    <row r="2446" ht="22.5" hidden="1" customHeight="1">
      <c r="A2446" s="6"/>
      <c r="B2446" s="20"/>
      <c r="C2446" s="36"/>
      <c r="D2446" s="13"/>
      <c r="E2446" s="13"/>
      <c r="F2446" s="13"/>
      <c r="G2446" s="13"/>
      <c r="H2446" s="13"/>
      <c r="I2446" s="15"/>
      <c r="J2446" s="15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</row>
    <row r="2447" ht="22.5" hidden="1" customHeight="1">
      <c r="A2447" s="6"/>
      <c r="B2447" s="20"/>
      <c r="C2447" s="36"/>
      <c r="D2447" s="13"/>
      <c r="E2447" s="13"/>
      <c r="F2447" s="13"/>
      <c r="G2447" s="13"/>
      <c r="H2447" s="13"/>
      <c r="I2447" s="15"/>
      <c r="J2447" s="15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</row>
    <row r="2448" ht="22.5" hidden="1" customHeight="1">
      <c r="A2448" s="6"/>
      <c r="B2448" s="20"/>
      <c r="C2448" s="36"/>
      <c r="D2448" s="13"/>
      <c r="E2448" s="13"/>
      <c r="F2448" s="13"/>
      <c r="G2448" s="13"/>
      <c r="H2448" s="13"/>
      <c r="I2448" s="15"/>
      <c r="J2448" s="15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</row>
    <row r="2449" ht="22.5" hidden="1" customHeight="1">
      <c r="A2449" s="6"/>
      <c r="B2449" s="20"/>
      <c r="C2449" s="36"/>
      <c r="D2449" s="13"/>
      <c r="E2449" s="13"/>
      <c r="F2449" s="13"/>
      <c r="G2449" s="13"/>
      <c r="H2449" s="13"/>
      <c r="I2449" s="15"/>
      <c r="J2449" s="15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</row>
    <row r="2450" ht="22.5" hidden="1" customHeight="1">
      <c r="A2450" s="6"/>
      <c r="B2450" s="20"/>
      <c r="C2450" s="36"/>
      <c r="D2450" s="13"/>
      <c r="E2450" s="13"/>
      <c r="F2450" s="13"/>
      <c r="G2450" s="13"/>
      <c r="H2450" s="13"/>
      <c r="I2450" s="15"/>
      <c r="J2450" s="15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</row>
    <row r="2451" ht="22.5" hidden="1" customHeight="1">
      <c r="A2451" s="6"/>
      <c r="B2451" s="20"/>
      <c r="C2451" s="36"/>
      <c r="D2451" s="13"/>
      <c r="E2451" s="13"/>
      <c r="F2451" s="13"/>
      <c r="G2451" s="13"/>
      <c r="H2451" s="13"/>
      <c r="I2451" s="15"/>
      <c r="J2451" s="15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</row>
    <row r="2452" ht="22.5" hidden="1" customHeight="1">
      <c r="A2452" s="6"/>
      <c r="B2452" s="20"/>
      <c r="C2452" s="36"/>
      <c r="D2452" s="13"/>
      <c r="E2452" s="13"/>
      <c r="F2452" s="13"/>
      <c r="G2452" s="13"/>
      <c r="H2452" s="13"/>
      <c r="I2452" s="15"/>
      <c r="J2452" s="15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</row>
    <row r="2453" ht="22.5" hidden="1" customHeight="1">
      <c r="A2453" s="6"/>
      <c r="B2453" s="20"/>
      <c r="C2453" s="36"/>
      <c r="D2453" s="13"/>
      <c r="E2453" s="13"/>
      <c r="F2453" s="13"/>
      <c r="G2453" s="13"/>
      <c r="H2453" s="13"/>
      <c r="I2453" s="15"/>
      <c r="J2453" s="15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</row>
    <row r="2454" ht="22.5" hidden="1" customHeight="1">
      <c r="A2454" s="6"/>
      <c r="B2454" s="20"/>
      <c r="C2454" s="36"/>
      <c r="D2454" s="13"/>
      <c r="E2454" s="13"/>
      <c r="F2454" s="13"/>
      <c r="G2454" s="13"/>
      <c r="H2454" s="13"/>
      <c r="I2454" s="15"/>
      <c r="J2454" s="15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</row>
    <row r="2455" ht="22.5" hidden="1" customHeight="1">
      <c r="A2455" s="6"/>
      <c r="B2455" s="20"/>
      <c r="C2455" s="36"/>
      <c r="D2455" s="13"/>
      <c r="E2455" s="13"/>
      <c r="F2455" s="13"/>
      <c r="G2455" s="13"/>
      <c r="H2455" s="13"/>
      <c r="I2455" s="15"/>
      <c r="J2455" s="15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</row>
    <row r="2456" ht="22.5" hidden="1" customHeight="1">
      <c r="A2456" s="6"/>
      <c r="B2456" s="20"/>
      <c r="C2456" s="36"/>
      <c r="D2456" s="13"/>
      <c r="E2456" s="13"/>
      <c r="F2456" s="13"/>
      <c r="G2456" s="13"/>
      <c r="H2456" s="13"/>
      <c r="I2456" s="15"/>
      <c r="J2456" s="15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</row>
    <row r="2457" ht="22.5" hidden="1" customHeight="1">
      <c r="A2457" s="6"/>
      <c r="B2457" s="20"/>
      <c r="C2457" s="36"/>
      <c r="D2457" s="13"/>
      <c r="E2457" s="13"/>
      <c r="F2457" s="13"/>
      <c r="G2457" s="13"/>
      <c r="H2457" s="13"/>
      <c r="I2457" s="15"/>
      <c r="J2457" s="15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</row>
    <row r="2458" ht="22.5" hidden="1" customHeight="1">
      <c r="A2458" s="6"/>
      <c r="B2458" s="20"/>
      <c r="C2458" s="36"/>
      <c r="D2458" s="13"/>
      <c r="E2458" s="13"/>
      <c r="F2458" s="13"/>
      <c r="G2458" s="13"/>
      <c r="H2458" s="13"/>
      <c r="I2458" s="15"/>
      <c r="J2458" s="15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</row>
    <row r="2459" ht="22.5" hidden="1" customHeight="1">
      <c r="A2459" s="6"/>
      <c r="B2459" s="20"/>
      <c r="C2459" s="36"/>
      <c r="D2459" s="13"/>
      <c r="E2459" s="13"/>
      <c r="F2459" s="13"/>
      <c r="G2459" s="13"/>
      <c r="H2459" s="13"/>
      <c r="I2459" s="15"/>
      <c r="J2459" s="15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</row>
    <row r="2460" ht="22.5" hidden="1" customHeight="1">
      <c r="A2460" s="6"/>
      <c r="B2460" s="20"/>
      <c r="C2460" s="36"/>
      <c r="D2460" s="13"/>
      <c r="E2460" s="13"/>
      <c r="F2460" s="13"/>
      <c r="G2460" s="13"/>
      <c r="H2460" s="13"/>
      <c r="I2460" s="15"/>
      <c r="J2460" s="15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</row>
    <row r="2461" ht="22.5" hidden="1" customHeight="1">
      <c r="A2461" s="6"/>
      <c r="B2461" s="20"/>
      <c r="C2461" s="36"/>
      <c r="D2461" s="13"/>
      <c r="E2461" s="13"/>
      <c r="F2461" s="13"/>
      <c r="G2461" s="13"/>
      <c r="H2461" s="13"/>
      <c r="I2461" s="15"/>
      <c r="J2461" s="15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</row>
    <row r="2462" ht="22.5" hidden="1" customHeight="1">
      <c r="A2462" s="6"/>
      <c r="B2462" s="20"/>
      <c r="C2462" s="36"/>
      <c r="D2462" s="13"/>
      <c r="E2462" s="13"/>
      <c r="F2462" s="13"/>
      <c r="G2462" s="13"/>
      <c r="H2462" s="13"/>
      <c r="I2462" s="15"/>
      <c r="J2462" s="15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</row>
    <row r="2463" ht="22.5" hidden="1" customHeight="1">
      <c r="A2463" s="6"/>
      <c r="B2463" s="20"/>
      <c r="C2463" s="36"/>
      <c r="D2463" s="13"/>
      <c r="E2463" s="13"/>
      <c r="F2463" s="13"/>
      <c r="G2463" s="13"/>
      <c r="H2463" s="13"/>
      <c r="I2463" s="15"/>
      <c r="J2463" s="15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</row>
    <row r="2464" ht="22.5" hidden="1" customHeight="1">
      <c r="A2464" s="6"/>
      <c r="B2464" s="20"/>
      <c r="C2464" s="36"/>
      <c r="D2464" s="13"/>
      <c r="E2464" s="13"/>
      <c r="F2464" s="13"/>
      <c r="G2464" s="13"/>
      <c r="H2464" s="13"/>
      <c r="I2464" s="15"/>
      <c r="J2464" s="15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</row>
    <row r="2465" ht="22.5" hidden="1" customHeight="1">
      <c r="A2465" s="6"/>
      <c r="B2465" s="20"/>
      <c r="C2465" s="36"/>
      <c r="D2465" s="13"/>
      <c r="E2465" s="13"/>
      <c r="F2465" s="13"/>
      <c r="G2465" s="13"/>
      <c r="H2465" s="13"/>
      <c r="I2465" s="15"/>
      <c r="J2465" s="15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</row>
    <row r="2466" ht="22.5" hidden="1" customHeight="1">
      <c r="A2466" s="6"/>
      <c r="B2466" s="20"/>
      <c r="C2466" s="36"/>
      <c r="D2466" s="13"/>
      <c r="E2466" s="13"/>
      <c r="F2466" s="13"/>
      <c r="G2466" s="13"/>
      <c r="H2466" s="13"/>
      <c r="I2466" s="15"/>
      <c r="J2466" s="15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</row>
    <row r="2467" ht="22.5" hidden="1" customHeight="1">
      <c r="A2467" s="6"/>
      <c r="B2467" s="20"/>
      <c r="C2467" s="36"/>
      <c r="D2467" s="13"/>
      <c r="E2467" s="13"/>
      <c r="F2467" s="13"/>
      <c r="G2467" s="13"/>
      <c r="H2467" s="13"/>
      <c r="I2467" s="15"/>
      <c r="J2467" s="15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</row>
    <row r="2468" ht="22.5" hidden="1" customHeight="1">
      <c r="A2468" s="6"/>
      <c r="B2468" s="20"/>
      <c r="C2468" s="36"/>
      <c r="D2468" s="13"/>
      <c r="E2468" s="13"/>
      <c r="F2468" s="13"/>
      <c r="G2468" s="13"/>
      <c r="H2468" s="13"/>
      <c r="I2468" s="15"/>
      <c r="J2468" s="15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</row>
    <row r="2469" ht="22.5" hidden="1" customHeight="1">
      <c r="A2469" s="6"/>
      <c r="B2469" s="20"/>
      <c r="C2469" s="36"/>
      <c r="D2469" s="13"/>
      <c r="E2469" s="13"/>
      <c r="F2469" s="13"/>
      <c r="G2469" s="13"/>
      <c r="H2469" s="13"/>
      <c r="I2469" s="15"/>
      <c r="J2469" s="15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</row>
    <row r="2470" ht="22.5" hidden="1" customHeight="1">
      <c r="A2470" s="6"/>
      <c r="B2470" s="20"/>
      <c r="C2470" s="36"/>
      <c r="D2470" s="13"/>
      <c r="E2470" s="13"/>
      <c r="F2470" s="13"/>
      <c r="G2470" s="13"/>
      <c r="H2470" s="13"/>
      <c r="I2470" s="15"/>
      <c r="J2470" s="15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</row>
    <row r="2471" ht="22.5" hidden="1" customHeight="1">
      <c r="A2471" s="6"/>
      <c r="B2471" s="20"/>
      <c r="C2471" s="36"/>
      <c r="D2471" s="13"/>
      <c r="E2471" s="13"/>
      <c r="F2471" s="13"/>
      <c r="G2471" s="13"/>
      <c r="H2471" s="13"/>
      <c r="I2471" s="15"/>
      <c r="J2471" s="15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</row>
    <row r="2472" ht="22.5" hidden="1" customHeight="1">
      <c r="A2472" s="6"/>
      <c r="B2472" s="20"/>
      <c r="C2472" s="36"/>
      <c r="D2472" s="13"/>
      <c r="E2472" s="13"/>
      <c r="F2472" s="13"/>
      <c r="G2472" s="13"/>
      <c r="H2472" s="13"/>
      <c r="I2472" s="15"/>
      <c r="J2472" s="15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</row>
    <row r="2473" ht="22.5" hidden="1" customHeight="1">
      <c r="A2473" s="6"/>
      <c r="B2473" s="20"/>
      <c r="C2473" s="36"/>
      <c r="D2473" s="13"/>
      <c r="E2473" s="13"/>
      <c r="F2473" s="13"/>
      <c r="G2473" s="13"/>
      <c r="H2473" s="13"/>
      <c r="I2473" s="15"/>
      <c r="J2473" s="15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</row>
    <row r="2474" ht="22.5" hidden="1" customHeight="1">
      <c r="A2474" s="6"/>
      <c r="B2474" s="20"/>
      <c r="C2474" s="36"/>
      <c r="D2474" s="13"/>
      <c r="E2474" s="13"/>
      <c r="F2474" s="13"/>
      <c r="G2474" s="13"/>
      <c r="H2474" s="13"/>
      <c r="I2474" s="15"/>
      <c r="J2474" s="15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</row>
    <row r="2475" ht="22.5" hidden="1" customHeight="1">
      <c r="A2475" s="6"/>
      <c r="B2475" s="20"/>
      <c r="C2475" s="36"/>
      <c r="D2475" s="13"/>
      <c r="E2475" s="13"/>
      <c r="F2475" s="13"/>
      <c r="G2475" s="13"/>
      <c r="H2475" s="13"/>
      <c r="I2475" s="15"/>
      <c r="J2475" s="15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</row>
    <row r="2476" ht="22.5" hidden="1" customHeight="1">
      <c r="A2476" s="6"/>
      <c r="B2476" s="20"/>
      <c r="C2476" s="36"/>
      <c r="D2476" s="13"/>
      <c r="E2476" s="13"/>
      <c r="F2476" s="13"/>
      <c r="G2476" s="13"/>
      <c r="H2476" s="13"/>
      <c r="I2476" s="15"/>
      <c r="J2476" s="15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</row>
    <row r="2477" ht="22.5" hidden="1" customHeight="1">
      <c r="A2477" s="6"/>
      <c r="B2477" s="20"/>
      <c r="C2477" s="36"/>
      <c r="D2477" s="13"/>
      <c r="E2477" s="13"/>
      <c r="F2477" s="13"/>
      <c r="G2477" s="13"/>
      <c r="H2477" s="13"/>
      <c r="I2477" s="15"/>
      <c r="J2477" s="15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</row>
    <row r="2478" ht="22.5" hidden="1" customHeight="1">
      <c r="A2478" s="6"/>
      <c r="B2478" s="20"/>
      <c r="C2478" s="36"/>
      <c r="D2478" s="13"/>
      <c r="E2478" s="13"/>
      <c r="F2478" s="13"/>
      <c r="G2478" s="13"/>
      <c r="H2478" s="13"/>
      <c r="I2478" s="15"/>
      <c r="J2478" s="15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</row>
    <row r="2479" ht="22.5" hidden="1" customHeight="1">
      <c r="A2479" s="6"/>
      <c r="B2479" s="20"/>
      <c r="C2479" s="36"/>
      <c r="D2479" s="13"/>
      <c r="E2479" s="13"/>
      <c r="F2479" s="13"/>
      <c r="G2479" s="13"/>
      <c r="H2479" s="13"/>
      <c r="I2479" s="15"/>
      <c r="J2479" s="15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</row>
    <row r="2480" ht="22.5" hidden="1" customHeight="1">
      <c r="A2480" s="6"/>
      <c r="B2480" s="20"/>
      <c r="C2480" s="36"/>
      <c r="D2480" s="13"/>
      <c r="E2480" s="13"/>
      <c r="F2480" s="13"/>
      <c r="G2480" s="13"/>
      <c r="H2480" s="13"/>
      <c r="I2480" s="15"/>
      <c r="J2480" s="15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</row>
    <row r="2481" ht="22.5" hidden="1" customHeight="1">
      <c r="A2481" s="6"/>
      <c r="B2481" s="20"/>
      <c r="C2481" s="36"/>
      <c r="D2481" s="13"/>
      <c r="E2481" s="13"/>
      <c r="F2481" s="13"/>
      <c r="G2481" s="13"/>
      <c r="H2481" s="13"/>
      <c r="I2481" s="15"/>
      <c r="J2481" s="15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</row>
    <row r="2482" ht="22.5" hidden="1" customHeight="1">
      <c r="A2482" s="6"/>
      <c r="B2482" s="20"/>
      <c r="C2482" s="36"/>
      <c r="D2482" s="13"/>
      <c r="E2482" s="13"/>
      <c r="F2482" s="13"/>
      <c r="G2482" s="13"/>
      <c r="H2482" s="13"/>
      <c r="I2482" s="15"/>
      <c r="J2482" s="15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</row>
    <row r="2483" ht="22.5" hidden="1" customHeight="1">
      <c r="A2483" s="6"/>
      <c r="B2483" s="20"/>
      <c r="C2483" s="36"/>
      <c r="D2483" s="13"/>
      <c r="E2483" s="13"/>
      <c r="F2483" s="13"/>
      <c r="G2483" s="13"/>
      <c r="H2483" s="13"/>
      <c r="I2483" s="15"/>
      <c r="J2483" s="15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</row>
    <row r="2484" ht="22.5" hidden="1" customHeight="1">
      <c r="A2484" s="6"/>
      <c r="B2484" s="20"/>
      <c r="C2484" s="36"/>
      <c r="D2484" s="13"/>
      <c r="E2484" s="13"/>
      <c r="F2484" s="13"/>
      <c r="G2484" s="13"/>
      <c r="H2484" s="13"/>
      <c r="I2484" s="15"/>
      <c r="J2484" s="15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</row>
    <row r="2485" ht="22.5" hidden="1" customHeight="1">
      <c r="A2485" s="6"/>
      <c r="B2485" s="20"/>
      <c r="C2485" s="36"/>
      <c r="D2485" s="13"/>
      <c r="E2485" s="13"/>
      <c r="F2485" s="13"/>
      <c r="G2485" s="13"/>
      <c r="H2485" s="13"/>
      <c r="I2485" s="15"/>
      <c r="J2485" s="15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</row>
    <row r="2486" ht="22.5" hidden="1" customHeight="1">
      <c r="A2486" s="6"/>
      <c r="B2486" s="20"/>
      <c r="C2486" s="36"/>
      <c r="D2486" s="13"/>
      <c r="E2486" s="13"/>
      <c r="F2486" s="13"/>
      <c r="G2486" s="13"/>
      <c r="H2486" s="13"/>
      <c r="I2486" s="15"/>
      <c r="J2486" s="15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</row>
    <row r="2487" ht="22.5" hidden="1" customHeight="1">
      <c r="A2487" s="6"/>
      <c r="B2487" s="20"/>
      <c r="C2487" s="36"/>
      <c r="D2487" s="13"/>
      <c r="E2487" s="13"/>
      <c r="F2487" s="13"/>
      <c r="G2487" s="13"/>
      <c r="H2487" s="13"/>
      <c r="I2487" s="15"/>
      <c r="J2487" s="15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</row>
    <row r="2488" ht="22.5" hidden="1" customHeight="1">
      <c r="A2488" s="6"/>
      <c r="B2488" s="20"/>
      <c r="C2488" s="36"/>
      <c r="D2488" s="13"/>
      <c r="E2488" s="13"/>
      <c r="F2488" s="13"/>
      <c r="G2488" s="13"/>
      <c r="H2488" s="13"/>
      <c r="I2488" s="15"/>
      <c r="J2488" s="15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</row>
    <row r="2489" ht="22.5" hidden="1" customHeight="1">
      <c r="A2489" s="6"/>
      <c r="B2489" s="20"/>
      <c r="C2489" s="36"/>
      <c r="D2489" s="13"/>
      <c r="E2489" s="13"/>
      <c r="F2489" s="13"/>
      <c r="G2489" s="13"/>
      <c r="H2489" s="13"/>
      <c r="I2489" s="15"/>
      <c r="J2489" s="15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</row>
    <row r="2490" ht="22.5" hidden="1" customHeight="1">
      <c r="A2490" s="6"/>
      <c r="B2490" s="20"/>
      <c r="C2490" s="36"/>
      <c r="D2490" s="13"/>
      <c r="E2490" s="13"/>
      <c r="F2490" s="13"/>
      <c r="G2490" s="13"/>
      <c r="H2490" s="13"/>
      <c r="I2490" s="15"/>
      <c r="J2490" s="15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</row>
    <row r="2491" ht="22.5" hidden="1" customHeight="1">
      <c r="A2491" s="6"/>
      <c r="B2491" s="20"/>
      <c r="C2491" s="36"/>
      <c r="D2491" s="13"/>
      <c r="E2491" s="13"/>
      <c r="F2491" s="13"/>
      <c r="G2491" s="13"/>
      <c r="H2491" s="13"/>
      <c r="I2491" s="15"/>
      <c r="J2491" s="15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</row>
    <row r="2492" ht="22.5" hidden="1" customHeight="1">
      <c r="A2492" s="6"/>
      <c r="B2492" s="20"/>
      <c r="C2492" s="36"/>
      <c r="D2492" s="13"/>
      <c r="E2492" s="13"/>
      <c r="F2492" s="13"/>
      <c r="G2492" s="13"/>
      <c r="H2492" s="13"/>
      <c r="I2492" s="15"/>
      <c r="J2492" s="15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</row>
    <row r="2493" ht="22.5" hidden="1" customHeight="1">
      <c r="A2493" s="6"/>
      <c r="B2493" s="20"/>
      <c r="C2493" s="36"/>
      <c r="D2493" s="13"/>
      <c r="E2493" s="13"/>
      <c r="F2493" s="13"/>
      <c r="G2493" s="13"/>
      <c r="H2493" s="13"/>
      <c r="I2493" s="15"/>
      <c r="J2493" s="15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</row>
    <row r="2494" ht="22.5" hidden="1" customHeight="1">
      <c r="A2494" s="6"/>
      <c r="B2494" s="20"/>
      <c r="C2494" s="36"/>
      <c r="D2494" s="13"/>
      <c r="E2494" s="13"/>
      <c r="F2494" s="13"/>
      <c r="G2494" s="13"/>
      <c r="H2494" s="13"/>
      <c r="I2494" s="15"/>
      <c r="J2494" s="15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</row>
    <row r="2495" ht="22.5" hidden="1" customHeight="1">
      <c r="A2495" s="6"/>
      <c r="B2495" s="20"/>
      <c r="C2495" s="36"/>
      <c r="D2495" s="13"/>
      <c r="E2495" s="13"/>
      <c r="F2495" s="13"/>
      <c r="G2495" s="13"/>
      <c r="H2495" s="13"/>
      <c r="I2495" s="15"/>
      <c r="J2495" s="15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</row>
    <row r="2496" ht="22.5" hidden="1" customHeight="1">
      <c r="A2496" s="6"/>
      <c r="B2496" s="20"/>
      <c r="C2496" s="36"/>
      <c r="D2496" s="13"/>
      <c r="E2496" s="13"/>
      <c r="F2496" s="13"/>
      <c r="G2496" s="13"/>
      <c r="H2496" s="13"/>
      <c r="I2496" s="15"/>
      <c r="J2496" s="15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</row>
    <row r="2497" ht="22.5" hidden="1" customHeight="1">
      <c r="A2497" s="6"/>
      <c r="B2497" s="20"/>
      <c r="C2497" s="36"/>
      <c r="D2497" s="13"/>
      <c r="E2497" s="13"/>
      <c r="F2497" s="13"/>
      <c r="G2497" s="13"/>
      <c r="H2497" s="13"/>
      <c r="I2497" s="15"/>
      <c r="J2497" s="15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</row>
    <row r="2498" ht="22.5" hidden="1" customHeight="1">
      <c r="A2498" s="6"/>
      <c r="B2498" s="20"/>
      <c r="C2498" s="36"/>
      <c r="D2498" s="13"/>
      <c r="E2498" s="13"/>
      <c r="F2498" s="13"/>
      <c r="G2498" s="13"/>
      <c r="H2498" s="13"/>
      <c r="I2498" s="15"/>
      <c r="J2498" s="15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</row>
    <row r="2499" ht="22.5" hidden="1" customHeight="1">
      <c r="A2499" s="6"/>
      <c r="B2499" s="20"/>
      <c r="C2499" s="36"/>
      <c r="D2499" s="13"/>
      <c r="E2499" s="13"/>
      <c r="F2499" s="13"/>
      <c r="G2499" s="13"/>
      <c r="H2499" s="13"/>
      <c r="I2499" s="15"/>
      <c r="J2499" s="15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</row>
    <row r="2500" ht="22.5" hidden="1" customHeight="1">
      <c r="A2500" s="6"/>
      <c r="B2500" s="20"/>
      <c r="C2500" s="36"/>
      <c r="D2500" s="13"/>
      <c r="E2500" s="13"/>
      <c r="F2500" s="13"/>
      <c r="G2500" s="13"/>
      <c r="H2500" s="13"/>
      <c r="I2500" s="15"/>
      <c r="J2500" s="15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</row>
    <row r="2501" ht="22.5" hidden="1" customHeight="1">
      <c r="A2501" s="6"/>
      <c r="B2501" s="20"/>
      <c r="C2501" s="36"/>
      <c r="D2501" s="13"/>
      <c r="E2501" s="13"/>
      <c r="F2501" s="13"/>
      <c r="G2501" s="13"/>
      <c r="H2501" s="13"/>
      <c r="I2501" s="15"/>
      <c r="J2501" s="15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</row>
    <row r="2502" ht="22.5" hidden="1" customHeight="1">
      <c r="A2502" s="6"/>
      <c r="B2502" s="20"/>
      <c r="C2502" s="36"/>
      <c r="D2502" s="13"/>
      <c r="E2502" s="13"/>
      <c r="F2502" s="13"/>
      <c r="G2502" s="13"/>
      <c r="H2502" s="13"/>
      <c r="I2502" s="15"/>
      <c r="J2502" s="15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</row>
    <row r="2503" ht="22.5" hidden="1" customHeight="1">
      <c r="A2503" s="6"/>
      <c r="B2503" s="20"/>
      <c r="C2503" s="36"/>
      <c r="D2503" s="13"/>
      <c r="E2503" s="13"/>
      <c r="F2503" s="13"/>
      <c r="G2503" s="13"/>
      <c r="H2503" s="13"/>
      <c r="I2503" s="15"/>
      <c r="J2503" s="15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</row>
    <row r="2504" ht="22.5" hidden="1" customHeight="1">
      <c r="A2504" s="6"/>
      <c r="B2504" s="20"/>
      <c r="C2504" s="36"/>
      <c r="D2504" s="13"/>
      <c r="E2504" s="13"/>
      <c r="F2504" s="13"/>
      <c r="G2504" s="13"/>
      <c r="H2504" s="13"/>
      <c r="I2504" s="15"/>
      <c r="J2504" s="15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</row>
    <row r="2505" ht="22.5" hidden="1" customHeight="1">
      <c r="A2505" s="6"/>
      <c r="B2505" s="20"/>
      <c r="C2505" s="36"/>
      <c r="D2505" s="13"/>
      <c r="E2505" s="13"/>
      <c r="F2505" s="13"/>
      <c r="G2505" s="13"/>
      <c r="H2505" s="13"/>
      <c r="I2505" s="15"/>
      <c r="J2505" s="15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</row>
    <row r="2506" ht="22.5" hidden="1" customHeight="1">
      <c r="A2506" s="6"/>
      <c r="B2506" s="20"/>
      <c r="C2506" s="36"/>
      <c r="D2506" s="13"/>
      <c r="E2506" s="13"/>
      <c r="F2506" s="13"/>
      <c r="G2506" s="13"/>
      <c r="H2506" s="13"/>
      <c r="I2506" s="15"/>
      <c r="J2506" s="15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</row>
    <row r="2507" ht="22.5" hidden="1" customHeight="1">
      <c r="A2507" s="6"/>
      <c r="B2507" s="20"/>
      <c r="C2507" s="36"/>
      <c r="D2507" s="13"/>
      <c r="E2507" s="13"/>
      <c r="F2507" s="13"/>
      <c r="G2507" s="13"/>
      <c r="H2507" s="13"/>
      <c r="I2507" s="15"/>
      <c r="J2507" s="15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</row>
    <row r="2508" ht="22.5" hidden="1" customHeight="1">
      <c r="A2508" s="6"/>
      <c r="B2508" s="20"/>
      <c r="C2508" s="36"/>
      <c r="D2508" s="13"/>
      <c r="E2508" s="13"/>
      <c r="F2508" s="13"/>
      <c r="G2508" s="13"/>
      <c r="H2508" s="13"/>
      <c r="I2508" s="15"/>
      <c r="J2508" s="15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</row>
    <row r="2509" ht="22.5" hidden="1" customHeight="1">
      <c r="A2509" s="6"/>
      <c r="B2509" s="20"/>
      <c r="C2509" s="36"/>
      <c r="D2509" s="13"/>
      <c r="E2509" s="13"/>
      <c r="F2509" s="13"/>
      <c r="G2509" s="13"/>
      <c r="H2509" s="13"/>
      <c r="I2509" s="15"/>
      <c r="J2509" s="15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</row>
    <row r="2510" ht="22.5" hidden="1" customHeight="1">
      <c r="A2510" s="6"/>
      <c r="B2510" s="20"/>
      <c r="C2510" s="36"/>
      <c r="D2510" s="13"/>
      <c r="E2510" s="13"/>
      <c r="F2510" s="13"/>
      <c r="G2510" s="13"/>
      <c r="H2510" s="13"/>
      <c r="I2510" s="15"/>
      <c r="J2510" s="15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</row>
    <row r="2511" ht="22.5" hidden="1" customHeight="1">
      <c r="A2511" s="6"/>
      <c r="B2511" s="20"/>
      <c r="C2511" s="36"/>
      <c r="D2511" s="13"/>
      <c r="E2511" s="13"/>
      <c r="F2511" s="13"/>
      <c r="G2511" s="13"/>
      <c r="H2511" s="13"/>
      <c r="I2511" s="15"/>
      <c r="J2511" s="15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</row>
    <row r="2512" ht="22.5" hidden="1" customHeight="1">
      <c r="A2512" s="6"/>
      <c r="B2512" s="20"/>
      <c r="C2512" s="36"/>
      <c r="D2512" s="13"/>
      <c r="E2512" s="13"/>
      <c r="F2512" s="13"/>
      <c r="G2512" s="13"/>
      <c r="H2512" s="13"/>
      <c r="I2512" s="15"/>
      <c r="J2512" s="15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</row>
    <row r="2513" ht="22.5" hidden="1" customHeight="1">
      <c r="A2513" s="6"/>
      <c r="B2513" s="20"/>
      <c r="C2513" s="36"/>
      <c r="D2513" s="13"/>
      <c r="E2513" s="13"/>
      <c r="F2513" s="13"/>
      <c r="G2513" s="13"/>
      <c r="H2513" s="13"/>
      <c r="I2513" s="15"/>
      <c r="J2513" s="15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</row>
    <row r="2514" ht="22.5" hidden="1" customHeight="1">
      <c r="A2514" s="6"/>
      <c r="B2514" s="20"/>
      <c r="C2514" s="36"/>
      <c r="D2514" s="13"/>
      <c r="E2514" s="13"/>
      <c r="F2514" s="13"/>
      <c r="G2514" s="13"/>
      <c r="H2514" s="13"/>
      <c r="I2514" s="15"/>
      <c r="J2514" s="15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</row>
    <row r="2515" ht="22.5" hidden="1" customHeight="1">
      <c r="A2515" s="6"/>
      <c r="B2515" s="20"/>
      <c r="C2515" s="36"/>
      <c r="D2515" s="13"/>
      <c r="E2515" s="13"/>
      <c r="F2515" s="13"/>
      <c r="G2515" s="13"/>
      <c r="H2515" s="13"/>
      <c r="I2515" s="15"/>
      <c r="J2515" s="15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</row>
    <row r="2516" ht="22.5" hidden="1" customHeight="1">
      <c r="A2516" s="6"/>
      <c r="B2516" s="20"/>
      <c r="C2516" s="36"/>
      <c r="D2516" s="13"/>
      <c r="E2516" s="13"/>
      <c r="F2516" s="13"/>
      <c r="G2516" s="13"/>
      <c r="H2516" s="13"/>
      <c r="I2516" s="15"/>
      <c r="J2516" s="15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</row>
    <row r="2517" ht="22.5" hidden="1" customHeight="1">
      <c r="A2517" s="6"/>
      <c r="B2517" s="20"/>
      <c r="C2517" s="36"/>
      <c r="D2517" s="13"/>
      <c r="E2517" s="13"/>
      <c r="F2517" s="13"/>
      <c r="G2517" s="13"/>
      <c r="H2517" s="13"/>
      <c r="I2517" s="15"/>
      <c r="J2517" s="15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</row>
    <row r="2518" ht="22.5" hidden="1" customHeight="1">
      <c r="A2518" s="6"/>
      <c r="B2518" s="20"/>
      <c r="C2518" s="36"/>
      <c r="D2518" s="13"/>
      <c r="E2518" s="13"/>
      <c r="F2518" s="13"/>
      <c r="G2518" s="13"/>
      <c r="H2518" s="13"/>
      <c r="I2518" s="15"/>
      <c r="J2518" s="15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</row>
    <row r="2519" ht="22.5" hidden="1" customHeight="1">
      <c r="A2519" s="6"/>
      <c r="B2519" s="20"/>
      <c r="C2519" s="36"/>
      <c r="D2519" s="13"/>
      <c r="E2519" s="13"/>
      <c r="F2519" s="13"/>
      <c r="G2519" s="13"/>
      <c r="H2519" s="13"/>
      <c r="I2519" s="15"/>
      <c r="J2519" s="15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</row>
    <row r="2520" ht="22.5" hidden="1" customHeight="1">
      <c r="A2520" s="6"/>
      <c r="B2520" s="20"/>
      <c r="C2520" s="36"/>
      <c r="D2520" s="13"/>
      <c r="E2520" s="13"/>
      <c r="F2520" s="13"/>
      <c r="G2520" s="13"/>
      <c r="H2520" s="13"/>
      <c r="I2520" s="15"/>
      <c r="J2520" s="15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</row>
    <row r="2521" ht="22.5" hidden="1" customHeight="1">
      <c r="A2521" s="6"/>
      <c r="B2521" s="20"/>
      <c r="C2521" s="36"/>
      <c r="D2521" s="13"/>
      <c r="E2521" s="13"/>
      <c r="F2521" s="13"/>
      <c r="G2521" s="13"/>
      <c r="H2521" s="13"/>
      <c r="I2521" s="15"/>
      <c r="J2521" s="15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</row>
    <row r="2522" ht="22.5" hidden="1" customHeight="1">
      <c r="A2522" s="6"/>
      <c r="B2522" s="20"/>
      <c r="C2522" s="36"/>
      <c r="D2522" s="13"/>
      <c r="E2522" s="13"/>
      <c r="F2522" s="13"/>
      <c r="G2522" s="13"/>
      <c r="H2522" s="13"/>
      <c r="I2522" s="15"/>
      <c r="J2522" s="15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</row>
    <row r="2523" ht="22.5" hidden="1" customHeight="1">
      <c r="A2523" s="6"/>
      <c r="B2523" s="20"/>
      <c r="C2523" s="36"/>
      <c r="D2523" s="13"/>
      <c r="E2523" s="13"/>
      <c r="F2523" s="13"/>
      <c r="G2523" s="13"/>
      <c r="H2523" s="13"/>
      <c r="I2523" s="15"/>
      <c r="J2523" s="15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</row>
    <row r="2524" ht="22.5" hidden="1" customHeight="1">
      <c r="A2524" s="6"/>
      <c r="B2524" s="20"/>
      <c r="C2524" s="36"/>
      <c r="D2524" s="13"/>
      <c r="E2524" s="13"/>
      <c r="F2524" s="13"/>
      <c r="G2524" s="13"/>
      <c r="H2524" s="13"/>
      <c r="I2524" s="15"/>
      <c r="J2524" s="15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</row>
    <row r="2525" ht="22.5" hidden="1" customHeight="1">
      <c r="A2525" s="6"/>
      <c r="B2525" s="20"/>
      <c r="C2525" s="36"/>
      <c r="D2525" s="13"/>
      <c r="E2525" s="13"/>
      <c r="F2525" s="13"/>
      <c r="G2525" s="13"/>
      <c r="H2525" s="13"/>
      <c r="I2525" s="15"/>
      <c r="J2525" s="15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</row>
    <row r="2526" ht="22.5" hidden="1" customHeight="1">
      <c r="A2526" s="6"/>
      <c r="B2526" s="20"/>
      <c r="C2526" s="36"/>
      <c r="D2526" s="13"/>
      <c r="E2526" s="13"/>
      <c r="F2526" s="13"/>
      <c r="G2526" s="13"/>
      <c r="H2526" s="13"/>
      <c r="I2526" s="15"/>
      <c r="J2526" s="15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</row>
    <row r="2527" ht="22.5" hidden="1" customHeight="1">
      <c r="A2527" s="6"/>
      <c r="B2527" s="20"/>
      <c r="C2527" s="36"/>
      <c r="D2527" s="13"/>
      <c r="E2527" s="13"/>
      <c r="F2527" s="13"/>
      <c r="G2527" s="13"/>
      <c r="H2527" s="13"/>
      <c r="I2527" s="15"/>
      <c r="J2527" s="15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</row>
    <row r="2528" ht="22.5" hidden="1" customHeight="1">
      <c r="A2528" s="6"/>
      <c r="B2528" s="20"/>
      <c r="C2528" s="36"/>
      <c r="D2528" s="13"/>
      <c r="E2528" s="13"/>
      <c r="F2528" s="13"/>
      <c r="G2528" s="13"/>
      <c r="H2528" s="13"/>
      <c r="I2528" s="15"/>
      <c r="J2528" s="15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</row>
    <row r="2529" ht="22.5" hidden="1" customHeight="1">
      <c r="A2529" s="6"/>
      <c r="B2529" s="20"/>
      <c r="C2529" s="36"/>
      <c r="D2529" s="13"/>
      <c r="E2529" s="13"/>
      <c r="F2529" s="13"/>
      <c r="G2529" s="13"/>
      <c r="H2529" s="13"/>
      <c r="I2529" s="15"/>
      <c r="J2529" s="15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</row>
    <row r="2530" ht="22.5" hidden="1" customHeight="1">
      <c r="A2530" s="6"/>
      <c r="B2530" s="20"/>
      <c r="C2530" s="36"/>
      <c r="D2530" s="13"/>
      <c r="E2530" s="13"/>
      <c r="F2530" s="13"/>
      <c r="G2530" s="13"/>
      <c r="H2530" s="13"/>
      <c r="I2530" s="15"/>
      <c r="J2530" s="15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</row>
    <row r="2531" ht="22.5" hidden="1" customHeight="1">
      <c r="A2531" s="6"/>
      <c r="B2531" s="20"/>
      <c r="C2531" s="36"/>
      <c r="D2531" s="13"/>
      <c r="E2531" s="13"/>
      <c r="F2531" s="13"/>
      <c r="G2531" s="13"/>
      <c r="H2531" s="13"/>
      <c r="I2531" s="15"/>
      <c r="J2531" s="15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</row>
    <row r="2532" ht="22.5" hidden="1" customHeight="1">
      <c r="A2532" s="6"/>
      <c r="B2532" s="20"/>
      <c r="C2532" s="36"/>
      <c r="D2532" s="13"/>
      <c r="E2532" s="13"/>
      <c r="F2532" s="13"/>
      <c r="G2532" s="13"/>
      <c r="H2532" s="13"/>
      <c r="I2532" s="15"/>
      <c r="J2532" s="15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</row>
    <row r="2533" ht="22.5" hidden="1" customHeight="1">
      <c r="A2533" s="6"/>
      <c r="B2533" s="20"/>
      <c r="C2533" s="36"/>
      <c r="D2533" s="13"/>
      <c r="E2533" s="13"/>
      <c r="F2533" s="13"/>
      <c r="G2533" s="13"/>
      <c r="H2533" s="13"/>
      <c r="I2533" s="15"/>
      <c r="J2533" s="15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</row>
    <row r="2534" ht="22.5" hidden="1" customHeight="1">
      <c r="A2534" s="6"/>
      <c r="B2534" s="20"/>
      <c r="C2534" s="36"/>
      <c r="D2534" s="13"/>
      <c r="E2534" s="13"/>
      <c r="F2534" s="13"/>
      <c r="G2534" s="13"/>
      <c r="H2534" s="13"/>
      <c r="I2534" s="15"/>
      <c r="J2534" s="15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</row>
    <row r="2535" ht="22.5" hidden="1" customHeight="1">
      <c r="A2535" s="6"/>
      <c r="B2535" s="20"/>
      <c r="C2535" s="36"/>
      <c r="D2535" s="13"/>
      <c r="E2535" s="13"/>
      <c r="F2535" s="13"/>
      <c r="G2535" s="13"/>
      <c r="H2535" s="13"/>
      <c r="I2535" s="15"/>
      <c r="J2535" s="15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</row>
    <row r="2536" ht="22.5" hidden="1" customHeight="1">
      <c r="A2536" s="6"/>
      <c r="B2536" s="20"/>
      <c r="C2536" s="36"/>
      <c r="D2536" s="13"/>
      <c r="E2536" s="13"/>
      <c r="F2536" s="13"/>
      <c r="G2536" s="13"/>
      <c r="H2536" s="13"/>
      <c r="I2536" s="15"/>
      <c r="J2536" s="15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</row>
    <row r="2537" ht="22.5" hidden="1" customHeight="1">
      <c r="A2537" s="6"/>
      <c r="B2537" s="20"/>
      <c r="C2537" s="36"/>
      <c r="D2537" s="13"/>
      <c r="E2537" s="13"/>
      <c r="F2537" s="13"/>
      <c r="G2537" s="13"/>
      <c r="H2537" s="13"/>
      <c r="I2537" s="15"/>
      <c r="J2537" s="15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</row>
    <row r="2538" ht="22.5" hidden="1" customHeight="1">
      <c r="A2538" s="6"/>
      <c r="B2538" s="20"/>
      <c r="C2538" s="36"/>
      <c r="D2538" s="13"/>
      <c r="E2538" s="13"/>
      <c r="F2538" s="13"/>
      <c r="G2538" s="13"/>
      <c r="H2538" s="13"/>
      <c r="I2538" s="15"/>
      <c r="J2538" s="15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</row>
    <row r="2539" ht="22.5" hidden="1" customHeight="1">
      <c r="A2539" s="6"/>
      <c r="B2539" s="20"/>
      <c r="C2539" s="36"/>
      <c r="D2539" s="13"/>
      <c r="E2539" s="13"/>
      <c r="F2539" s="13"/>
      <c r="G2539" s="13"/>
      <c r="H2539" s="13"/>
      <c r="I2539" s="15"/>
      <c r="J2539" s="15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</row>
    <row r="2540" ht="22.5" hidden="1" customHeight="1">
      <c r="A2540" s="6"/>
      <c r="B2540" s="20"/>
      <c r="C2540" s="36"/>
      <c r="D2540" s="13"/>
      <c r="E2540" s="13"/>
      <c r="F2540" s="13"/>
      <c r="G2540" s="13"/>
      <c r="H2540" s="13"/>
      <c r="I2540" s="15"/>
      <c r="J2540" s="15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</row>
    <row r="2541" ht="22.5" hidden="1" customHeight="1">
      <c r="A2541" s="6"/>
      <c r="B2541" s="20"/>
      <c r="C2541" s="36"/>
      <c r="D2541" s="13"/>
      <c r="E2541" s="13"/>
      <c r="F2541" s="13"/>
      <c r="G2541" s="13"/>
      <c r="H2541" s="13"/>
      <c r="I2541" s="15"/>
      <c r="J2541" s="15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</row>
    <row r="2542" ht="22.5" hidden="1" customHeight="1">
      <c r="A2542" s="6"/>
      <c r="B2542" s="20"/>
      <c r="C2542" s="36"/>
      <c r="D2542" s="13"/>
      <c r="E2542" s="13"/>
      <c r="F2542" s="13"/>
      <c r="G2542" s="13"/>
      <c r="H2542" s="13"/>
      <c r="I2542" s="15"/>
      <c r="J2542" s="15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</row>
    <row r="2543" ht="22.5" hidden="1" customHeight="1">
      <c r="A2543" s="6"/>
      <c r="B2543" s="20"/>
      <c r="C2543" s="36"/>
      <c r="D2543" s="13"/>
      <c r="E2543" s="13"/>
      <c r="F2543" s="13"/>
      <c r="G2543" s="13"/>
      <c r="H2543" s="13"/>
      <c r="I2543" s="15"/>
      <c r="J2543" s="15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</row>
    <row r="2544" ht="22.5" hidden="1" customHeight="1">
      <c r="A2544" s="6"/>
      <c r="B2544" s="20"/>
      <c r="C2544" s="36"/>
      <c r="D2544" s="13"/>
      <c r="E2544" s="13"/>
      <c r="F2544" s="13"/>
      <c r="G2544" s="13"/>
      <c r="H2544" s="13"/>
      <c r="I2544" s="15"/>
      <c r="J2544" s="15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</row>
    <row r="2545" ht="22.5" hidden="1" customHeight="1">
      <c r="A2545" s="6"/>
      <c r="B2545" s="20"/>
      <c r="C2545" s="36"/>
      <c r="D2545" s="13"/>
      <c r="E2545" s="13"/>
      <c r="F2545" s="13"/>
      <c r="G2545" s="13"/>
      <c r="H2545" s="13"/>
      <c r="I2545" s="15"/>
      <c r="J2545" s="15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</row>
    <row r="2546" ht="22.5" hidden="1" customHeight="1">
      <c r="A2546" s="6"/>
      <c r="B2546" s="20"/>
      <c r="C2546" s="36"/>
      <c r="D2546" s="13"/>
      <c r="E2546" s="13"/>
      <c r="F2546" s="13"/>
      <c r="G2546" s="13"/>
      <c r="H2546" s="13"/>
      <c r="I2546" s="15"/>
      <c r="J2546" s="15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</row>
    <row r="2547" ht="22.5" hidden="1" customHeight="1">
      <c r="A2547" s="6"/>
      <c r="B2547" s="20"/>
      <c r="C2547" s="36"/>
      <c r="D2547" s="13"/>
      <c r="E2547" s="13"/>
      <c r="F2547" s="13"/>
      <c r="G2547" s="13"/>
      <c r="H2547" s="13"/>
      <c r="I2547" s="15"/>
      <c r="J2547" s="15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</row>
    <row r="2548" ht="22.5" hidden="1" customHeight="1">
      <c r="A2548" s="6"/>
      <c r="B2548" s="20"/>
      <c r="C2548" s="36"/>
      <c r="D2548" s="13"/>
      <c r="E2548" s="13"/>
      <c r="F2548" s="13"/>
      <c r="G2548" s="13"/>
      <c r="H2548" s="13"/>
      <c r="I2548" s="15"/>
      <c r="J2548" s="15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</row>
    <row r="2549" ht="22.5" hidden="1" customHeight="1">
      <c r="A2549" s="6"/>
      <c r="B2549" s="20"/>
      <c r="C2549" s="36"/>
      <c r="D2549" s="13"/>
      <c r="E2549" s="13"/>
      <c r="F2549" s="13"/>
      <c r="G2549" s="13"/>
      <c r="H2549" s="13"/>
      <c r="I2549" s="15"/>
      <c r="J2549" s="15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</row>
    <row r="2550" ht="22.5" hidden="1" customHeight="1">
      <c r="A2550" s="6"/>
      <c r="B2550" s="20"/>
      <c r="C2550" s="36"/>
      <c r="D2550" s="13"/>
      <c r="E2550" s="13"/>
      <c r="F2550" s="13"/>
      <c r="G2550" s="13"/>
      <c r="H2550" s="13"/>
      <c r="I2550" s="15"/>
      <c r="J2550" s="15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</row>
    <row r="2551" ht="22.5" hidden="1" customHeight="1">
      <c r="A2551" s="6"/>
      <c r="B2551" s="20"/>
      <c r="C2551" s="36"/>
      <c r="D2551" s="13"/>
      <c r="E2551" s="13"/>
      <c r="F2551" s="13"/>
      <c r="G2551" s="13"/>
      <c r="H2551" s="13"/>
      <c r="I2551" s="15"/>
      <c r="J2551" s="15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</row>
    <row r="2552" ht="22.5" hidden="1" customHeight="1">
      <c r="A2552" s="6"/>
      <c r="B2552" s="20"/>
      <c r="C2552" s="36"/>
      <c r="D2552" s="13"/>
      <c r="E2552" s="13"/>
      <c r="F2552" s="13"/>
      <c r="G2552" s="13"/>
      <c r="H2552" s="13"/>
      <c r="I2552" s="15"/>
      <c r="J2552" s="15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</row>
    <row r="2553" ht="22.5" hidden="1" customHeight="1">
      <c r="A2553" s="6"/>
      <c r="B2553" s="20"/>
      <c r="C2553" s="36"/>
      <c r="D2553" s="13"/>
      <c r="E2553" s="13"/>
      <c r="F2553" s="13"/>
      <c r="G2553" s="13"/>
      <c r="H2553" s="13"/>
      <c r="I2553" s="15"/>
      <c r="J2553" s="15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</row>
    <row r="2554" ht="22.5" hidden="1" customHeight="1">
      <c r="A2554" s="6"/>
      <c r="B2554" s="20"/>
      <c r="C2554" s="36"/>
      <c r="D2554" s="13"/>
      <c r="E2554" s="13"/>
      <c r="F2554" s="13"/>
      <c r="G2554" s="13"/>
      <c r="H2554" s="13"/>
      <c r="I2554" s="15"/>
      <c r="J2554" s="15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</row>
    <row r="2555" ht="22.5" hidden="1" customHeight="1">
      <c r="A2555" s="6"/>
      <c r="B2555" s="20"/>
      <c r="C2555" s="36"/>
      <c r="D2555" s="13"/>
      <c r="E2555" s="13"/>
      <c r="F2555" s="13"/>
      <c r="G2555" s="13"/>
      <c r="H2555" s="13"/>
      <c r="I2555" s="15"/>
      <c r="J2555" s="15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</row>
    <row r="2556" ht="22.5" hidden="1" customHeight="1">
      <c r="A2556" s="6"/>
      <c r="B2556" s="20"/>
      <c r="C2556" s="36"/>
      <c r="D2556" s="13"/>
      <c r="E2556" s="13"/>
      <c r="F2556" s="13"/>
      <c r="G2556" s="13"/>
      <c r="H2556" s="13"/>
      <c r="I2556" s="15"/>
      <c r="J2556" s="15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</row>
    <row r="2557" ht="22.5" hidden="1" customHeight="1">
      <c r="A2557" s="6"/>
      <c r="B2557" s="20"/>
      <c r="C2557" s="36"/>
      <c r="D2557" s="13"/>
      <c r="E2557" s="13"/>
      <c r="F2557" s="13"/>
      <c r="G2557" s="13"/>
      <c r="H2557" s="13"/>
      <c r="I2557" s="15"/>
      <c r="J2557" s="15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</row>
    <row r="2558" ht="22.5" hidden="1" customHeight="1">
      <c r="A2558" s="6"/>
      <c r="B2558" s="20"/>
      <c r="C2558" s="36"/>
      <c r="D2558" s="13"/>
      <c r="E2558" s="13"/>
      <c r="F2558" s="13"/>
      <c r="G2558" s="13"/>
      <c r="H2558" s="13"/>
      <c r="I2558" s="15"/>
      <c r="J2558" s="15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</row>
    <row r="2559" ht="22.5" hidden="1" customHeight="1">
      <c r="A2559" s="6"/>
      <c r="B2559" s="20"/>
      <c r="C2559" s="36"/>
      <c r="D2559" s="13"/>
      <c r="E2559" s="13"/>
      <c r="F2559" s="13"/>
      <c r="G2559" s="13"/>
      <c r="H2559" s="13"/>
      <c r="I2559" s="15"/>
      <c r="J2559" s="15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</row>
    <row r="2560" ht="22.5" hidden="1" customHeight="1">
      <c r="A2560" s="6"/>
      <c r="B2560" s="20"/>
      <c r="C2560" s="36"/>
      <c r="D2560" s="13"/>
      <c r="E2560" s="13"/>
      <c r="F2560" s="13"/>
      <c r="G2560" s="13"/>
      <c r="H2560" s="13"/>
      <c r="I2560" s="15"/>
      <c r="J2560" s="15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</row>
    <row r="2561" ht="22.5" hidden="1" customHeight="1">
      <c r="A2561" s="6"/>
      <c r="B2561" s="20"/>
      <c r="C2561" s="36"/>
      <c r="D2561" s="13"/>
      <c r="E2561" s="13"/>
      <c r="F2561" s="13"/>
      <c r="G2561" s="13"/>
      <c r="H2561" s="13"/>
      <c r="I2561" s="15"/>
      <c r="J2561" s="15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</row>
    <row r="2562" ht="22.5" hidden="1" customHeight="1">
      <c r="A2562" s="6"/>
      <c r="B2562" s="20"/>
      <c r="C2562" s="36"/>
      <c r="D2562" s="13"/>
      <c r="E2562" s="13"/>
      <c r="F2562" s="13"/>
      <c r="G2562" s="13"/>
      <c r="H2562" s="13"/>
      <c r="I2562" s="15"/>
      <c r="J2562" s="15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</row>
    <row r="2563" ht="22.5" hidden="1" customHeight="1">
      <c r="A2563" s="6"/>
      <c r="B2563" s="20"/>
      <c r="C2563" s="36"/>
      <c r="D2563" s="13"/>
      <c r="E2563" s="13"/>
      <c r="F2563" s="13"/>
      <c r="G2563" s="13"/>
      <c r="H2563" s="13"/>
      <c r="I2563" s="15"/>
      <c r="J2563" s="15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</row>
    <row r="2564" ht="22.5" hidden="1" customHeight="1">
      <c r="A2564" s="6"/>
      <c r="B2564" s="20"/>
      <c r="C2564" s="36"/>
      <c r="D2564" s="13"/>
      <c r="E2564" s="13"/>
      <c r="F2564" s="13"/>
      <c r="G2564" s="13"/>
      <c r="H2564" s="13"/>
      <c r="I2564" s="15"/>
      <c r="J2564" s="15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</row>
    <row r="2565" ht="22.5" hidden="1" customHeight="1">
      <c r="A2565" s="6"/>
      <c r="B2565" s="20"/>
      <c r="C2565" s="36"/>
      <c r="D2565" s="13"/>
      <c r="E2565" s="13"/>
      <c r="F2565" s="13"/>
      <c r="G2565" s="13"/>
      <c r="H2565" s="13"/>
      <c r="I2565" s="15"/>
      <c r="J2565" s="15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</row>
    <row r="2566" ht="22.5" hidden="1" customHeight="1">
      <c r="A2566" s="6"/>
      <c r="B2566" s="20"/>
      <c r="C2566" s="36"/>
      <c r="D2566" s="13"/>
      <c r="E2566" s="13"/>
      <c r="F2566" s="13"/>
      <c r="G2566" s="13"/>
      <c r="H2566" s="13"/>
      <c r="I2566" s="15"/>
      <c r="J2566" s="15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</row>
    <row r="2567" ht="22.5" hidden="1" customHeight="1">
      <c r="A2567" s="6"/>
      <c r="B2567" s="20"/>
      <c r="C2567" s="36"/>
      <c r="D2567" s="13"/>
      <c r="E2567" s="13"/>
      <c r="F2567" s="13"/>
      <c r="G2567" s="13"/>
      <c r="H2567" s="13"/>
      <c r="I2567" s="15"/>
      <c r="J2567" s="15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</row>
    <row r="2568" ht="22.5" hidden="1" customHeight="1">
      <c r="A2568" s="6"/>
      <c r="B2568" s="20"/>
      <c r="C2568" s="36"/>
      <c r="D2568" s="13"/>
      <c r="E2568" s="13"/>
      <c r="F2568" s="13"/>
      <c r="G2568" s="13"/>
      <c r="H2568" s="13"/>
      <c r="I2568" s="15"/>
      <c r="J2568" s="15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</row>
    <row r="2569" ht="22.5" hidden="1" customHeight="1">
      <c r="A2569" s="6"/>
      <c r="B2569" s="20"/>
      <c r="C2569" s="36"/>
      <c r="D2569" s="13"/>
      <c r="E2569" s="13"/>
      <c r="F2569" s="13"/>
      <c r="G2569" s="13"/>
      <c r="H2569" s="13"/>
      <c r="I2569" s="15"/>
      <c r="J2569" s="15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</row>
    <row r="2570" ht="22.5" hidden="1" customHeight="1">
      <c r="A2570" s="6"/>
      <c r="B2570" s="20"/>
      <c r="C2570" s="36"/>
      <c r="D2570" s="13"/>
      <c r="E2570" s="13"/>
      <c r="F2570" s="13"/>
      <c r="G2570" s="13"/>
      <c r="H2570" s="13"/>
      <c r="I2570" s="15"/>
      <c r="J2570" s="15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</row>
    <row r="2571" ht="22.5" hidden="1" customHeight="1">
      <c r="A2571" s="6"/>
      <c r="B2571" s="20"/>
      <c r="C2571" s="36"/>
      <c r="D2571" s="13"/>
      <c r="E2571" s="13"/>
      <c r="F2571" s="13"/>
      <c r="G2571" s="13"/>
      <c r="H2571" s="13"/>
      <c r="I2571" s="15"/>
      <c r="J2571" s="15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</row>
    <row r="2572" ht="22.5" hidden="1" customHeight="1">
      <c r="A2572" s="6"/>
      <c r="B2572" s="20"/>
      <c r="C2572" s="36"/>
      <c r="D2572" s="13"/>
      <c r="E2572" s="13"/>
      <c r="F2572" s="13"/>
      <c r="G2572" s="13"/>
      <c r="H2572" s="13"/>
      <c r="I2572" s="15"/>
      <c r="J2572" s="15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</row>
    <row r="2573" ht="22.5" hidden="1" customHeight="1">
      <c r="A2573" s="6"/>
      <c r="B2573" s="20"/>
      <c r="C2573" s="36"/>
      <c r="D2573" s="13"/>
      <c r="E2573" s="13"/>
      <c r="F2573" s="13"/>
      <c r="G2573" s="13"/>
      <c r="H2573" s="13"/>
      <c r="I2573" s="15"/>
      <c r="J2573" s="15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</row>
    <row r="2574" ht="22.5" hidden="1" customHeight="1">
      <c r="A2574" s="6"/>
      <c r="B2574" s="20"/>
      <c r="C2574" s="36"/>
      <c r="D2574" s="13"/>
      <c r="E2574" s="13"/>
      <c r="F2574" s="13"/>
      <c r="G2574" s="13"/>
      <c r="H2574" s="13"/>
      <c r="I2574" s="15"/>
      <c r="J2574" s="15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</row>
    <row r="2575" ht="22.5" hidden="1" customHeight="1">
      <c r="A2575" s="6"/>
      <c r="B2575" s="20"/>
      <c r="C2575" s="36"/>
      <c r="D2575" s="13"/>
      <c r="E2575" s="13"/>
      <c r="F2575" s="13"/>
      <c r="G2575" s="13"/>
      <c r="H2575" s="13"/>
      <c r="I2575" s="15"/>
      <c r="J2575" s="15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</row>
    <row r="2576" ht="22.5" hidden="1" customHeight="1">
      <c r="A2576" s="6"/>
      <c r="B2576" s="20"/>
      <c r="C2576" s="36"/>
      <c r="D2576" s="13"/>
      <c r="E2576" s="13"/>
      <c r="F2576" s="13"/>
      <c r="G2576" s="13"/>
      <c r="H2576" s="13"/>
      <c r="I2576" s="15"/>
      <c r="J2576" s="15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</row>
    <row r="2577" ht="22.5" hidden="1" customHeight="1">
      <c r="A2577" s="6"/>
      <c r="B2577" s="20"/>
      <c r="C2577" s="36"/>
      <c r="D2577" s="13"/>
      <c r="E2577" s="13"/>
      <c r="F2577" s="13"/>
      <c r="G2577" s="13"/>
      <c r="H2577" s="13"/>
      <c r="I2577" s="15"/>
      <c r="J2577" s="15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</row>
    <row r="2578" ht="22.5" hidden="1" customHeight="1">
      <c r="A2578" s="6"/>
      <c r="B2578" s="20"/>
      <c r="C2578" s="36"/>
      <c r="D2578" s="13"/>
      <c r="E2578" s="13"/>
      <c r="F2578" s="13"/>
      <c r="G2578" s="13"/>
      <c r="H2578" s="13"/>
      <c r="I2578" s="15"/>
      <c r="J2578" s="15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</row>
    <row r="2579" ht="22.5" hidden="1" customHeight="1">
      <c r="A2579" s="6"/>
      <c r="B2579" s="20"/>
      <c r="C2579" s="36"/>
      <c r="D2579" s="13"/>
      <c r="E2579" s="13"/>
      <c r="F2579" s="13"/>
      <c r="G2579" s="13"/>
      <c r="H2579" s="13"/>
      <c r="I2579" s="15"/>
      <c r="J2579" s="15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</row>
    <row r="2580" ht="22.5" hidden="1" customHeight="1">
      <c r="A2580" s="6"/>
      <c r="B2580" s="20"/>
      <c r="C2580" s="36"/>
      <c r="D2580" s="13"/>
      <c r="E2580" s="13"/>
      <c r="F2580" s="13"/>
      <c r="G2580" s="13"/>
      <c r="H2580" s="13"/>
      <c r="I2580" s="15"/>
      <c r="J2580" s="15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</row>
    <row r="2581" ht="22.5" hidden="1" customHeight="1">
      <c r="A2581" s="6"/>
      <c r="B2581" s="20"/>
      <c r="C2581" s="36"/>
      <c r="D2581" s="13"/>
      <c r="E2581" s="13"/>
      <c r="F2581" s="13"/>
      <c r="G2581" s="13"/>
      <c r="H2581" s="13"/>
      <c r="I2581" s="15"/>
      <c r="J2581" s="15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</row>
    <row r="2582" ht="22.5" hidden="1" customHeight="1">
      <c r="A2582" s="6"/>
      <c r="B2582" s="20"/>
      <c r="C2582" s="36"/>
      <c r="D2582" s="13"/>
      <c r="E2582" s="13"/>
      <c r="F2582" s="13"/>
      <c r="G2582" s="13"/>
      <c r="H2582" s="13"/>
      <c r="I2582" s="15"/>
      <c r="J2582" s="15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</row>
    <row r="2583" ht="22.5" hidden="1" customHeight="1">
      <c r="A2583" s="6"/>
      <c r="B2583" s="20"/>
      <c r="C2583" s="36"/>
      <c r="D2583" s="13"/>
      <c r="E2583" s="13"/>
      <c r="F2583" s="13"/>
      <c r="G2583" s="13"/>
      <c r="H2583" s="13"/>
      <c r="I2583" s="15"/>
      <c r="J2583" s="15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</row>
    <row r="2584" ht="22.5" hidden="1" customHeight="1">
      <c r="A2584" s="6"/>
      <c r="B2584" s="20"/>
      <c r="C2584" s="36"/>
      <c r="D2584" s="13"/>
      <c r="E2584" s="13"/>
      <c r="F2584" s="13"/>
      <c r="G2584" s="13"/>
      <c r="H2584" s="13"/>
      <c r="I2584" s="15"/>
      <c r="J2584" s="15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</row>
    <row r="2585" ht="22.5" hidden="1" customHeight="1">
      <c r="A2585" s="6"/>
      <c r="B2585" s="20"/>
      <c r="C2585" s="36"/>
      <c r="D2585" s="13"/>
      <c r="E2585" s="13"/>
      <c r="F2585" s="13"/>
      <c r="G2585" s="13"/>
      <c r="H2585" s="13"/>
      <c r="I2585" s="15"/>
      <c r="J2585" s="15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</row>
    <row r="2586" ht="22.5" hidden="1" customHeight="1">
      <c r="A2586" s="6"/>
      <c r="B2586" s="20"/>
      <c r="C2586" s="36"/>
      <c r="D2586" s="13"/>
      <c r="E2586" s="13"/>
      <c r="F2586" s="13"/>
      <c r="G2586" s="13"/>
      <c r="H2586" s="13"/>
      <c r="I2586" s="15"/>
      <c r="J2586" s="15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</row>
    <row r="2587" ht="22.5" hidden="1" customHeight="1">
      <c r="A2587" s="6"/>
      <c r="B2587" s="20"/>
      <c r="C2587" s="36"/>
      <c r="D2587" s="13"/>
      <c r="E2587" s="13"/>
      <c r="F2587" s="13"/>
      <c r="G2587" s="13"/>
      <c r="H2587" s="13"/>
      <c r="I2587" s="15"/>
      <c r="J2587" s="15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</row>
    <row r="2588" ht="22.5" hidden="1" customHeight="1">
      <c r="A2588" s="6"/>
      <c r="B2588" s="20"/>
      <c r="C2588" s="36"/>
      <c r="D2588" s="13"/>
      <c r="E2588" s="13"/>
      <c r="F2588" s="13"/>
      <c r="G2588" s="13"/>
      <c r="H2588" s="13"/>
      <c r="I2588" s="15"/>
      <c r="J2588" s="15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</row>
    <row r="2589" ht="22.5" hidden="1" customHeight="1">
      <c r="A2589" s="6"/>
      <c r="B2589" s="20"/>
      <c r="C2589" s="36"/>
      <c r="D2589" s="13"/>
      <c r="E2589" s="13"/>
      <c r="F2589" s="13"/>
      <c r="G2589" s="13"/>
      <c r="H2589" s="13"/>
      <c r="I2589" s="15"/>
      <c r="J2589" s="15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</row>
    <row r="2590" ht="22.5" hidden="1" customHeight="1">
      <c r="A2590" s="6"/>
      <c r="B2590" s="20"/>
      <c r="C2590" s="36"/>
      <c r="D2590" s="13"/>
      <c r="E2590" s="13"/>
      <c r="F2590" s="13"/>
      <c r="G2590" s="13"/>
      <c r="H2590" s="13"/>
      <c r="I2590" s="15"/>
      <c r="J2590" s="15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</row>
    <row r="2591" ht="22.5" hidden="1" customHeight="1">
      <c r="A2591" s="6"/>
      <c r="B2591" s="20"/>
      <c r="C2591" s="36"/>
      <c r="D2591" s="13"/>
      <c r="E2591" s="13"/>
      <c r="F2591" s="13"/>
      <c r="G2591" s="13"/>
      <c r="H2591" s="13"/>
      <c r="I2591" s="15"/>
      <c r="J2591" s="15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</row>
    <row r="2592" ht="22.5" hidden="1" customHeight="1">
      <c r="A2592" s="6"/>
      <c r="B2592" s="20"/>
      <c r="C2592" s="36"/>
      <c r="D2592" s="13"/>
      <c r="E2592" s="13"/>
      <c r="F2592" s="13"/>
      <c r="G2592" s="13"/>
      <c r="H2592" s="13"/>
      <c r="I2592" s="15"/>
      <c r="J2592" s="15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</row>
    <row r="2593" ht="22.5" hidden="1" customHeight="1">
      <c r="A2593" s="6"/>
      <c r="B2593" s="20"/>
      <c r="C2593" s="36"/>
      <c r="D2593" s="13"/>
      <c r="E2593" s="13"/>
      <c r="F2593" s="13"/>
      <c r="G2593" s="13"/>
      <c r="H2593" s="13"/>
      <c r="I2593" s="15"/>
      <c r="J2593" s="15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</row>
    <row r="2594" ht="22.5" hidden="1" customHeight="1">
      <c r="A2594" s="6"/>
      <c r="B2594" s="20"/>
      <c r="C2594" s="36"/>
      <c r="D2594" s="13"/>
      <c r="E2594" s="13"/>
      <c r="F2594" s="13"/>
      <c r="G2594" s="13"/>
      <c r="H2594" s="13"/>
      <c r="I2594" s="15"/>
      <c r="J2594" s="15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</row>
    <row r="2595" ht="22.5" hidden="1" customHeight="1">
      <c r="A2595" s="6"/>
      <c r="B2595" s="20"/>
      <c r="C2595" s="36"/>
      <c r="D2595" s="13"/>
      <c r="E2595" s="13"/>
      <c r="F2595" s="13"/>
      <c r="G2595" s="13"/>
      <c r="H2595" s="13"/>
      <c r="I2595" s="15"/>
      <c r="J2595" s="15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</row>
    <row r="2596" ht="22.5" hidden="1" customHeight="1">
      <c r="A2596" s="6"/>
      <c r="B2596" s="20"/>
      <c r="C2596" s="36"/>
      <c r="D2596" s="13"/>
      <c r="E2596" s="13"/>
      <c r="F2596" s="13"/>
      <c r="G2596" s="13"/>
      <c r="H2596" s="13"/>
      <c r="I2596" s="15"/>
      <c r="J2596" s="15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</row>
    <row r="2597" ht="22.5" hidden="1" customHeight="1">
      <c r="A2597" s="6"/>
      <c r="B2597" s="20"/>
      <c r="C2597" s="36"/>
      <c r="D2597" s="13"/>
      <c r="E2597" s="13"/>
      <c r="F2597" s="13"/>
      <c r="G2597" s="13"/>
      <c r="H2597" s="13"/>
      <c r="I2597" s="15"/>
      <c r="J2597" s="15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</row>
    <row r="2598" ht="22.5" hidden="1" customHeight="1">
      <c r="A2598" s="6"/>
      <c r="B2598" s="20"/>
      <c r="C2598" s="36"/>
      <c r="D2598" s="13"/>
      <c r="E2598" s="13"/>
      <c r="F2598" s="13"/>
      <c r="G2598" s="13"/>
      <c r="H2598" s="13"/>
      <c r="I2598" s="15"/>
      <c r="J2598" s="15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</row>
    <row r="2599" ht="22.5" hidden="1" customHeight="1">
      <c r="A2599" s="6"/>
      <c r="B2599" s="20"/>
      <c r="C2599" s="36"/>
      <c r="D2599" s="13"/>
      <c r="E2599" s="13"/>
      <c r="F2599" s="13"/>
      <c r="G2599" s="13"/>
      <c r="H2599" s="13"/>
      <c r="I2599" s="15"/>
      <c r="J2599" s="15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</row>
    <row r="2600" ht="22.5" hidden="1" customHeight="1">
      <c r="A2600" s="6"/>
      <c r="B2600" s="20"/>
      <c r="C2600" s="36"/>
      <c r="D2600" s="13"/>
      <c r="E2600" s="13"/>
      <c r="F2600" s="13"/>
      <c r="G2600" s="13"/>
      <c r="H2600" s="13"/>
      <c r="I2600" s="15"/>
      <c r="J2600" s="15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</row>
    <row r="2601" ht="22.5" hidden="1" customHeight="1">
      <c r="A2601" s="6"/>
      <c r="B2601" s="20"/>
      <c r="C2601" s="36"/>
      <c r="D2601" s="13"/>
      <c r="E2601" s="13"/>
      <c r="F2601" s="13"/>
      <c r="G2601" s="13"/>
      <c r="H2601" s="13"/>
      <c r="I2601" s="15"/>
      <c r="J2601" s="15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</row>
    <row r="2602" ht="22.5" hidden="1" customHeight="1">
      <c r="A2602" s="6"/>
      <c r="B2602" s="20"/>
      <c r="C2602" s="36"/>
      <c r="D2602" s="13"/>
      <c r="E2602" s="13"/>
      <c r="F2602" s="13"/>
      <c r="G2602" s="13"/>
      <c r="H2602" s="13"/>
      <c r="I2602" s="15"/>
      <c r="J2602" s="15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</row>
    <row r="2603" ht="22.5" hidden="1" customHeight="1">
      <c r="A2603" s="6"/>
      <c r="B2603" s="20"/>
      <c r="C2603" s="36"/>
      <c r="D2603" s="13"/>
      <c r="E2603" s="13"/>
      <c r="F2603" s="13"/>
      <c r="G2603" s="13"/>
      <c r="H2603" s="13"/>
      <c r="I2603" s="15"/>
      <c r="J2603" s="15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</row>
    <row r="2604" ht="22.5" hidden="1" customHeight="1">
      <c r="A2604" s="6"/>
      <c r="B2604" s="20"/>
      <c r="C2604" s="36"/>
      <c r="D2604" s="13"/>
      <c r="E2604" s="13"/>
      <c r="F2604" s="13"/>
      <c r="G2604" s="13"/>
      <c r="H2604" s="13"/>
      <c r="I2604" s="15"/>
      <c r="J2604" s="15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</row>
    <row r="2605" ht="22.5" hidden="1" customHeight="1">
      <c r="A2605" s="6"/>
      <c r="B2605" s="20"/>
      <c r="C2605" s="36"/>
      <c r="D2605" s="13"/>
      <c r="E2605" s="13"/>
      <c r="F2605" s="13"/>
      <c r="G2605" s="13"/>
      <c r="H2605" s="13"/>
      <c r="I2605" s="15"/>
      <c r="J2605" s="15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</row>
    <row r="2606" ht="22.5" hidden="1" customHeight="1">
      <c r="A2606" s="6"/>
      <c r="B2606" s="20"/>
      <c r="C2606" s="36"/>
      <c r="D2606" s="13"/>
      <c r="E2606" s="13"/>
      <c r="F2606" s="13"/>
      <c r="G2606" s="13"/>
      <c r="H2606" s="13"/>
      <c r="I2606" s="15"/>
      <c r="J2606" s="15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</row>
    <row r="2607" ht="22.5" hidden="1" customHeight="1">
      <c r="A2607" s="6"/>
      <c r="B2607" s="20"/>
      <c r="C2607" s="36"/>
      <c r="D2607" s="13"/>
      <c r="E2607" s="13"/>
      <c r="F2607" s="13"/>
      <c r="G2607" s="13"/>
      <c r="H2607" s="13"/>
      <c r="I2607" s="15"/>
      <c r="J2607" s="15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</row>
    <row r="2608" ht="22.5" hidden="1" customHeight="1">
      <c r="A2608" s="6"/>
      <c r="B2608" s="20"/>
      <c r="C2608" s="36"/>
      <c r="D2608" s="13"/>
      <c r="E2608" s="13"/>
      <c r="F2608" s="13"/>
      <c r="G2608" s="13"/>
      <c r="H2608" s="13"/>
      <c r="I2608" s="15"/>
      <c r="J2608" s="15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</row>
    <row r="2609" ht="22.5" hidden="1" customHeight="1">
      <c r="A2609" s="6"/>
      <c r="B2609" s="20"/>
      <c r="C2609" s="36"/>
      <c r="D2609" s="13"/>
      <c r="E2609" s="13"/>
      <c r="F2609" s="13"/>
      <c r="G2609" s="13"/>
      <c r="H2609" s="13"/>
      <c r="I2609" s="15"/>
      <c r="J2609" s="15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</row>
    <row r="2610" ht="22.5" hidden="1" customHeight="1">
      <c r="A2610" s="6"/>
      <c r="B2610" s="20"/>
      <c r="C2610" s="36"/>
      <c r="D2610" s="13"/>
      <c r="E2610" s="13"/>
      <c r="F2610" s="13"/>
      <c r="G2610" s="13"/>
      <c r="H2610" s="13"/>
      <c r="I2610" s="15"/>
      <c r="J2610" s="15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</row>
    <row r="2611" ht="22.5" hidden="1" customHeight="1">
      <c r="A2611" s="6"/>
      <c r="B2611" s="20"/>
      <c r="C2611" s="36"/>
      <c r="D2611" s="13"/>
      <c r="E2611" s="13"/>
      <c r="F2611" s="13"/>
      <c r="G2611" s="13"/>
      <c r="H2611" s="13"/>
      <c r="I2611" s="15"/>
      <c r="J2611" s="15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</row>
    <row r="2612" ht="22.5" hidden="1" customHeight="1">
      <c r="A2612" s="6"/>
      <c r="B2612" s="20"/>
      <c r="C2612" s="36"/>
      <c r="D2612" s="13"/>
      <c r="E2612" s="13"/>
      <c r="F2612" s="13"/>
      <c r="G2612" s="13"/>
      <c r="H2612" s="13"/>
      <c r="I2612" s="15"/>
      <c r="J2612" s="15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</row>
    <row r="2613" ht="22.5" hidden="1" customHeight="1">
      <c r="A2613" s="6"/>
      <c r="B2613" s="20"/>
      <c r="C2613" s="36"/>
      <c r="D2613" s="13"/>
      <c r="E2613" s="13"/>
      <c r="F2613" s="13"/>
      <c r="G2613" s="13"/>
      <c r="H2613" s="13"/>
      <c r="I2613" s="15"/>
      <c r="J2613" s="15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</row>
    <row r="2614" ht="22.5" hidden="1" customHeight="1">
      <c r="A2614" s="6"/>
      <c r="B2614" s="20"/>
      <c r="C2614" s="36"/>
      <c r="D2614" s="13"/>
      <c r="E2614" s="13"/>
      <c r="F2614" s="13"/>
      <c r="G2614" s="13"/>
      <c r="H2614" s="13"/>
      <c r="I2614" s="15"/>
      <c r="J2614" s="15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</row>
    <row r="2615" ht="22.5" hidden="1" customHeight="1">
      <c r="A2615" s="6"/>
      <c r="B2615" s="20"/>
      <c r="C2615" s="36"/>
      <c r="D2615" s="13"/>
      <c r="E2615" s="13"/>
      <c r="F2615" s="13"/>
      <c r="G2615" s="13"/>
      <c r="H2615" s="13"/>
      <c r="I2615" s="15"/>
      <c r="J2615" s="15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</row>
    <row r="2616" ht="22.5" hidden="1" customHeight="1">
      <c r="A2616" s="6"/>
      <c r="B2616" s="20"/>
      <c r="C2616" s="36"/>
      <c r="D2616" s="13"/>
      <c r="E2616" s="13"/>
      <c r="F2616" s="13"/>
      <c r="G2616" s="13"/>
      <c r="H2616" s="13"/>
      <c r="I2616" s="15"/>
      <c r="J2616" s="15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</row>
    <row r="2617" ht="22.5" hidden="1" customHeight="1">
      <c r="A2617" s="6"/>
      <c r="B2617" s="20"/>
      <c r="C2617" s="36"/>
      <c r="D2617" s="13"/>
      <c r="E2617" s="13"/>
      <c r="F2617" s="13"/>
      <c r="G2617" s="13"/>
      <c r="H2617" s="13"/>
      <c r="I2617" s="15"/>
      <c r="J2617" s="15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</row>
    <row r="2618" ht="22.5" hidden="1" customHeight="1">
      <c r="A2618" s="6"/>
      <c r="B2618" s="20"/>
      <c r="C2618" s="36"/>
      <c r="D2618" s="13"/>
      <c r="E2618" s="13"/>
      <c r="F2618" s="13"/>
      <c r="G2618" s="13"/>
      <c r="H2618" s="13"/>
      <c r="I2618" s="15"/>
      <c r="J2618" s="15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</row>
    <row r="2619" ht="22.5" hidden="1" customHeight="1">
      <c r="A2619" s="6"/>
      <c r="B2619" s="20"/>
      <c r="C2619" s="36"/>
      <c r="D2619" s="13"/>
      <c r="E2619" s="13"/>
      <c r="F2619" s="13"/>
      <c r="G2619" s="13"/>
      <c r="H2619" s="13"/>
      <c r="I2619" s="15"/>
      <c r="J2619" s="15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</row>
    <row r="2620" ht="22.5" hidden="1" customHeight="1">
      <c r="A2620" s="6"/>
      <c r="B2620" s="20"/>
      <c r="C2620" s="36"/>
      <c r="D2620" s="13"/>
      <c r="E2620" s="13"/>
      <c r="F2620" s="13"/>
      <c r="G2620" s="13"/>
      <c r="H2620" s="13"/>
      <c r="I2620" s="15"/>
      <c r="J2620" s="15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</row>
    <row r="2621" ht="22.5" hidden="1" customHeight="1">
      <c r="A2621" s="6"/>
      <c r="B2621" s="20"/>
      <c r="C2621" s="36"/>
      <c r="D2621" s="13"/>
      <c r="E2621" s="13"/>
      <c r="F2621" s="13"/>
      <c r="G2621" s="13"/>
      <c r="H2621" s="13"/>
      <c r="I2621" s="15"/>
      <c r="J2621" s="15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</row>
    <row r="2622" ht="22.5" hidden="1" customHeight="1">
      <c r="A2622" s="6"/>
      <c r="B2622" s="20"/>
      <c r="C2622" s="36"/>
      <c r="D2622" s="13"/>
      <c r="E2622" s="13"/>
      <c r="F2622" s="13"/>
      <c r="G2622" s="13"/>
      <c r="H2622" s="13"/>
      <c r="I2622" s="15"/>
      <c r="J2622" s="15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</row>
    <row r="2623" ht="22.5" hidden="1" customHeight="1">
      <c r="A2623" s="6"/>
      <c r="B2623" s="20"/>
      <c r="C2623" s="36"/>
      <c r="D2623" s="13"/>
      <c r="E2623" s="13"/>
      <c r="F2623" s="13"/>
      <c r="G2623" s="13"/>
      <c r="H2623" s="13"/>
      <c r="I2623" s="15"/>
      <c r="J2623" s="15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</row>
    <row r="2624" ht="22.5" hidden="1" customHeight="1">
      <c r="A2624" s="6"/>
      <c r="B2624" s="20"/>
      <c r="C2624" s="36"/>
      <c r="D2624" s="13"/>
      <c r="E2624" s="13"/>
      <c r="F2624" s="13"/>
      <c r="G2624" s="13"/>
      <c r="H2624" s="13"/>
      <c r="I2624" s="15"/>
      <c r="J2624" s="15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</row>
    <row r="2625" ht="22.5" hidden="1" customHeight="1">
      <c r="A2625" s="6"/>
      <c r="B2625" s="20"/>
      <c r="C2625" s="36"/>
      <c r="D2625" s="13"/>
      <c r="E2625" s="13"/>
      <c r="F2625" s="13"/>
      <c r="G2625" s="13"/>
      <c r="H2625" s="13"/>
      <c r="I2625" s="15"/>
      <c r="J2625" s="15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</row>
    <row r="2626" ht="22.5" hidden="1" customHeight="1">
      <c r="A2626" s="6"/>
      <c r="B2626" s="20"/>
      <c r="C2626" s="36"/>
      <c r="D2626" s="13"/>
      <c r="E2626" s="13"/>
      <c r="F2626" s="13"/>
      <c r="G2626" s="13"/>
      <c r="H2626" s="13"/>
      <c r="I2626" s="15"/>
      <c r="J2626" s="15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</row>
    <row r="2627" ht="22.5" hidden="1" customHeight="1">
      <c r="A2627" s="6"/>
      <c r="B2627" s="20"/>
      <c r="C2627" s="36"/>
      <c r="D2627" s="13"/>
      <c r="E2627" s="13"/>
      <c r="F2627" s="13"/>
      <c r="G2627" s="13"/>
      <c r="H2627" s="13"/>
      <c r="I2627" s="15"/>
      <c r="J2627" s="15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</row>
    <row r="2628" ht="22.5" hidden="1" customHeight="1">
      <c r="A2628" s="6"/>
      <c r="B2628" s="20"/>
      <c r="C2628" s="36"/>
      <c r="D2628" s="13"/>
      <c r="E2628" s="13"/>
      <c r="F2628" s="13"/>
      <c r="G2628" s="13"/>
      <c r="H2628" s="13"/>
      <c r="I2628" s="15"/>
      <c r="J2628" s="15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</row>
    <row r="2629" ht="22.5" hidden="1" customHeight="1">
      <c r="A2629" s="6"/>
      <c r="B2629" s="20"/>
      <c r="C2629" s="36"/>
      <c r="D2629" s="13"/>
      <c r="E2629" s="13"/>
      <c r="F2629" s="13"/>
      <c r="G2629" s="13"/>
      <c r="H2629" s="13"/>
      <c r="I2629" s="15"/>
      <c r="J2629" s="15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</row>
    <row r="2630" ht="22.5" hidden="1" customHeight="1">
      <c r="A2630" s="6"/>
      <c r="B2630" s="20"/>
      <c r="C2630" s="36"/>
      <c r="D2630" s="13"/>
      <c r="E2630" s="13"/>
      <c r="F2630" s="13"/>
      <c r="G2630" s="13"/>
      <c r="H2630" s="13"/>
      <c r="I2630" s="15"/>
      <c r="J2630" s="15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</row>
    <row r="2631" ht="22.5" hidden="1" customHeight="1">
      <c r="A2631" s="6"/>
      <c r="B2631" s="20"/>
      <c r="C2631" s="36"/>
      <c r="D2631" s="13"/>
      <c r="E2631" s="13"/>
      <c r="F2631" s="13"/>
      <c r="G2631" s="13"/>
      <c r="H2631" s="13"/>
      <c r="I2631" s="15"/>
      <c r="J2631" s="15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</row>
    <row r="2632" ht="22.5" hidden="1" customHeight="1">
      <c r="A2632" s="6"/>
      <c r="B2632" s="20"/>
      <c r="C2632" s="36"/>
      <c r="D2632" s="13"/>
      <c r="E2632" s="13"/>
      <c r="F2632" s="13"/>
      <c r="G2632" s="13"/>
      <c r="H2632" s="13"/>
      <c r="I2632" s="15"/>
      <c r="J2632" s="15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</row>
    <row r="2633" ht="22.5" hidden="1" customHeight="1">
      <c r="A2633" s="6"/>
      <c r="B2633" s="20"/>
      <c r="C2633" s="36"/>
      <c r="D2633" s="13"/>
      <c r="E2633" s="13"/>
      <c r="F2633" s="13"/>
      <c r="G2633" s="13"/>
      <c r="H2633" s="13"/>
      <c r="I2633" s="15"/>
      <c r="J2633" s="15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</row>
    <row r="2634" ht="22.5" hidden="1" customHeight="1">
      <c r="A2634" s="6"/>
      <c r="B2634" s="20"/>
      <c r="C2634" s="36"/>
      <c r="D2634" s="13"/>
      <c r="E2634" s="13"/>
      <c r="F2634" s="13"/>
      <c r="G2634" s="13"/>
      <c r="H2634" s="13"/>
      <c r="I2634" s="15"/>
      <c r="J2634" s="15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</row>
    <row r="2635" ht="22.5" hidden="1" customHeight="1">
      <c r="A2635" s="6"/>
      <c r="B2635" s="20"/>
      <c r="C2635" s="36"/>
      <c r="D2635" s="13"/>
      <c r="E2635" s="13"/>
      <c r="F2635" s="13"/>
      <c r="G2635" s="13"/>
      <c r="H2635" s="13"/>
      <c r="I2635" s="15"/>
      <c r="J2635" s="15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</row>
    <row r="2636" ht="22.5" hidden="1" customHeight="1">
      <c r="A2636" s="6"/>
      <c r="B2636" s="20"/>
      <c r="C2636" s="36"/>
      <c r="D2636" s="13"/>
      <c r="E2636" s="13"/>
      <c r="F2636" s="13"/>
      <c r="G2636" s="13"/>
      <c r="H2636" s="13"/>
      <c r="I2636" s="15"/>
      <c r="J2636" s="15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</row>
    <row r="2637" ht="22.5" hidden="1" customHeight="1">
      <c r="A2637" s="6"/>
      <c r="B2637" s="20"/>
      <c r="C2637" s="36"/>
      <c r="D2637" s="13"/>
      <c r="E2637" s="13"/>
      <c r="F2637" s="13"/>
      <c r="G2637" s="13"/>
      <c r="H2637" s="13"/>
      <c r="I2637" s="15"/>
      <c r="J2637" s="15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</row>
    <row r="2638" ht="22.5" hidden="1" customHeight="1">
      <c r="A2638" s="6"/>
      <c r="B2638" s="20"/>
      <c r="C2638" s="36"/>
      <c r="D2638" s="13"/>
      <c r="E2638" s="13"/>
      <c r="F2638" s="13"/>
      <c r="G2638" s="13"/>
      <c r="H2638" s="13"/>
      <c r="I2638" s="15"/>
      <c r="J2638" s="15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</row>
    <row r="2639" ht="22.5" hidden="1" customHeight="1">
      <c r="A2639" s="6"/>
      <c r="B2639" s="20"/>
      <c r="C2639" s="36"/>
      <c r="D2639" s="13"/>
      <c r="E2639" s="13"/>
      <c r="F2639" s="13"/>
      <c r="G2639" s="13"/>
      <c r="H2639" s="13"/>
      <c r="I2639" s="15"/>
      <c r="J2639" s="15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</row>
    <row r="2640" ht="22.5" hidden="1" customHeight="1">
      <c r="A2640" s="6"/>
      <c r="B2640" s="20"/>
      <c r="C2640" s="36"/>
      <c r="D2640" s="13"/>
      <c r="E2640" s="13"/>
      <c r="F2640" s="13"/>
      <c r="G2640" s="13"/>
      <c r="H2640" s="13"/>
      <c r="I2640" s="15"/>
      <c r="J2640" s="15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</row>
    <row r="2641" ht="22.5" hidden="1" customHeight="1">
      <c r="A2641" s="6"/>
      <c r="B2641" s="20"/>
      <c r="C2641" s="36"/>
      <c r="D2641" s="13"/>
      <c r="E2641" s="13"/>
      <c r="F2641" s="13"/>
      <c r="G2641" s="13"/>
      <c r="H2641" s="13"/>
      <c r="I2641" s="15"/>
      <c r="J2641" s="15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</row>
    <row r="2642" ht="22.5" hidden="1" customHeight="1">
      <c r="A2642" s="6"/>
      <c r="B2642" s="20"/>
      <c r="C2642" s="36"/>
      <c r="D2642" s="13"/>
      <c r="E2642" s="13"/>
      <c r="F2642" s="13"/>
      <c r="G2642" s="13"/>
      <c r="H2642" s="13"/>
      <c r="I2642" s="15"/>
      <c r="J2642" s="15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</row>
    <row r="2643" ht="22.5" hidden="1" customHeight="1">
      <c r="A2643" s="6"/>
      <c r="B2643" s="20"/>
      <c r="C2643" s="36"/>
      <c r="D2643" s="13"/>
      <c r="E2643" s="13"/>
      <c r="F2643" s="13"/>
      <c r="G2643" s="13"/>
      <c r="H2643" s="13"/>
      <c r="I2643" s="15"/>
      <c r="J2643" s="15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</row>
    <row r="2644" ht="22.5" hidden="1" customHeight="1">
      <c r="A2644" s="6"/>
      <c r="B2644" s="20"/>
      <c r="C2644" s="36"/>
      <c r="D2644" s="13"/>
      <c r="E2644" s="13"/>
      <c r="F2644" s="13"/>
      <c r="G2644" s="13"/>
      <c r="H2644" s="13"/>
      <c r="I2644" s="15"/>
      <c r="J2644" s="15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</row>
    <row r="2645" ht="22.5" hidden="1" customHeight="1">
      <c r="A2645" s="6"/>
      <c r="B2645" s="20"/>
      <c r="C2645" s="36"/>
      <c r="D2645" s="13"/>
      <c r="E2645" s="13"/>
      <c r="F2645" s="13"/>
      <c r="G2645" s="13"/>
      <c r="H2645" s="13"/>
      <c r="I2645" s="15"/>
      <c r="J2645" s="15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</row>
    <row r="2646" ht="22.5" hidden="1" customHeight="1">
      <c r="A2646" s="6"/>
      <c r="B2646" s="20"/>
      <c r="C2646" s="36"/>
      <c r="D2646" s="13"/>
      <c r="E2646" s="13"/>
      <c r="F2646" s="13"/>
      <c r="G2646" s="13"/>
      <c r="H2646" s="13"/>
      <c r="I2646" s="15"/>
      <c r="J2646" s="15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</row>
    <row r="2647" ht="22.5" hidden="1" customHeight="1">
      <c r="A2647" s="6"/>
      <c r="B2647" s="20"/>
      <c r="C2647" s="36"/>
      <c r="D2647" s="13"/>
      <c r="E2647" s="13"/>
      <c r="F2647" s="13"/>
      <c r="G2647" s="13"/>
      <c r="H2647" s="13"/>
      <c r="I2647" s="15"/>
      <c r="J2647" s="15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</row>
    <row r="2648" ht="22.5" hidden="1" customHeight="1">
      <c r="A2648" s="6"/>
      <c r="B2648" s="20"/>
      <c r="C2648" s="36"/>
      <c r="D2648" s="13"/>
      <c r="E2648" s="13"/>
      <c r="F2648" s="13"/>
      <c r="G2648" s="13"/>
      <c r="H2648" s="13"/>
      <c r="I2648" s="15"/>
      <c r="J2648" s="15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</row>
    <row r="2649" ht="22.5" hidden="1" customHeight="1">
      <c r="A2649" s="6"/>
      <c r="B2649" s="20"/>
      <c r="C2649" s="36"/>
      <c r="D2649" s="13"/>
      <c r="E2649" s="13"/>
      <c r="F2649" s="13"/>
      <c r="G2649" s="13"/>
      <c r="H2649" s="13"/>
      <c r="I2649" s="15"/>
      <c r="J2649" s="15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</row>
    <row r="2650" ht="22.5" hidden="1" customHeight="1">
      <c r="A2650" s="6"/>
      <c r="B2650" s="20"/>
      <c r="C2650" s="36"/>
      <c r="D2650" s="13"/>
      <c r="E2650" s="13"/>
      <c r="F2650" s="13"/>
      <c r="G2650" s="13"/>
      <c r="H2650" s="13"/>
      <c r="I2650" s="15"/>
      <c r="J2650" s="15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</row>
    <row r="2651" ht="22.5" hidden="1" customHeight="1">
      <c r="A2651" s="6"/>
      <c r="B2651" s="20"/>
      <c r="C2651" s="36"/>
      <c r="D2651" s="13"/>
      <c r="E2651" s="13"/>
      <c r="F2651" s="13"/>
      <c r="G2651" s="13"/>
      <c r="H2651" s="13"/>
      <c r="I2651" s="15"/>
      <c r="J2651" s="15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</row>
    <row r="2652" ht="22.5" hidden="1" customHeight="1">
      <c r="A2652" s="6"/>
      <c r="B2652" s="20"/>
      <c r="C2652" s="36"/>
      <c r="D2652" s="13"/>
      <c r="E2652" s="13"/>
      <c r="F2652" s="13"/>
      <c r="G2652" s="13"/>
      <c r="H2652" s="13"/>
      <c r="I2652" s="15"/>
      <c r="J2652" s="15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</row>
    <row r="2653" ht="22.5" hidden="1" customHeight="1">
      <c r="A2653" s="6"/>
      <c r="B2653" s="20"/>
      <c r="C2653" s="36"/>
      <c r="D2653" s="13"/>
      <c r="E2653" s="13"/>
      <c r="F2653" s="13"/>
      <c r="G2653" s="13"/>
      <c r="H2653" s="13"/>
      <c r="I2653" s="15"/>
      <c r="J2653" s="15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</row>
    <row r="2654" ht="22.5" hidden="1" customHeight="1">
      <c r="A2654" s="6"/>
      <c r="B2654" s="20"/>
      <c r="C2654" s="36"/>
      <c r="D2654" s="13"/>
      <c r="E2654" s="13"/>
      <c r="F2654" s="13"/>
      <c r="G2654" s="13"/>
      <c r="H2654" s="13"/>
      <c r="I2654" s="15"/>
      <c r="J2654" s="15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</row>
    <row r="2655" ht="22.5" hidden="1" customHeight="1">
      <c r="A2655" s="6"/>
      <c r="B2655" s="20"/>
      <c r="C2655" s="36"/>
      <c r="D2655" s="13"/>
      <c r="E2655" s="13"/>
      <c r="F2655" s="13"/>
      <c r="G2655" s="13"/>
      <c r="H2655" s="13"/>
      <c r="I2655" s="15"/>
      <c r="J2655" s="15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</row>
    <row r="2656" ht="22.5" hidden="1" customHeight="1">
      <c r="A2656" s="6"/>
      <c r="B2656" s="20"/>
      <c r="C2656" s="36"/>
      <c r="D2656" s="13"/>
      <c r="E2656" s="13"/>
      <c r="F2656" s="13"/>
      <c r="G2656" s="13"/>
      <c r="H2656" s="13"/>
      <c r="I2656" s="15"/>
      <c r="J2656" s="15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</row>
    <row r="2657" ht="22.5" hidden="1" customHeight="1">
      <c r="A2657" s="6"/>
      <c r="B2657" s="20"/>
      <c r="C2657" s="36"/>
      <c r="D2657" s="13"/>
      <c r="E2657" s="13"/>
      <c r="F2657" s="13"/>
      <c r="G2657" s="13"/>
      <c r="H2657" s="13"/>
      <c r="I2657" s="15"/>
      <c r="J2657" s="15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</row>
    <row r="2658" ht="22.5" hidden="1" customHeight="1">
      <c r="A2658" s="6"/>
      <c r="B2658" s="20"/>
      <c r="C2658" s="36"/>
      <c r="D2658" s="13"/>
      <c r="E2658" s="13"/>
      <c r="F2658" s="13"/>
      <c r="G2658" s="13"/>
      <c r="H2658" s="13"/>
      <c r="I2658" s="15"/>
      <c r="J2658" s="15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</row>
    <row r="2659" ht="22.5" hidden="1" customHeight="1">
      <c r="A2659" s="6"/>
      <c r="B2659" s="20"/>
      <c r="C2659" s="36"/>
      <c r="D2659" s="13"/>
      <c r="E2659" s="13"/>
      <c r="F2659" s="13"/>
      <c r="G2659" s="13"/>
      <c r="H2659" s="13"/>
      <c r="I2659" s="15"/>
      <c r="J2659" s="15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</row>
    <row r="2660" ht="22.5" hidden="1" customHeight="1">
      <c r="A2660" s="6"/>
      <c r="B2660" s="20"/>
      <c r="C2660" s="36"/>
      <c r="D2660" s="13"/>
      <c r="E2660" s="13"/>
      <c r="F2660" s="13"/>
      <c r="G2660" s="13"/>
      <c r="H2660" s="13"/>
      <c r="I2660" s="15"/>
      <c r="J2660" s="15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</row>
    <row r="2661" ht="22.5" hidden="1" customHeight="1">
      <c r="A2661" s="6"/>
      <c r="B2661" s="20"/>
      <c r="C2661" s="36"/>
      <c r="D2661" s="13"/>
      <c r="E2661" s="13"/>
      <c r="F2661" s="13"/>
      <c r="G2661" s="13"/>
      <c r="H2661" s="13"/>
      <c r="I2661" s="15"/>
      <c r="J2661" s="15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</row>
    <row r="2662" ht="22.5" hidden="1" customHeight="1">
      <c r="A2662" s="6"/>
      <c r="B2662" s="20"/>
      <c r="C2662" s="36"/>
      <c r="D2662" s="13"/>
      <c r="E2662" s="13"/>
      <c r="F2662" s="13"/>
      <c r="G2662" s="13"/>
      <c r="H2662" s="13"/>
      <c r="I2662" s="15"/>
      <c r="J2662" s="15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</row>
    <row r="2663" ht="22.5" hidden="1" customHeight="1">
      <c r="A2663" s="6"/>
      <c r="B2663" s="20"/>
      <c r="C2663" s="36"/>
      <c r="D2663" s="13"/>
      <c r="E2663" s="13"/>
      <c r="F2663" s="13"/>
      <c r="G2663" s="13"/>
      <c r="H2663" s="13"/>
      <c r="I2663" s="15"/>
      <c r="J2663" s="15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</row>
    <row r="2664" ht="22.5" hidden="1" customHeight="1">
      <c r="A2664" s="6"/>
      <c r="B2664" s="20"/>
      <c r="C2664" s="36"/>
      <c r="D2664" s="13"/>
      <c r="E2664" s="13"/>
      <c r="F2664" s="13"/>
      <c r="G2664" s="13"/>
      <c r="H2664" s="13"/>
      <c r="I2664" s="15"/>
      <c r="J2664" s="15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</row>
    <row r="2665" ht="22.5" hidden="1" customHeight="1">
      <c r="A2665" s="6"/>
      <c r="B2665" s="20"/>
      <c r="C2665" s="36"/>
      <c r="D2665" s="13"/>
      <c r="E2665" s="13"/>
      <c r="F2665" s="13"/>
      <c r="G2665" s="13"/>
      <c r="H2665" s="13"/>
      <c r="I2665" s="15"/>
      <c r="J2665" s="15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</row>
    <row r="2666" ht="22.5" hidden="1" customHeight="1">
      <c r="A2666" s="6"/>
      <c r="B2666" s="20"/>
      <c r="C2666" s="36"/>
      <c r="D2666" s="13"/>
      <c r="E2666" s="13"/>
      <c r="F2666" s="13"/>
      <c r="G2666" s="13"/>
      <c r="H2666" s="13"/>
      <c r="I2666" s="15"/>
      <c r="J2666" s="15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</row>
    <row r="2667" ht="22.5" hidden="1" customHeight="1">
      <c r="A2667" s="6"/>
      <c r="B2667" s="20"/>
      <c r="C2667" s="36"/>
      <c r="D2667" s="13"/>
      <c r="E2667" s="13"/>
      <c r="F2667" s="13"/>
      <c r="G2667" s="13"/>
      <c r="H2667" s="13"/>
      <c r="I2667" s="15"/>
      <c r="J2667" s="15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</row>
    <row r="2668" ht="22.5" hidden="1" customHeight="1">
      <c r="A2668" s="6"/>
      <c r="B2668" s="20"/>
      <c r="C2668" s="36"/>
      <c r="D2668" s="13"/>
      <c r="E2668" s="13"/>
      <c r="F2668" s="13"/>
      <c r="G2668" s="13"/>
      <c r="H2668" s="13"/>
      <c r="I2668" s="15"/>
      <c r="J2668" s="15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</row>
    <row r="2669" ht="22.5" hidden="1" customHeight="1">
      <c r="A2669" s="6"/>
      <c r="B2669" s="20"/>
      <c r="C2669" s="36"/>
      <c r="D2669" s="13"/>
      <c r="E2669" s="13"/>
      <c r="F2669" s="13"/>
      <c r="G2669" s="13"/>
      <c r="H2669" s="13"/>
      <c r="I2669" s="15"/>
      <c r="J2669" s="15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</row>
    <row r="2670" ht="22.5" hidden="1" customHeight="1">
      <c r="A2670" s="6"/>
      <c r="B2670" s="20"/>
      <c r="C2670" s="36"/>
      <c r="D2670" s="13"/>
      <c r="E2670" s="13"/>
      <c r="F2670" s="13"/>
      <c r="G2670" s="13"/>
      <c r="H2670" s="13"/>
      <c r="I2670" s="15"/>
      <c r="J2670" s="15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</row>
    <row r="2671" ht="22.5" hidden="1" customHeight="1">
      <c r="A2671" s="6"/>
      <c r="B2671" s="20"/>
      <c r="C2671" s="36"/>
      <c r="D2671" s="13"/>
      <c r="E2671" s="13"/>
      <c r="F2671" s="13"/>
      <c r="G2671" s="13"/>
      <c r="H2671" s="13"/>
      <c r="I2671" s="15"/>
      <c r="J2671" s="15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</row>
    <row r="2672" ht="22.5" hidden="1" customHeight="1">
      <c r="A2672" s="6"/>
      <c r="B2672" s="20"/>
      <c r="C2672" s="36"/>
      <c r="D2672" s="13"/>
      <c r="E2672" s="13"/>
      <c r="F2672" s="13"/>
      <c r="G2672" s="13"/>
      <c r="H2672" s="13"/>
      <c r="I2672" s="15"/>
      <c r="J2672" s="15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</row>
    <row r="2673" ht="22.5" hidden="1" customHeight="1">
      <c r="A2673" s="6"/>
      <c r="B2673" s="20"/>
      <c r="C2673" s="36"/>
      <c r="D2673" s="13"/>
      <c r="E2673" s="13"/>
      <c r="F2673" s="13"/>
      <c r="G2673" s="13"/>
      <c r="H2673" s="13"/>
      <c r="I2673" s="15"/>
      <c r="J2673" s="15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</row>
    <row r="2674" ht="22.5" hidden="1" customHeight="1">
      <c r="A2674" s="6"/>
      <c r="B2674" s="20"/>
      <c r="C2674" s="36"/>
      <c r="D2674" s="13"/>
      <c r="E2674" s="13"/>
      <c r="F2674" s="13"/>
      <c r="G2674" s="13"/>
      <c r="H2674" s="13"/>
      <c r="I2674" s="15"/>
      <c r="J2674" s="15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</row>
    <row r="2675" ht="22.5" hidden="1" customHeight="1">
      <c r="A2675" s="6"/>
      <c r="B2675" s="20"/>
      <c r="C2675" s="36"/>
      <c r="D2675" s="13"/>
      <c r="E2675" s="13"/>
      <c r="F2675" s="13"/>
      <c r="G2675" s="13"/>
      <c r="H2675" s="13"/>
      <c r="I2675" s="15"/>
      <c r="J2675" s="15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</row>
    <row r="2676" ht="22.5" hidden="1" customHeight="1">
      <c r="A2676" s="6"/>
      <c r="B2676" s="20"/>
      <c r="C2676" s="36"/>
      <c r="D2676" s="13"/>
      <c r="E2676" s="13"/>
      <c r="F2676" s="13"/>
      <c r="G2676" s="13"/>
      <c r="H2676" s="13"/>
      <c r="I2676" s="15"/>
      <c r="J2676" s="15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</row>
    <row r="2677" ht="22.5" hidden="1" customHeight="1">
      <c r="A2677" s="6"/>
      <c r="B2677" s="20"/>
      <c r="C2677" s="36"/>
      <c r="D2677" s="13"/>
      <c r="E2677" s="13"/>
      <c r="F2677" s="13"/>
      <c r="G2677" s="13"/>
      <c r="H2677" s="13"/>
      <c r="I2677" s="15"/>
      <c r="J2677" s="15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</row>
    <row r="2678" ht="22.5" hidden="1" customHeight="1">
      <c r="A2678" s="6"/>
      <c r="B2678" s="20"/>
      <c r="C2678" s="36"/>
      <c r="D2678" s="13"/>
      <c r="E2678" s="13"/>
      <c r="F2678" s="13"/>
      <c r="G2678" s="13"/>
      <c r="H2678" s="13"/>
      <c r="I2678" s="15"/>
      <c r="J2678" s="15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</row>
    <row r="2679" ht="22.5" hidden="1" customHeight="1">
      <c r="A2679" s="6"/>
      <c r="B2679" s="20"/>
      <c r="C2679" s="36"/>
      <c r="D2679" s="13"/>
      <c r="E2679" s="13"/>
      <c r="F2679" s="13"/>
      <c r="G2679" s="13"/>
      <c r="H2679" s="13"/>
      <c r="I2679" s="15"/>
      <c r="J2679" s="15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</row>
    <row r="2680" ht="22.5" hidden="1" customHeight="1">
      <c r="A2680" s="6"/>
      <c r="B2680" s="20"/>
      <c r="C2680" s="36"/>
      <c r="D2680" s="13"/>
      <c r="E2680" s="13"/>
      <c r="F2680" s="13"/>
      <c r="G2680" s="13"/>
      <c r="H2680" s="13"/>
      <c r="I2680" s="15"/>
      <c r="J2680" s="15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</row>
    <row r="2681" ht="22.5" hidden="1" customHeight="1">
      <c r="A2681" s="6"/>
      <c r="B2681" s="20"/>
      <c r="C2681" s="36"/>
      <c r="D2681" s="13"/>
      <c r="E2681" s="13"/>
      <c r="F2681" s="13"/>
      <c r="G2681" s="13"/>
      <c r="H2681" s="13"/>
      <c r="I2681" s="15"/>
      <c r="J2681" s="15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</row>
    <row r="2682" ht="22.5" hidden="1" customHeight="1">
      <c r="A2682" s="6"/>
      <c r="B2682" s="20"/>
      <c r="C2682" s="36"/>
      <c r="D2682" s="13"/>
      <c r="E2682" s="13"/>
      <c r="F2682" s="13"/>
      <c r="G2682" s="13"/>
      <c r="H2682" s="13"/>
      <c r="I2682" s="15"/>
      <c r="J2682" s="15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</row>
    <row r="2683" ht="22.5" hidden="1" customHeight="1">
      <c r="A2683" s="6"/>
      <c r="B2683" s="20"/>
      <c r="C2683" s="36"/>
      <c r="D2683" s="13"/>
      <c r="E2683" s="13"/>
      <c r="F2683" s="13"/>
      <c r="G2683" s="13"/>
      <c r="H2683" s="13"/>
      <c r="I2683" s="15"/>
      <c r="J2683" s="15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</row>
    <row r="2684" ht="22.5" hidden="1" customHeight="1">
      <c r="A2684" s="6"/>
      <c r="B2684" s="20"/>
      <c r="C2684" s="36"/>
      <c r="D2684" s="13"/>
      <c r="E2684" s="13"/>
      <c r="F2684" s="13"/>
      <c r="G2684" s="13"/>
      <c r="H2684" s="13"/>
      <c r="I2684" s="15"/>
      <c r="J2684" s="15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</row>
    <row r="2685" ht="22.5" hidden="1" customHeight="1">
      <c r="A2685" s="6"/>
      <c r="B2685" s="20"/>
      <c r="C2685" s="36"/>
      <c r="D2685" s="13"/>
      <c r="E2685" s="13"/>
      <c r="F2685" s="13"/>
      <c r="G2685" s="13"/>
      <c r="H2685" s="13"/>
      <c r="I2685" s="15"/>
      <c r="J2685" s="15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</row>
    <row r="2686" ht="22.5" hidden="1" customHeight="1">
      <c r="A2686" s="6"/>
      <c r="B2686" s="20"/>
      <c r="C2686" s="36"/>
      <c r="D2686" s="13"/>
      <c r="E2686" s="13"/>
      <c r="F2686" s="13"/>
      <c r="G2686" s="13"/>
      <c r="H2686" s="13"/>
      <c r="I2686" s="15"/>
      <c r="J2686" s="15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</row>
    <row r="2687" ht="22.5" hidden="1" customHeight="1">
      <c r="A2687" s="6"/>
      <c r="B2687" s="20"/>
      <c r="C2687" s="36"/>
      <c r="D2687" s="13"/>
      <c r="E2687" s="13"/>
      <c r="F2687" s="13"/>
      <c r="G2687" s="13"/>
      <c r="H2687" s="13"/>
      <c r="I2687" s="15"/>
      <c r="J2687" s="15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</row>
    <row r="2688" ht="22.5" hidden="1" customHeight="1">
      <c r="A2688" s="6"/>
      <c r="B2688" s="20"/>
      <c r="C2688" s="36"/>
      <c r="D2688" s="13"/>
      <c r="E2688" s="13"/>
      <c r="F2688" s="13"/>
      <c r="G2688" s="13"/>
      <c r="H2688" s="13"/>
      <c r="I2688" s="15"/>
      <c r="J2688" s="15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</row>
    <row r="2689" ht="22.5" hidden="1" customHeight="1">
      <c r="A2689" s="6"/>
      <c r="B2689" s="20"/>
      <c r="C2689" s="36"/>
      <c r="D2689" s="13"/>
      <c r="E2689" s="13"/>
      <c r="F2689" s="13"/>
      <c r="G2689" s="13"/>
      <c r="H2689" s="13"/>
      <c r="I2689" s="15"/>
      <c r="J2689" s="15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</row>
    <row r="2690" ht="22.5" hidden="1" customHeight="1">
      <c r="A2690" s="6"/>
      <c r="B2690" s="20"/>
      <c r="C2690" s="36"/>
      <c r="D2690" s="13"/>
      <c r="E2690" s="13"/>
      <c r="F2690" s="13"/>
      <c r="G2690" s="13"/>
      <c r="H2690" s="13"/>
      <c r="I2690" s="15"/>
      <c r="J2690" s="15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</row>
    <row r="2691" ht="22.5" hidden="1" customHeight="1">
      <c r="A2691" s="6"/>
      <c r="B2691" s="20"/>
      <c r="C2691" s="36"/>
      <c r="D2691" s="13"/>
      <c r="E2691" s="13"/>
      <c r="F2691" s="13"/>
      <c r="G2691" s="13"/>
      <c r="H2691" s="13"/>
      <c r="I2691" s="15"/>
      <c r="J2691" s="15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</row>
    <row r="2692" ht="22.5" hidden="1" customHeight="1">
      <c r="A2692" s="6"/>
      <c r="B2692" s="20"/>
      <c r="C2692" s="36"/>
      <c r="D2692" s="13"/>
      <c r="E2692" s="13"/>
      <c r="F2692" s="13"/>
      <c r="G2692" s="13"/>
      <c r="H2692" s="13"/>
      <c r="I2692" s="15"/>
      <c r="J2692" s="15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</row>
    <row r="2693" ht="22.5" hidden="1" customHeight="1">
      <c r="A2693" s="6"/>
      <c r="B2693" s="20"/>
      <c r="C2693" s="36"/>
      <c r="D2693" s="13"/>
      <c r="E2693" s="13"/>
      <c r="F2693" s="13"/>
      <c r="G2693" s="13"/>
      <c r="H2693" s="13"/>
      <c r="I2693" s="15"/>
      <c r="J2693" s="15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</row>
    <row r="2694" ht="22.5" hidden="1" customHeight="1">
      <c r="A2694" s="6"/>
      <c r="B2694" s="20"/>
      <c r="C2694" s="36"/>
      <c r="D2694" s="13"/>
      <c r="E2694" s="13"/>
      <c r="F2694" s="13"/>
      <c r="G2694" s="13"/>
      <c r="H2694" s="13"/>
      <c r="I2694" s="15"/>
      <c r="J2694" s="15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</row>
    <row r="2695" ht="22.5" hidden="1" customHeight="1">
      <c r="A2695" s="6"/>
      <c r="B2695" s="20"/>
      <c r="C2695" s="36"/>
      <c r="D2695" s="13"/>
      <c r="E2695" s="13"/>
      <c r="F2695" s="13"/>
      <c r="G2695" s="13"/>
      <c r="H2695" s="13"/>
      <c r="I2695" s="15"/>
      <c r="J2695" s="15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</row>
    <row r="2696" ht="22.5" hidden="1" customHeight="1">
      <c r="A2696" s="6"/>
      <c r="B2696" s="20"/>
      <c r="C2696" s="36"/>
      <c r="D2696" s="13"/>
      <c r="E2696" s="13"/>
      <c r="F2696" s="13"/>
      <c r="G2696" s="13"/>
      <c r="H2696" s="13"/>
      <c r="I2696" s="15"/>
      <c r="J2696" s="15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</row>
    <row r="2697" ht="22.5" hidden="1" customHeight="1">
      <c r="A2697" s="6"/>
      <c r="B2697" s="20"/>
      <c r="C2697" s="36"/>
      <c r="D2697" s="13"/>
      <c r="E2697" s="13"/>
      <c r="F2697" s="13"/>
      <c r="G2697" s="13"/>
      <c r="H2697" s="13"/>
      <c r="I2697" s="15"/>
      <c r="J2697" s="15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</row>
    <row r="2698" ht="22.5" hidden="1" customHeight="1">
      <c r="A2698" s="6"/>
      <c r="B2698" s="20"/>
      <c r="C2698" s="36"/>
      <c r="D2698" s="13"/>
      <c r="E2698" s="13"/>
      <c r="F2698" s="13"/>
      <c r="G2698" s="13"/>
      <c r="H2698" s="13"/>
      <c r="I2698" s="15"/>
      <c r="J2698" s="15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</row>
    <row r="2699" ht="22.5" hidden="1" customHeight="1">
      <c r="A2699" s="6"/>
      <c r="B2699" s="20"/>
      <c r="C2699" s="36"/>
      <c r="D2699" s="13"/>
      <c r="E2699" s="13"/>
      <c r="F2699" s="13"/>
      <c r="G2699" s="13"/>
      <c r="H2699" s="13"/>
      <c r="I2699" s="15"/>
      <c r="J2699" s="15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</row>
    <row r="2700" ht="22.5" hidden="1" customHeight="1">
      <c r="A2700" s="6"/>
      <c r="B2700" s="20"/>
      <c r="C2700" s="36"/>
      <c r="D2700" s="13"/>
      <c r="E2700" s="13"/>
      <c r="F2700" s="13"/>
      <c r="G2700" s="13"/>
      <c r="H2700" s="13"/>
      <c r="I2700" s="15"/>
      <c r="J2700" s="15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</row>
    <row r="2701" ht="22.5" hidden="1" customHeight="1">
      <c r="A2701" s="6"/>
      <c r="B2701" s="20"/>
      <c r="C2701" s="36"/>
      <c r="D2701" s="13"/>
      <c r="E2701" s="13"/>
      <c r="F2701" s="13"/>
      <c r="G2701" s="13"/>
      <c r="H2701" s="13"/>
      <c r="I2701" s="15"/>
      <c r="J2701" s="15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</row>
    <row r="2702" ht="22.5" hidden="1" customHeight="1">
      <c r="A2702" s="6"/>
      <c r="B2702" s="20"/>
      <c r="C2702" s="36"/>
      <c r="D2702" s="13"/>
      <c r="E2702" s="13"/>
      <c r="F2702" s="13"/>
      <c r="G2702" s="13"/>
      <c r="H2702" s="13"/>
      <c r="I2702" s="15"/>
      <c r="J2702" s="15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</row>
    <row r="2703" ht="22.5" hidden="1" customHeight="1">
      <c r="A2703" s="6"/>
      <c r="B2703" s="20"/>
      <c r="C2703" s="36"/>
      <c r="D2703" s="13"/>
      <c r="E2703" s="13"/>
      <c r="F2703" s="13"/>
      <c r="G2703" s="13"/>
      <c r="H2703" s="13"/>
      <c r="I2703" s="15"/>
      <c r="J2703" s="15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</row>
    <row r="2704" ht="22.5" hidden="1" customHeight="1">
      <c r="A2704" s="6"/>
      <c r="B2704" s="20"/>
      <c r="C2704" s="36"/>
      <c r="D2704" s="13"/>
      <c r="E2704" s="13"/>
      <c r="F2704" s="13"/>
      <c r="G2704" s="13"/>
      <c r="H2704" s="13"/>
      <c r="I2704" s="15"/>
      <c r="J2704" s="15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</row>
    <row r="2705" ht="22.5" hidden="1" customHeight="1">
      <c r="A2705" s="6"/>
      <c r="B2705" s="20"/>
      <c r="C2705" s="36"/>
      <c r="D2705" s="13"/>
      <c r="E2705" s="13"/>
      <c r="F2705" s="13"/>
      <c r="G2705" s="13"/>
      <c r="H2705" s="13"/>
      <c r="I2705" s="15"/>
      <c r="J2705" s="15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</row>
    <row r="2706" ht="22.5" hidden="1" customHeight="1">
      <c r="A2706" s="6"/>
      <c r="B2706" s="20"/>
      <c r="C2706" s="36"/>
      <c r="D2706" s="13"/>
      <c r="E2706" s="13"/>
      <c r="F2706" s="13"/>
      <c r="G2706" s="13"/>
      <c r="H2706" s="13"/>
      <c r="I2706" s="15"/>
      <c r="J2706" s="15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</row>
    <row r="2707" ht="22.5" hidden="1" customHeight="1">
      <c r="A2707" s="6"/>
      <c r="B2707" s="20"/>
      <c r="C2707" s="36"/>
      <c r="D2707" s="13"/>
      <c r="E2707" s="13"/>
      <c r="F2707" s="13"/>
      <c r="G2707" s="13"/>
      <c r="H2707" s="13"/>
      <c r="I2707" s="15"/>
      <c r="J2707" s="15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</row>
    <row r="2708" ht="22.5" hidden="1" customHeight="1">
      <c r="A2708" s="6"/>
      <c r="B2708" s="20"/>
      <c r="C2708" s="36"/>
      <c r="D2708" s="13"/>
      <c r="E2708" s="13"/>
      <c r="F2708" s="13"/>
      <c r="G2708" s="13"/>
      <c r="H2708" s="13"/>
      <c r="I2708" s="15"/>
      <c r="J2708" s="15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</row>
    <row r="2709" ht="22.5" hidden="1" customHeight="1">
      <c r="A2709" s="6"/>
      <c r="B2709" s="20"/>
      <c r="C2709" s="36"/>
      <c r="D2709" s="13"/>
      <c r="E2709" s="13"/>
      <c r="F2709" s="13"/>
      <c r="G2709" s="13"/>
      <c r="H2709" s="13"/>
      <c r="I2709" s="15"/>
      <c r="J2709" s="15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</row>
    <row r="2710" ht="22.5" hidden="1" customHeight="1">
      <c r="A2710" s="6"/>
      <c r="B2710" s="20"/>
      <c r="C2710" s="36"/>
      <c r="D2710" s="13"/>
      <c r="E2710" s="13"/>
      <c r="F2710" s="13"/>
      <c r="G2710" s="13"/>
      <c r="H2710" s="13"/>
      <c r="I2710" s="15"/>
      <c r="J2710" s="15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</row>
    <row r="2711" ht="22.5" hidden="1" customHeight="1">
      <c r="A2711" s="6"/>
      <c r="B2711" s="20"/>
      <c r="C2711" s="36"/>
      <c r="D2711" s="13"/>
      <c r="E2711" s="13"/>
      <c r="F2711" s="13"/>
      <c r="G2711" s="13"/>
      <c r="H2711" s="13"/>
      <c r="I2711" s="15"/>
      <c r="J2711" s="15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</row>
    <row r="2712" ht="22.5" hidden="1" customHeight="1">
      <c r="A2712" s="6"/>
      <c r="B2712" s="20"/>
      <c r="C2712" s="36"/>
      <c r="D2712" s="13"/>
      <c r="E2712" s="13"/>
      <c r="F2712" s="13"/>
      <c r="G2712" s="13"/>
      <c r="H2712" s="13"/>
      <c r="I2712" s="15"/>
      <c r="J2712" s="15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</row>
    <row r="2713" ht="22.5" hidden="1" customHeight="1">
      <c r="A2713" s="6"/>
      <c r="B2713" s="20"/>
      <c r="C2713" s="36"/>
      <c r="D2713" s="13"/>
      <c r="E2713" s="13"/>
      <c r="F2713" s="13"/>
      <c r="G2713" s="13"/>
      <c r="H2713" s="13"/>
      <c r="I2713" s="15"/>
      <c r="J2713" s="15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</row>
    <row r="2714" ht="22.5" hidden="1" customHeight="1">
      <c r="A2714" s="6"/>
      <c r="B2714" s="20"/>
      <c r="C2714" s="36"/>
      <c r="D2714" s="13"/>
      <c r="E2714" s="13"/>
      <c r="F2714" s="13"/>
      <c r="G2714" s="13"/>
      <c r="H2714" s="13"/>
      <c r="I2714" s="15"/>
      <c r="J2714" s="15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</row>
    <row r="2715" ht="22.5" hidden="1" customHeight="1">
      <c r="A2715" s="6"/>
      <c r="B2715" s="20"/>
      <c r="C2715" s="36"/>
      <c r="D2715" s="13"/>
      <c r="E2715" s="13"/>
      <c r="F2715" s="13"/>
      <c r="G2715" s="13"/>
      <c r="H2715" s="13"/>
      <c r="I2715" s="15"/>
      <c r="J2715" s="15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</row>
    <row r="2716" ht="22.5" hidden="1" customHeight="1">
      <c r="A2716" s="6"/>
      <c r="B2716" s="20"/>
      <c r="C2716" s="36"/>
      <c r="D2716" s="13"/>
      <c r="E2716" s="13"/>
      <c r="F2716" s="13"/>
      <c r="G2716" s="13"/>
      <c r="H2716" s="13"/>
      <c r="I2716" s="15"/>
      <c r="J2716" s="15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</row>
    <row r="2717" ht="22.5" hidden="1" customHeight="1">
      <c r="A2717" s="6"/>
      <c r="B2717" s="20"/>
      <c r="C2717" s="36"/>
      <c r="D2717" s="13"/>
      <c r="E2717" s="13"/>
      <c r="F2717" s="13"/>
      <c r="G2717" s="13"/>
      <c r="H2717" s="13"/>
      <c r="I2717" s="15"/>
      <c r="J2717" s="15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</row>
    <row r="2718" ht="22.5" hidden="1" customHeight="1">
      <c r="A2718" s="6"/>
      <c r="B2718" s="20"/>
      <c r="C2718" s="36"/>
      <c r="D2718" s="13"/>
      <c r="E2718" s="13"/>
      <c r="F2718" s="13"/>
      <c r="G2718" s="13"/>
      <c r="H2718" s="13"/>
      <c r="I2718" s="15"/>
      <c r="J2718" s="15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</row>
    <row r="2719" ht="22.5" hidden="1" customHeight="1">
      <c r="A2719" s="6"/>
      <c r="B2719" s="20"/>
      <c r="C2719" s="36"/>
      <c r="D2719" s="13"/>
      <c r="E2719" s="13"/>
      <c r="F2719" s="13"/>
      <c r="G2719" s="13"/>
      <c r="H2719" s="13"/>
      <c r="I2719" s="15"/>
      <c r="J2719" s="15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</row>
    <row r="2720" ht="22.5" hidden="1" customHeight="1">
      <c r="A2720" s="6"/>
      <c r="B2720" s="20"/>
      <c r="C2720" s="36"/>
      <c r="D2720" s="13"/>
      <c r="E2720" s="13"/>
      <c r="F2720" s="13"/>
      <c r="G2720" s="13"/>
      <c r="H2720" s="13"/>
      <c r="I2720" s="15"/>
      <c r="J2720" s="15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</row>
    <row r="2721" ht="22.5" hidden="1" customHeight="1">
      <c r="A2721" s="6"/>
      <c r="B2721" s="20"/>
      <c r="C2721" s="36"/>
      <c r="D2721" s="13"/>
      <c r="E2721" s="13"/>
      <c r="F2721" s="13"/>
      <c r="G2721" s="13"/>
      <c r="H2721" s="13"/>
      <c r="I2721" s="15"/>
      <c r="J2721" s="15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</row>
    <row r="2722" ht="22.5" hidden="1" customHeight="1">
      <c r="A2722" s="6"/>
      <c r="B2722" s="20"/>
      <c r="C2722" s="36"/>
      <c r="D2722" s="13"/>
      <c r="E2722" s="13"/>
      <c r="F2722" s="13"/>
      <c r="G2722" s="13"/>
      <c r="H2722" s="13"/>
      <c r="I2722" s="15"/>
      <c r="J2722" s="15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</row>
    <row r="2723" ht="22.5" hidden="1" customHeight="1">
      <c r="A2723" s="6"/>
      <c r="B2723" s="20"/>
      <c r="C2723" s="36"/>
      <c r="D2723" s="13"/>
      <c r="E2723" s="13"/>
      <c r="F2723" s="13"/>
      <c r="G2723" s="13"/>
      <c r="H2723" s="13"/>
      <c r="I2723" s="15"/>
      <c r="J2723" s="15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</row>
    <row r="2724" ht="22.5" hidden="1" customHeight="1">
      <c r="A2724" s="6"/>
      <c r="B2724" s="20"/>
      <c r="C2724" s="36"/>
      <c r="D2724" s="13"/>
      <c r="E2724" s="13"/>
      <c r="F2724" s="13"/>
      <c r="G2724" s="13"/>
      <c r="H2724" s="13"/>
      <c r="I2724" s="15"/>
      <c r="J2724" s="15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</row>
    <row r="2725" ht="22.5" hidden="1" customHeight="1">
      <c r="A2725" s="6"/>
      <c r="B2725" s="20"/>
      <c r="C2725" s="36"/>
      <c r="D2725" s="13"/>
      <c r="E2725" s="13"/>
      <c r="F2725" s="13"/>
      <c r="G2725" s="13"/>
      <c r="H2725" s="13"/>
      <c r="I2725" s="15"/>
      <c r="J2725" s="15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</row>
    <row r="2726" ht="22.5" hidden="1" customHeight="1">
      <c r="A2726" s="6"/>
      <c r="B2726" s="20"/>
      <c r="C2726" s="36"/>
      <c r="D2726" s="13"/>
      <c r="E2726" s="13"/>
      <c r="F2726" s="13"/>
      <c r="G2726" s="13"/>
      <c r="H2726" s="13"/>
      <c r="I2726" s="15"/>
      <c r="J2726" s="15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</row>
    <row r="2727" ht="22.5" hidden="1" customHeight="1">
      <c r="A2727" s="6"/>
      <c r="B2727" s="20"/>
      <c r="C2727" s="36"/>
      <c r="D2727" s="13"/>
      <c r="E2727" s="13"/>
      <c r="F2727" s="13"/>
      <c r="G2727" s="13"/>
      <c r="H2727" s="13"/>
      <c r="I2727" s="15"/>
      <c r="J2727" s="15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</row>
    <row r="2728" ht="22.5" hidden="1" customHeight="1">
      <c r="A2728" s="6"/>
      <c r="B2728" s="20"/>
      <c r="C2728" s="36"/>
      <c r="D2728" s="13"/>
      <c r="E2728" s="13"/>
      <c r="F2728" s="13"/>
      <c r="G2728" s="13"/>
      <c r="H2728" s="13"/>
      <c r="I2728" s="15"/>
      <c r="J2728" s="15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</row>
    <row r="2729" ht="22.5" hidden="1" customHeight="1">
      <c r="A2729" s="6"/>
      <c r="B2729" s="20"/>
      <c r="C2729" s="36"/>
      <c r="D2729" s="13"/>
      <c r="E2729" s="13"/>
      <c r="F2729" s="13"/>
      <c r="G2729" s="13"/>
      <c r="H2729" s="13"/>
      <c r="I2729" s="15"/>
      <c r="J2729" s="15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</row>
    <row r="2730" ht="22.5" hidden="1" customHeight="1">
      <c r="A2730" s="6"/>
      <c r="B2730" s="20"/>
      <c r="C2730" s="36"/>
      <c r="D2730" s="13"/>
      <c r="E2730" s="13"/>
      <c r="F2730" s="13"/>
      <c r="G2730" s="13"/>
      <c r="H2730" s="13"/>
      <c r="I2730" s="15"/>
      <c r="J2730" s="15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</row>
    <row r="2731" ht="22.5" hidden="1" customHeight="1">
      <c r="A2731" s="6"/>
      <c r="B2731" s="20"/>
      <c r="C2731" s="36"/>
      <c r="D2731" s="13"/>
      <c r="E2731" s="13"/>
      <c r="F2731" s="13"/>
      <c r="G2731" s="13"/>
      <c r="H2731" s="13"/>
      <c r="I2731" s="15"/>
      <c r="J2731" s="15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</row>
    <row r="2732" ht="22.5" hidden="1" customHeight="1">
      <c r="A2732" s="6"/>
      <c r="B2732" s="20"/>
      <c r="C2732" s="36"/>
      <c r="D2732" s="13"/>
      <c r="E2732" s="13"/>
      <c r="F2732" s="13"/>
      <c r="G2732" s="13"/>
      <c r="H2732" s="13"/>
      <c r="I2732" s="15"/>
      <c r="J2732" s="15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</row>
    <row r="2733" ht="22.5" hidden="1" customHeight="1">
      <c r="A2733" s="6"/>
      <c r="B2733" s="20"/>
      <c r="C2733" s="36"/>
      <c r="D2733" s="13"/>
      <c r="E2733" s="13"/>
      <c r="F2733" s="13"/>
      <c r="G2733" s="13"/>
      <c r="H2733" s="13"/>
      <c r="I2733" s="15"/>
      <c r="J2733" s="15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</row>
    <row r="2734" ht="22.5" hidden="1" customHeight="1">
      <c r="A2734" s="6"/>
      <c r="B2734" s="20"/>
      <c r="C2734" s="36"/>
      <c r="D2734" s="13"/>
      <c r="E2734" s="13"/>
      <c r="F2734" s="13"/>
      <c r="G2734" s="13"/>
      <c r="H2734" s="13"/>
      <c r="I2734" s="15"/>
      <c r="J2734" s="15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</row>
    <row r="2735" ht="22.5" hidden="1" customHeight="1">
      <c r="A2735" s="6"/>
      <c r="B2735" s="20"/>
      <c r="C2735" s="36"/>
      <c r="D2735" s="13"/>
      <c r="E2735" s="13"/>
      <c r="F2735" s="13"/>
      <c r="G2735" s="13"/>
      <c r="H2735" s="13"/>
      <c r="I2735" s="15"/>
      <c r="J2735" s="15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</row>
    <row r="2736" ht="22.5" hidden="1" customHeight="1">
      <c r="A2736" s="6"/>
      <c r="B2736" s="20"/>
      <c r="C2736" s="36"/>
      <c r="D2736" s="13"/>
      <c r="E2736" s="13"/>
      <c r="F2736" s="13"/>
      <c r="G2736" s="13"/>
      <c r="H2736" s="13"/>
      <c r="I2736" s="15"/>
      <c r="J2736" s="15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</row>
    <row r="2737" ht="22.5" hidden="1" customHeight="1">
      <c r="A2737" s="6"/>
      <c r="B2737" s="20"/>
      <c r="C2737" s="36"/>
      <c r="D2737" s="13"/>
      <c r="E2737" s="13"/>
      <c r="F2737" s="13"/>
      <c r="G2737" s="13"/>
      <c r="H2737" s="13"/>
      <c r="I2737" s="15"/>
      <c r="J2737" s="15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</row>
    <row r="2738" ht="22.5" hidden="1" customHeight="1">
      <c r="A2738" s="6"/>
      <c r="B2738" s="20"/>
      <c r="C2738" s="36"/>
      <c r="D2738" s="13"/>
      <c r="E2738" s="13"/>
      <c r="F2738" s="13"/>
      <c r="G2738" s="13"/>
      <c r="H2738" s="13"/>
      <c r="I2738" s="15"/>
      <c r="J2738" s="15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</row>
    <row r="2739" ht="22.5" hidden="1" customHeight="1">
      <c r="A2739" s="6"/>
      <c r="B2739" s="20"/>
      <c r="C2739" s="36"/>
      <c r="D2739" s="13"/>
      <c r="E2739" s="13"/>
      <c r="F2739" s="13"/>
      <c r="G2739" s="13"/>
      <c r="H2739" s="13"/>
      <c r="I2739" s="15"/>
      <c r="J2739" s="15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</row>
    <row r="2740" ht="22.5" hidden="1" customHeight="1">
      <c r="A2740" s="6"/>
      <c r="B2740" s="20"/>
      <c r="C2740" s="36"/>
      <c r="D2740" s="13"/>
      <c r="E2740" s="13"/>
      <c r="F2740" s="13"/>
      <c r="G2740" s="13"/>
      <c r="H2740" s="13"/>
      <c r="I2740" s="15"/>
      <c r="J2740" s="15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</row>
    <row r="2741" ht="22.5" hidden="1" customHeight="1">
      <c r="A2741" s="6"/>
      <c r="B2741" s="20"/>
      <c r="C2741" s="36"/>
      <c r="D2741" s="13"/>
      <c r="E2741" s="13"/>
      <c r="F2741" s="13"/>
      <c r="G2741" s="13"/>
      <c r="H2741" s="13"/>
      <c r="I2741" s="15"/>
      <c r="J2741" s="15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</row>
    <row r="2742" ht="22.5" hidden="1" customHeight="1">
      <c r="A2742" s="6"/>
      <c r="B2742" s="20"/>
      <c r="C2742" s="36"/>
      <c r="D2742" s="13"/>
      <c r="E2742" s="13"/>
      <c r="F2742" s="13"/>
      <c r="G2742" s="13"/>
      <c r="H2742" s="13"/>
      <c r="I2742" s="15"/>
      <c r="J2742" s="15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</row>
    <row r="2743" ht="22.5" hidden="1" customHeight="1">
      <c r="A2743" s="6"/>
      <c r="B2743" s="20"/>
      <c r="C2743" s="36"/>
      <c r="D2743" s="13"/>
      <c r="E2743" s="13"/>
      <c r="F2743" s="13"/>
      <c r="G2743" s="13"/>
      <c r="H2743" s="13"/>
      <c r="I2743" s="15"/>
      <c r="J2743" s="15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</row>
    <row r="2744" ht="22.5" hidden="1" customHeight="1">
      <c r="A2744" s="6"/>
      <c r="B2744" s="20"/>
      <c r="C2744" s="36"/>
      <c r="D2744" s="13"/>
      <c r="E2744" s="13"/>
      <c r="F2744" s="13"/>
      <c r="G2744" s="13"/>
      <c r="H2744" s="13"/>
      <c r="I2744" s="15"/>
      <c r="J2744" s="15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</row>
    <row r="2745" ht="22.5" hidden="1" customHeight="1">
      <c r="A2745" s="6"/>
      <c r="B2745" s="20"/>
      <c r="C2745" s="36"/>
      <c r="D2745" s="13"/>
      <c r="E2745" s="13"/>
      <c r="F2745" s="13"/>
      <c r="G2745" s="13"/>
      <c r="H2745" s="13"/>
      <c r="I2745" s="15"/>
      <c r="J2745" s="15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</row>
    <row r="2746" ht="22.5" hidden="1" customHeight="1">
      <c r="A2746" s="6"/>
      <c r="B2746" s="20"/>
      <c r="C2746" s="36"/>
      <c r="D2746" s="13"/>
      <c r="E2746" s="13"/>
      <c r="F2746" s="13"/>
      <c r="G2746" s="13"/>
      <c r="H2746" s="13"/>
      <c r="I2746" s="15"/>
      <c r="J2746" s="15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</row>
    <row r="2747" ht="22.5" hidden="1" customHeight="1">
      <c r="A2747" s="6"/>
      <c r="B2747" s="20"/>
      <c r="C2747" s="36"/>
      <c r="D2747" s="13"/>
      <c r="E2747" s="13"/>
      <c r="F2747" s="13"/>
      <c r="G2747" s="13"/>
      <c r="H2747" s="13"/>
      <c r="I2747" s="15"/>
      <c r="J2747" s="15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</row>
    <row r="2748" ht="22.5" hidden="1" customHeight="1">
      <c r="A2748" s="6"/>
      <c r="B2748" s="20"/>
      <c r="C2748" s="36"/>
      <c r="D2748" s="13"/>
      <c r="E2748" s="13"/>
      <c r="F2748" s="13"/>
      <c r="G2748" s="13"/>
      <c r="H2748" s="13"/>
      <c r="I2748" s="15"/>
      <c r="J2748" s="15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</row>
    <row r="2749" ht="22.5" hidden="1" customHeight="1">
      <c r="A2749" s="6"/>
      <c r="B2749" s="20"/>
      <c r="C2749" s="36"/>
      <c r="D2749" s="13"/>
      <c r="E2749" s="13"/>
      <c r="F2749" s="13"/>
      <c r="G2749" s="13"/>
      <c r="H2749" s="13"/>
      <c r="I2749" s="15"/>
      <c r="J2749" s="15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</row>
    <row r="2750" ht="22.5" hidden="1" customHeight="1">
      <c r="A2750" s="6"/>
      <c r="B2750" s="20"/>
      <c r="C2750" s="36"/>
      <c r="D2750" s="13"/>
      <c r="E2750" s="13"/>
      <c r="F2750" s="13"/>
      <c r="G2750" s="13"/>
      <c r="H2750" s="13"/>
      <c r="I2750" s="15"/>
      <c r="J2750" s="15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</row>
    <row r="2751" ht="22.5" hidden="1" customHeight="1">
      <c r="A2751" s="6"/>
      <c r="B2751" s="20"/>
      <c r="C2751" s="36"/>
      <c r="D2751" s="13"/>
      <c r="E2751" s="13"/>
      <c r="F2751" s="13"/>
      <c r="G2751" s="13"/>
      <c r="H2751" s="13"/>
      <c r="I2751" s="15"/>
      <c r="J2751" s="15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</row>
    <row r="2752" ht="22.5" hidden="1" customHeight="1">
      <c r="A2752" s="6"/>
      <c r="B2752" s="20"/>
      <c r="C2752" s="36"/>
      <c r="D2752" s="13"/>
      <c r="E2752" s="13"/>
      <c r="F2752" s="13"/>
      <c r="G2752" s="13"/>
      <c r="H2752" s="13"/>
      <c r="I2752" s="15"/>
      <c r="J2752" s="15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</row>
    <row r="2753" ht="22.5" hidden="1" customHeight="1">
      <c r="A2753" s="6"/>
      <c r="B2753" s="20"/>
      <c r="C2753" s="36"/>
      <c r="D2753" s="13"/>
      <c r="E2753" s="13"/>
      <c r="F2753" s="13"/>
      <c r="G2753" s="13"/>
      <c r="H2753" s="13"/>
      <c r="I2753" s="15"/>
      <c r="J2753" s="15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</row>
    <row r="2754" ht="22.5" hidden="1" customHeight="1">
      <c r="A2754" s="6"/>
      <c r="B2754" s="20"/>
      <c r="C2754" s="36"/>
      <c r="D2754" s="13"/>
      <c r="E2754" s="13"/>
      <c r="F2754" s="13"/>
      <c r="G2754" s="13"/>
      <c r="H2754" s="13"/>
      <c r="I2754" s="15"/>
      <c r="J2754" s="15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</row>
    <row r="2755" ht="22.5" hidden="1" customHeight="1">
      <c r="A2755" s="6"/>
      <c r="B2755" s="20"/>
      <c r="C2755" s="36"/>
      <c r="D2755" s="13"/>
      <c r="E2755" s="13"/>
      <c r="F2755" s="13"/>
      <c r="G2755" s="13"/>
      <c r="H2755" s="13"/>
      <c r="I2755" s="15"/>
      <c r="J2755" s="15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</row>
    <row r="2756" ht="22.5" hidden="1" customHeight="1">
      <c r="A2756" s="6"/>
      <c r="B2756" s="20"/>
      <c r="C2756" s="36"/>
      <c r="D2756" s="13"/>
      <c r="E2756" s="13"/>
      <c r="F2756" s="13"/>
      <c r="G2756" s="13"/>
      <c r="H2756" s="13"/>
      <c r="I2756" s="15"/>
      <c r="J2756" s="15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</row>
    <row r="2757" ht="22.5" hidden="1" customHeight="1">
      <c r="A2757" s="6"/>
      <c r="B2757" s="20"/>
      <c r="C2757" s="36"/>
      <c r="D2757" s="13"/>
      <c r="E2757" s="13"/>
      <c r="F2757" s="13"/>
      <c r="G2757" s="13"/>
      <c r="H2757" s="13"/>
      <c r="I2757" s="15"/>
      <c r="J2757" s="15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</row>
    <row r="2758" ht="22.5" hidden="1" customHeight="1">
      <c r="A2758" s="6"/>
      <c r="B2758" s="20"/>
      <c r="C2758" s="36"/>
      <c r="D2758" s="13"/>
      <c r="E2758" s="13"/>
      <c r="F2758" s="13"/>
      <c r="G2758" s="13"/>
      <c r="H2758" s="13"/>
      <c r="I2758" s="15"/>
      <c r="J2758" s="15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</row>
    <row r="2759" ht="22.5" hidden="1" customHeight="1">
      <c r="A2759" s="6"/>
      <c r="B2759" s="20"/>
      <c r="C2759" s="36"/>
      <c r="D2759" s="13"/>
      <c r="E2759" s="13"/>
      <c r="F2759" s="13"/>
      <c r="G2759" s="13"/>
      <c r="H2759" s="13"/>
      <c r="I2759" s="15"/>
      <c r="J2759" s="15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</row>
    <row r="2760" ht="22.5" hidden="1" customHeight="1">
      <c r="A2760" s="6"/>
      <c r="B2760" s="20"/>
      <c r="C2760" s="36"/>
      <c r="D2760" s="13"/>
      <c r="E2760" s="13"/>
      <c r="F2760" s="13"/>
      <c r="G2760" s="13"/>
      <c r="H2760" s="13"/>
      <c r="I2760" s="15"/>
      <c r="J2760" s="15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</row>
    <row r="2761" ht="22.5" hidden="1" customHeight="1">
      <c r="A2761" s="6"/>
      <c r="B2761" s="20"/>
      <c r="C2761" s="36"/>
      <c r="D2761" s="13"/>
      <c r="E2761" s="13"/>
      <c r="F2761" s="13"/>
      <c r="G2761" s="13"/>
      <c r="H2761" s="13"/>
      <c r="I2761" s="15"/>
      <c r="J2761" s="15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</row>
    <row r="2762" ht="22.5" hidden="1" customHeight="1">
      <c r="A2762" s="6"/>
      <c r="B2762" s="20"/>
      <c r="C2762" s="36"/>
      <c r="D2762" s="13"/>
      <c r="E2762" s="13"/>
      <c r="F2762" s="13"/>
      <c r="G2762" s="13"/>
      <c r="H2762" s="13"/>
      <c r="I2762" s="15"/>
      <c r="J2762" s="15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</row>
    <row r="2763" ht="22.5" hidden="1" customHeight="1">
      <c r="A2763" s="6"/>
      <c r="B2763" s="20"/>
      <c r="C2763" s="36"/>
      <c r="D2763" s="13"/>
      <c r="E2763" s="13"/>
      <c r="F2763" s="13"/>
      <c r="G2763" s="13"/>
      <c r="H2763" s="13"/>
      <c r="I2763" s="15"/>
      <c r="J2763" s="15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</row>
    <row r="2764" ht="22.5" hidden="1" customHeight="1">
      <c r="A2764" s="6"/>
      <c r="B2764" s="20"/>
      <c r="C2764" s="36"/>
      <c r="D2764" s="13"/>
      <c r="E2764" s="13"/>
      <c r="F2764" s="13"/>
      <c r="G2764" s="13"/>
      <c r="H2764" s="13"/>
      <c r="I2764" s="15"/>
      <c r="J2764" s="15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</row>
    <row r="2765" ht="22.5" hidden="1" customHeight="1">
      <c r="A2765" s="6"/>
      <c r="B2765" s="20"/>
      <c r="C2765" s="36"/>
      <c r="D2765" s="13"/>
      <c r="E2765" s="13"/>
      <c r="F2765" s="13"/>
      <c r="G2765" s="13"/>
      <c r="H2765" s="13"/>
      <c r="I2765" s="15"/>
      <c r="J2765" s="15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</row>
    <row r="2766" ht="22.5" hidden="1" customHeight="1">
      <c r="A2766" s="6"/>
      <c r="B2766" s="20"/>
      <c r="C2766" s="36"/>
      <c r="D2766" s="13"/>
      <c r="E2766" s="13"/>
      <c r="F2766" s="13"/>
      <c r="G2766" s="13"/>
      <c r="H2766" s="13"/>
      <c r="I2766" s="15"/>
      <c r="J2766" s="15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</row>
    <row r="2767" ht="22.5" hidden="1" customHeight="1">
      <c r="A2767" s="6"/>
      <c r="B2767" s="20"/>
      <c r="C2767" s="36"/>
      <c r="D2767" s="13"/>
      <c r="E2767" s="13"/>
      <c r="F2767" s="13"/>
      <c r="G2767" s="13"/>
      <c r="H2767" s="13"/>
      <c r="I2767" s="15"/>
      <c r="J2767" s="15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</row>
    <row r="2768" ht="22.5" hidden="1" customHeight="1">
      <c r="A2768" s="6"/>
      <c r="B2768" s="20"/>
      <c r="C2768" s="36"/>
      <c r="D2768" s="13"/>
      <c r="E2768" s="13"/>
      <c r="F2768" s="13"/>
      <c r="G2768" s="13"/>
      <c r="H2768" s="13"/>
      <c r="I2768" s="15"/>
      <c r="J2768" s="15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</row>
    <row r="2769" ht="22.5" hidden="1" customHeight="1">
      <c r="A2769" s="6"/>
      <c r="B2769" s="20"/>
      <c r="C2769" s="36"/>
      <c r="D2769" s="13"/>
      <c r="E2769" s="13"/>
      <c r="F2769" s="13"/>
      <c r="G2769" s="13"/>
      <c r="H2769" s="13"/>
      <c r="I2769" s="15"/>
      <c r="J2769" s="15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</row>
    <row r="2770" ht="22.5" hidden="1" customHeight="1">
      <c r="A2770" s="6"/>
      <c r="B2770" s="20"/>
      <c r="C2770" s="36"/>
      <c r="D2770" s="13"/>
      <c r="E2770" s="13"/>
      <c r="F2770" s="13"/>
      <c r="G2770" s="13"/>
      <c r="H2770" s="13"/>
      <c r="I2770" s="15"/>
      <c r="J2770" s="15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</row>
    <row r="2771" ht="22.5" hidden="1" customHeight="1">
      <c r="A2771" s="6"/>
      <c r="B2771" s="20"/>
      <c r="C2771" s="36"/>
      <c r="D2771" s="13"/>
      <c r="E2771" s="13"/>
      <c r="F2771" s="13"/>
      <c r="G2771" s="13"/>
      <c r="H2771" s="13"/>
      <c r="I2771" s="15"/>
      <c r="J2771" s="15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</row>
    <row r="2772" ht="22.5" hidden="1" customHeight="1">
      <c r="A2772" s="6"/>
      <c r="B2772" s="20"/>
      <c r="C2772" s="36"/>
      <c r="D2772" s="13"/>
      <c r="E2772" s="13"/>
      <c r="F2772" s="13"/>
      <c r="G2772" s="13"/>
      <c r="H2772" s="13"/>
      <c r="I2772" s="15"/>
      <c r="J2772" s="15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</row>
    <row r="2773" ht="22.5" hidden="1" customHeight="1">
      <c r="A2773" s="6"/>
      <c r="B2773" s="20"/>
      <c r="C2773" s="36"/>
      <c r="D2773" s="13"/>
      <c r="E2773" s="13"/>
      <c r="F2773" s="13"/>
      <c r="G2773" s="13"/>
      <c r="H2773" s="13"/>
      <c r="I2773" s="15"/>
      <c r="J2773" s="15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</row>
    <row r="2774" ht="22.5" hidden="1" customHeight="1">
      <c r="A2774" s="6"/>
      <c r="B2774" s="20"/>
      <c r="C2774" s="36"/>
      <c r="D2774" s="13"/>
      <c r="E2774" s="13"/>
      <c r="F2774" s="13"/>
      <c r="G2774" s="13"/>
      <c r="H2774" s="13"/>
      <c r="I2774" s="15"/>
      <c r="J2774" s="15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</row>
    <row r="2775" ht="22.5" hidden="1" customHeight="1">
      <c r="A2775" s="6"/>
      <c r="B2775" s="20"/>
      <c r="C2775" s="36"/>
      <c r="D2775" s="13"/>
      <c r="E2775" s="13"/>
      <c r="F2775" s="13"/>
      <c r="G2775" s="13"/>
      <c r="H2775" s="13"/>
      <c r="I2775" s="15"/>
      <c r="J2775" s="15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</row>
    <row r="2776" ht="22.5" hidden="1" customHeight="1">
      <c r="A2776" s="6"/>
      <c r="B2776" s="20"/>
      <c r="C2776" s="36"/>
      <c r="D2776" s="13"/>
      <c r="E2776" s="13"/>
      <c r="F2776" s="13"/>
      <c r="G2776" s="13"/>
      <c r="H2776" s="13"/>
      <c r="I2776" s="15"/>
      <c r="J2776" s="15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</row>
    <row r="2777" ht="22.5" hidden="1" customHeight="1">
      <c r="A2777" s="6"/>
      <c r="B2777" s="20"/>
      <c r="C2777" s="36"/>
      <c r="D2777" s="13"/>
      <c r="E2777" s="13"/>
      <c r="F2777" s="13"/>
      <c r="G2777" s="13"/>
      <c r="H2777" s="13"/>
      <c r="I2777" s="15"/>
      <c r="J2777" s="15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</row>
    <row r="2778" ht="22.5" hidden="1" customHeight="1">
      <c r="A2778" s="6"/>
      <c r="B2778" s="20"/>
      <c r="C2778" s="36"/>
      <c r="D2778" s="13"/>
      <c r="E2778" s="13"/>
      <c r="F2778" s="13"/>
      <c r="G2778" s="13"/>
      <c r="H2778" s="13"/>
      <c r="I2778" s="15"/>
      <c r="J2778" s="15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</row>
    <row r="2779" ht="22.5" hidden="1" customHeight="1">
      <c r="A2779" s="6"/>
      <c r="B2779" s="20"/>
      <c r="C2779" s="36"/>
      <c r="D2779" s="13"/>
      <c r="E2779" s="13"/>
      <c r="F2779" s="13"/>
      <c r="G2779" s="13"/>
      <c r="H2779" s="13"/>
      <c r="I2779" s="15"/>
      <c r="J2779" s="15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</row>
    <row r="2780" ht="22.5" hidden="1" customHeight="1">
      <c r="A2780" s="6"/>
      <c r="B2780" s="20"/>
      <c r="C2780" s="36"/>
      <c r="D2780" s="13"/>
      <c r="E2780" s="13"/>
      <c r="F2780" s="13"/>
      <c r="G2780" s="13"/>
      <c r="H2780" s="13"/>
      <c r="I2780" s="15"/>
      <c r="J2780" s="15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</row>
    <row r="2781" ht="22.5" hidden="1" customHeight="1">
      <c r="A2781" s="6"/>
      <c r="B2781" s="20"/>
      <c r="C2781" s="36"/>
      <c r="D2781" s="13"/>
      <c r="E2781" s="13"/>
      <c r="F2781" s="13"/>
      <c r="G2781" s="13"/>
      <c r="H2781" s="13"/>
      <c r="I2781" s="15"/>
      <c r="J2781" s="15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</row>
    <row r="2782" ht="22.5" hidden="1" customHeight="1">
      <c r="A2782" s="6"/>
      <c r="B2782" s="20"/>
      <c r="C2782" s="36"/>
      <c r="D2782" s="13"/>
      <c r="E2782" s="13"/>
      <c r="F2782" s="13"/>
      <c r="G2782" s="13"/>
      <c r="H2782" s="13"/>
      <c r="I2782" s="15"/>
      <c r="J2782" s="15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</row>
    <row r="2783" ht="22.5" hidden="1" customHeight="1">
      <c r="A2783" s="6"/>
      <c r="B2783" s="20"/>
      <c r="C2783" s="36"/>
      <c r="D2783" s="13"/>
      <c r="E2783" s="13"/>
      <c r="F2783" s="13"/>
      <c r="G2783" s="13"/>
      <c r="H2783" s="13"/>
      <c r="I2783" s="15"/>
      <c r="J2783" s="15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</row>
    <row r="2784" ht="22.5" hidden="1" customHeight="1">
      <c r="A2784" s="6"/>
      <c r="B2784" s="20"/>
      <c r="C2784" s="36"/>
      <c r="D2784" s="13"/>
      <c r="E2784" s="13"/>
      <c r="F2784" s="13"/>
      <c r="G2784" s="13"/>
      <c r="H2784" s="13"/>
      <c r="I2784" s="15"/>
      <c r="J2784" s="15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</row>
    <row r="2785" ht="22.5" hidden="1" customHeight="1">
      <c r="A2785" s="6"/>
      <c r="B2785" s="20"/>
      <c r="C2785" s="36"/>
      <c r="D2785" s="13"/>
      <c r="E2785" s="13"/>
      <c r="F2785" s="13"/>
      <c r="G2785" s="13"/>
      <c r="H2785" s="13"/>
      <c r="I2785" s="15"/>
      <c r="J2785" s="15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</row>
    <row r="2786" ht="22.5" hidden="1" customHeight="1">
      <c r="A2786" s="6"/>
      <c r="B2786" s="20"/>
      <c r="C2786" s="36"/>
      <c r="D2786" s="13"/>
      <c r="E2786" s="13"/>
      <c r="F2786" s="13"/>
      <c r="G2786" s="13"/>
      <c r="H2786" s="13"/>
      <c r="I2786" s="15"/>
      <c r="J2786" s="15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</row>
    <row r="2787" ht="22.5" hidden="1" customHeight="1">
      <c r="A2787" s="6"/>
      <c r="B2787" s="20"/>
      <c r="C2787" s="36"/>
      <c r="D2787" s="13"/>
      <c r="E2787" s="13"/>
      <c r="F2787" s="13"/>
      <c r="G2787" s="13"/>
      <c r="H2787" s="13"/>
      <c r="I2787" s="15"/>
      <c r="J2787" s="15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</row>
    <row r="2788" ht="22.5" hidden="1" customHeight="1">
      <c r="A2788" s="6"/>
      <c r="B2788" s="20"/>
      <c r="C2788" s="36"/>
      <c r="D2788" s="13"/>
      <c r="E2788" s="13"/>
      <c r="F2788" s="13"/>
      <c r="G2788" s="13"/>
      <c r="H2788" s="13"/>
      <c r="I2788" s="15"/>
      <c r="J2788" s="15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</row>
    <row r="2789" ht="22.5" hidden="1" customHeight="1">
      <c r="A2789" s="6"/>
      <c r="B2789" s="20"/>
      <c r="C2789" s="36"/>
      <c r="D2789" s="13"/>
      <c r="E2789" s="13"/>
      <c r="F2789" s="13"/>
      <c r="G2789" s="13"/>
      <c r="H2789" s="13"/>
      <c r="I2789" s="15"/>
      <c r="J2789" s="15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</row>
    <row r="2790" ht="22.5" hidden="1" customHeight="1">
      <c r="A2790" s="6"/>
      <c r="B2790" s="20"/>
      <c r="C2790" s="36"/>
      <c r="D2790" s="13"/>
      <c r="E2790" s="13"/>
      <c r="F2790" s="13"/>
      <c r="G2790" s="13"/>
      <c r="H2790" s="13"/>
      <c r="I2790" s="15"/>
      <c r="J2790" s="15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</row>
    <row r="2791" ht="22.5" hidden="1" customHeight="1">
      <c r="A2791" s="6"/>
      <c r="B2791" s="20"/>
      <c r="C2791" s="36"/>
      <c r="D2791" s="13"/>
      <c r="E2791" s="13"/>
      <c r="F2791" s="13"/>
      <c r="G2791" s="13"/>
      <c r="H2791" s="13"/>
      <c r="I2791" s="15"/>
      <c r="J2791" s="15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</row>
    <row r="2792" ht="22.5" hidden="1" customHeight="1">
      <c r="A2792" s="6"/>
      <c r="B2792" s="20"/>
      <c r="C2792" s="36"/>
      <c r="D2792" s="13"/>
      <c r="E2792" s="13"/>
      <c r="F2792" s="13"/>
      <c r="G2792" s="13"/>
      <c r="H2792" s="13"/>
      <c r="I2792" s="15"/>
      <c r="J2792" s="15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</row>
    <row r="2793" ht="22.5" hidden="1" customHeight="1">
      <c r="A2793" s="6"/>
      <c r="B2793" s="20"/>
      <c r="C2793" s="36"/>
      <c r="D2793" s="13"/>
      <c r="E2793" s="13"/>
      <c r="F2793" s="13"/>
      <c r="G2793" s="13"/>
      <c r="H2793" s="13"/>
      <c r="I2793" s="15"/>
      <c r="J2793" s="15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</row>
    <row r="2794" ht="22.5" hidden="1" customHeight="1">
      <c r="A2794" s="6"/>
      <c r="B2794" s="20"/>
      <c r="C2794" s="36"/>
      <c r="D2794" s="13"/>
      <c r="E2794" s="13"/>
      <c r="F2794" s="13"/>
      <c r="G2794" s="13"/>
      <c r="H2794" s="13"/>
      <c r="I2794" s="15"/>
      <c r="J2794" s="15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</row>
    <row r="2795" ht="22.5" hidden="1" customHeight="1">
      <c r="A2795" s="6"/>
      <c r="B2795" s="20"/>
      <c r="C2795" s="36"/>
      <c r="D2795" s="13"/>
      <c r="E2795" s="13"/>
      <c r="F2795" s="13"/>
      <c r="G2795" s="13"/>
      <c r="H2795" s="13"/>
      <c r="I2795" s="15"/>
      <c r="J2795" s="15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</row>
    <row r="2796" ht="22.5" hidden="1" customHeight="1">
      <c r="A2796" s="6"/>
      <c r="B2796" s="20"/>
      <c r="C2796" s="36"/>
      <c r="D2796" s="13"/>
      <c r="E2796" s="13"/>
      <c r="F2796" s="13"/>
      <c r="G2796" s="13"/>
      <c r="H2796" s="13"/>
      <c r="I2796" s="15"/>
      <c r="J2796" s="15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</row>
    <row r="2797" ht="22.5" hidden="1" customHeight="1">
      <c r="A2797" s="6"/>
      <c r="B2797" s="20"/>
      <c r="C2797" s="36"/>
      <c r="D2797" s="13"/>
      <c r="E2797" s="13"/>
      <c r="F2797" s="13"/>
      <c r="G2797" s="13"/>
      <c r="H2797" s="13"/>
      <c r="I2797" s="15"/>
      <c r="J2797" s="15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</row>
    <row r="2798" ht="22.5" hidden="1" customHeight="1">
      <c r="A2798" s="6"/>
      <c r="B2798" s="20"/>
      <c r="C2798" s="36"/>
      <c r="D2798" s="13"/>
      <c r="E2798" s="13"/>
      <c r="F2798" s="13"/>
      <c r="G2798" s="13"/>
      <c r="H2798" s="13"/>
      <c r="I2798" s="15"/>
      <c r="J2798" s="15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</row>
    <row r="2799" ht="22.5" hidden="1" customHeight="1">
      <c r="A2799" s="6"/>
      <c r="B2799" s="20"/>
      <c r="C2799" s="36"/>
      <c r="D2799" s="13"/>
      <c r="E2799" s="13"/>
      <c r="F2799" s="13"/>
      <c r="G2799" s="13"/>
      <c r="H2799" s="13"/>
      <c r="I2799" s="15"/>
      <c r="J2799" s="15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</row>
    <row r="2800" ht="22.5" hidden="1" customHeight="1">
      <c r="A2800" s="6"/>
      <c r="B2800" s="20"/>
      <c r="C2800" s="36"/>
      <c r="D2800" s="13"/>
      <c r="E2800" s="13"/>
      <c r="F2800" s="13"/>
      <c r="G2800" s="13"/>
      <c r="H2800" s="13"/>
      <c r="I2800" s="15"/>
      <c r="J2800" s="15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</row>
    <row r="2801" ht="22.5" hidden="1" customHeight="1">
      <c r="A2801" s="6"/>
      <c r="B2801" s="20"/>
      <c r="C2801" s="36"/>
      <c r="D2801" s="13"/>
      <c r="E2801" s="13"/>
      <c r="F2801" s="13"/>
      <c r="G2801" s="13"/>
      <c r="H2801" s="13"/>
      <c r="I2801" s="15"/>
      <c r="J2801" s="15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</row>
    <row r="2802" ht="22.5" hidden="1" customHeight="1">
      <c r="A2802" s="6"/>
      <c r="B2802" s="20"/>
      <c r="C2802" s="36"/>
      <c r="D2802" s="13"/>
      <c r="E2802" s="13"/>
      <c r="F2802" s="13"/>
      <c r="G2802" s="13"/>
      <c r="H2802" s="13"/>
      <c r="I2802" s="15"/>
      <c r="J2802" s="15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</row>
    <row r="2803" ht="22.5" hidden="1" customHeight="1">
      <c r="A2803" s="6"/>
      <c r="B2803" s="20"/>
      <c r="C2803" s="36"/>
      <c r="D2803" s="13"/>
      <c r="E2803" s="13"/>
      <c r="F2803" s="13"/>
      <c r="G2803" s="13"/>
      <c r="H2803" s="13"/>
      <c r="I2803" s="15"/>
      <c r="J2803" s="15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</row>
    <row r="2804" ht="22.5" hidden="1" customHeight="1">
      <c r="A2804" s="6"/>
      <c r="B2804" s="20"/>
      <c r="C2804" s="36"/>
      <c r="D2804" s="13"/>
      <c r="E2804" s="13"/>
      <c r="F2804" s="13"/>
      <c r="G2804" s="13"/>
      <c r="H2804" s="13"/>
      <c r="I2804" s="15"/>
      <c r="J2804" s="15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</row>
    <row r="2805" ht="22.5" hidden="1" customHeight="1">
      <c r="A2805" s="6"/>
      <c r="B2805" s="20"/>
      <c r="C2805" s="36"/>
      <c r="D2805" s="13"/>
      <c r="E2805" s="13"/>
      <c r="F2805" s="13"/>
      <c r="G2805" s="13"/>
      <c r="H2805" s="13"/>
      <c r="I2805" s="15"/>
      <c r="J2805" s="15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</row>
    <row r="2806" ht="22.5" hidden="1" customHeight="1">
      <c r="A2806" s="6"/>
      <c r="B2806" s="20"/>
      <c r="C2806" s="36"/>
      <c r="D2806" s="13"/>
      <c r="E2806" s="13"/>
      <c r="F2806" s="13"/>
      <c r="G2806" s="13"/>
      <c r="H2806" s="13"/>
      <c r="I2806" s="15"/>
      <c r="J2806" s="15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</row>
    <row r="2807" ht="22.5" hidden="1" customHeight="1">
      <c r="A2807" s="6"/>
      <c r="B2807" s="20"/>
      <c r="C2807" s="36"/>
      <c r="D2807" s="13"/>
      <c r="E2807" s="13"/>
      <c r="F2807" s="13"/>
      <c r="G2807" s="13"/>
      <c r="H2807" s="13"/>
      <c r="I2807" s="15"/>
      <c r="J2807" s="15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</row>
    <row r="2808" ht="22.5" hidden="1" customHeight="1">
      <c r="A2808" s="6"/>
      <c r="B2808" s="20"/>
      <c r="C2808" s="36"/>
      <c r="D2808" s="13"/>
      <c r="E2808" s="13"/>
      <c r="F2808" s="13"/>
      <c r="G2808" s="13"/>
      <c r="H2808" s="13"/>
      <c r="I2808" s="15"/>
      <c r="J2808" s="15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</row>
    <row r="2809" ht="22.5" hidden="1" customHeight="1">
      <c r="A2809" s="6"/>
      <c r="B2809" s="20"/>
      <c r="C2809" s="36"/>
      <c r="D2809" s="13"/>
      <c r="E2809" s="13"/>
      <c r="F2809" s="13"/>
      <c r="G2809" s="13"/>
      <c r="H2809" s="13"/>
      <c r="I2809" s="15"/>
      <c r="J2809" s="15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</row>
    <row r="2810" ht="22.5" hidden="1" customHeight="1">
      <c r="A2810" s="6"/>
      <c r="B2810" s="20"/>
      <c r="C2810" s="36"/>
      <c r="D2810" s="13"/>
      <c r="E2810" s="13"/>
      <c r="F2810" s="13"/>
      <c r="G2810" s="13"/>
      <c r="H2810" s="13"/>
      <c r="I2810" s="15"/>
      <c r="J2810" s="15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</row>
    <row r="2811" ht="22.5" hidden="1" customHeight="1">
      <c r="A2811" s="6"/>
      <c r="B2811" s="20"/>
      <c r="C2811" s="36"/>
      <c r="D2811" s="13"/>
      <c r="E2811" s="13"/>
      <c r="F2811" s="13"/>
      <c r="G2811" s="13"/>
      <c r="H2811" s="13"/>
      <c r="I2811" s="15"/>
      <c r="J2811" s="15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</row>
    <row r="2812" ht="22.5" hidden="1" customHeight="1">
      <c r="A2812" s="6"/>
      <c r="B2812" s="20"/>
      <c r="C2812" s="36"/>
      <c r="D2812" s="13"/>
      <c r="E2812" s="13"/>
      <c r="F2812" s="13"/>
      <c r="G2812" s="13"/>
      <c r="H2812" s="13"/>
      <c r="I2812" s="15"/>
      <c r="J2812" s="15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</row>
    <row r="2813" ht="22.5" hidden="1" customHeight="1">
      <c r="A2813" s="6"/>
      <c r="B2813" s="20"/>
      <c r="C2813" s="36"/>
      <c r="D2813" s="13"/>
      <c r="E2813" s="13"/>
      <c r="F2813" s="13"/>
      <c r="G2813" s="13"/>
      <c r="H2813" s="13"/>
      <c r="I2813" s="15"/>
      <c r="J2813" s="15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</row>
    <row r="2814" ht="22.5" hidden="1" customHeight="1">
      <c r="A2814" s="6"/>
      <c r="B2814" s="20"/>
      <c r="C2814" s="36"/>
      <c r="D2814" s="13"/>
      <c r="E2814" s="13"/>
      <c r="F2814" s="13"/>
      <c r="G2814" s="13"/>
      <c r="H2814" s="13"/>
      <c r="I2814" s="15"/>
      <c r="J2814" s="15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</row>
    <row r="2815" ht="22.5" hidden="1" customHeight="1">
      <c r="A2815" s="6"/>
      <c r="B2815" s="20"/>
      <c r="C2815" s="36"/>
      <c r="D2815" s="13"/>
      <c r="E2815" s="13"/>
      <c r="F2815" s="13"/>
      <c r="G2815" s="13"/>
      <c r="H2815" s="13"/>
      <c r="I2815" s="15"/>
      <c r="J2815" s="15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</row>
    <row r="2816" ht="22.5" hidden="1" customHeight="1">
      <c r="A2816" s="6"/>
      <c r="B2816" s="20"/>
      <c r="C2816" s="36"/>
      <c r="D2816" s="13"/>
      <c r="E2816" s="13"/>
      <c r="F2816" s="13"/>
      <c r="G2816" s="13"/>
      <c r="H2816" s="13"/>
      <c r="I2816" s="15"/>
      <c r="J2816" s="15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</row>
    <row r="2817" ht="22.5" hidden="1" customHeight="1">
      <c r="A2817" s="6"/>
      <c r="B2817" s="20"/>
      <c r="C2817" s="36"/>
      <c r="D2817" s="13"/>
      <c r="E2817" s="13"/>
      <c r="F2817" s="13"/>
      <c r="G2817" s="13"/>
      <c r="H2817" s="13"/>
      <c r="I2817" s="15"/>
      <c r="J2817" s="15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</row>
    <row r="2818" ht="22.5" hidden="1" customHeight="1">
      <c r="A2818" s="6"/>
      <c r="B2818" s="20"/>
      <c r="C2818" s="36"/>
      <c r="D2818" s="13"/>
      <c r="E2818" s="13"/>
      <c r="F2818" s="13"/>
      <c r="G2818" s="13"/>
      <c r="H2818" s="13"/>
      <c r="I2818" s="15"/>
      <c r="J2818" s="15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</row>
    <row r="2819" ht="22.5" hidden="1" customHeight="1">
      <c r="A2819" s="6"/>
      <c r="B2819" s="20"/>
      <c r="C2819" s="36"/>
      <c r="D2819" s="13"/>
      <c r="E2819" s="13"/>
      <c r="F2819" s="13"/>
      <c r="G2819" s="13"/>
      <c r="H2819" s="13"/>
      <c r="I2819" s="15"/>
      <c r="J2819" s="15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</row>
    <row r="2820" ht="22.5" hidden="1" customHeight="1">
      <c r="A2820" s="6"/>
      <c r="B2820" s="20"/>
      <c r="C2820" s="36"/>
      <c r="D2820" s="13"/>
      <c r="E2820" s="13"/>
      <c r="F2820" s="13"/>
      <c r="G2820" s="13"/>
      <c r="H2820" s="13"/>
      <c r="I2820" s="15"/>
      <c r="J2820" s="15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</row>
    <row r="2821" ht="22.5" hidden="1" customHeight="1">
      <c r="A2821" s="6"/>
      <c r="B2821" s="20"/>
      <c r="C2821" s="36"/>
      <c r="D2821" s="13"/>
      <c r="E2821" s="13"/>
      <c r="F2821" s="13"/>
      <c r="G2821" s="13"/>
      <c r="H2821" s="13"/>
      <c r="I2821" s="15"/>
      <c r="J2821" s="15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</row>
    <row r="2822" ht="22.5" hidden="1" customHeight="1">
      <c r="A2822" s="6"/>
      <c r="B2822" s="20"/>
      <c r="C2822" s="36"/>
      <c r="D2822" s="13"/>
      <c r="E2822" s="13"/>
      <c r="F2822" s="13"/>
      <c r="G2822" s="13"/>
      <c r="H2822" s="13"/>
      <c r="I2822" s="15"/>
      <c r="J2822" s="15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</row>
    <row r="2823" ht="22.5" hidden="1" customHeight="1">
      <c r="A2823" s="6"/>
      <c r="B2823" s="20"/>
      <c r="C2823" s="36"/>
      <c r="D2823" s="13"/>
      <c r="E2823" s="13"/>
      <c r="F2823" s="13"/>
      <c r="G2823" s="13"/>
      <c r="H2823" s="13"/>
      <c r="I2823" s="15"/>
      <c r="J2823" s="15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</row>
    <row r="2824" ht="22.5" hidden="1" customHeight="1">
      <c r="A2824" s="6"/>
      <c r="B2824" s="20"/>
      <c r="C2824" s="36"/>
      <c r="D2824" s="13"/>
      <c r="E2824" s="13"/>
      <c r="F2824" s="13"/>
      <c r="G2824" s="13"/>
      <c r="H2824" s="13"/>
      <c r="I2824" s="15"/>
      <c r="J2824" s="15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</row>
    <row r="2825" ht="22.5" hidden="1" customHeight="1">
      <c r="A2825" s="6"/>
      <c r="B2825" s="20"/>
      <c r="C2825" s="36"/>
      <c r="D2825" s="13"/>
      <c r="E2825" s="13"/>
      <c r="F2825" s="13"/>
      <c r="G2825" s="13"/>
      <c r="H2825" s="13"/>
      <c r="I2825" s="15"/>
      <c r="J2825" s="15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</row>
    <row r="2826" ht="22.5" hidden="1" customHeight="1">
      <c r="A2826" s="6"/>
      <c r="B2826" s="20"/>
      <c r="C2826" s="36"/>
      <c r="D2826" s="13"/>
      <c r="E2826" s="13"/>
      <c r="F2826" s="13"/>
      <c r="G2826" s="13"/>
      <c r="H2826" s="13"/>
      <c r="I2826" s="15"/>
      <c r="J2826" s="15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</row>
    <row r="2827" ht="22.5" hidden="1" customHeight="1">
      <c r="A2827" s="6"/>
      <c r="B2827" s="20"/>
      <c r="C2827" s="36"/>
      <c r="D2827" s="13"/>
      <c r="E2827" s="13"/>
      <c r="F2827" s="13"/>
      <c r="G2827" s="13"/>
      <c r="H2827" s="13"/>
      <c r="I2827" s="15"/>
      <c r="J2827" s="15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</row>
    <row r="2828" ht="22.5" hidden="1" customHeight="1">
      <c r="A2828" s="6"/>
      <c r="B2828" s="20"/>
      <c r="C2828" s="36"/>
      <c r="D2828" s="13"/>
      <c r="E2828" s="13"/>
      <c r="F2828" s="13"/>
      <c r="G2828" s="13"/>
      <c r="H2828" s="13"/>
      <c r="I2828" s="15"/>
      <c r="J2828" s="15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</row>
    <row r="2829" ht="22.5" hidden="1" customHeight="1">
      <c r="A2829" s="6"/>
      <c r="B2829" s="20"/>
      <c r="C2829" s="36"/>
      <c r="D2829" s="13"/>
      <c r="E2829" s="13"/>
      <c r="F2829" s="13"/>
      <c r="G2829" s="13"/>
      <c r="H2829" s="13"/>
      <c r="I2829" s="15"/>
      <c r="J2829" s="15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</row>
    <row r="2830" ht="22.5" hidden="1" customHeight="1">
      <c r="A2830" s="6"/>
      <c r="B2830" s="20"/>
      <c r="C2830" s="36"/>
      <c r="D2830" s="13"/>
      <c r="E2830" s="13"/>
      <c r="F2830" s="13"/>
      <c r="G2830" s="13"/>
      <c r="H2830" s="13"/>
      <c r="I2830" s="15"/>
      <c r="J2830" s="15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</row>
    <row r="2831" ht="22.5" hidden="1" customHeight="1">
      <c r="A2831" s="6"/>
      <c r="B2831" s="20"/>
      <c r="C2831" s="36"/>
      <c r="D2831" s="13"/>
      <c r="E2831" s="13"/>
      <c r="F2831" s="13"/>
      <c r="G2831" s="13"/>
      <c r="H2831" s="13"/>
      <c r="I2831" s="15"/>
      <c r="J2831" s="15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</row>
    <row r="2832" ht="22.5" hidden="1" customHeight="1">
      <c r="A2832" s="6"/>
      <c r="B2832" s="20"/>
      <c r="C2832" s="36"/>
      <c r="D2832" s="13"/>
      <c r="E2832" s="13"/>
      <c r="F2832" s="13"/>
      <c r="G2832" s="13"/>
      <c r="H2832" s="13"/>
      <c r="I2832" s="15"/>
      <c r="J2832" s="15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</row>
    <row r="2833" ht="22.5" hidden="1" customHeight="1">
      <c r="A2833" s="6"/>
      <c r="B2833" s="20"/>
      <c r="C2833" s="36"/>
      <c r="D2833" s="13"/>
      <c r="E2833" s="13"/>
      <c r="F2833" s="13"/>
      <c r="G2833" s="13"/>
      <c r="H2833" s="13"/>
      <c r="I2833" s="15"/>
      <c r="J2833" s="15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</row>
    <row r="2834" ht="22.5" hidden="1" customHeight="1">
      <c r="A2834" s="6"/>
      <c r="B2834" s="20"/>
      <c r="C2834" s="36"/>
      <c r="D2834" s="13"/>
      <c r="E2834" s="13"/>
      <c r="F2834" s="13"/>
      <c r="G2834" s="13"/>
      <c r="H2834" s="13"/>
      <c r="I2834" s="15"/>
      <c r="J2834" s="15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</row>
    <row r="2835" ht="22.5" hidden="1" customHeight="1">
      <c r="A2835" s="6"/>
      <c r="B2835" s="20"/>
      <c r="C2835" s="36"/>
      <c r="D2835" s="13"/>
      <c r="E2835" s="13"/>
      <c r="F2835" s="13"/>
      <c r="G2835" s="13"/>
      <c r="H2835" s="13"/>
      <c r="I2835" s="15"/>
      <c r="J2835" s="15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</row>
    <row r="2836" ht="22.5" hidden="1" customHeight="1">
      <c r="A2836" s="6"/>
      <c r="B2836" s="20"/>
      <c r="C2836" s="36"/>
      <c r="D2836" s="13"/>
      <c r="E2836" s="13"/>
      <c r="F2836" s="13"/>
      <c r="G2836" s="13"/>
      <c r="H2836" s="13"/>
      <c r="I2836" s="15"/>
      <c r="J2836" s="15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</row>
    <row r="2837" ht="22.5" hidden="1" customHeight="1">
      <c r="A2837" s="6"/>
      <c r="B2837" s="20"/>
      <c r="C2837" s="36"/>
      <c r="D2837" s="13"/>
      <c r="E2837" s="13"/>
      <c r="F2837" s="13"/>
      <c r="G2837" s="13"/>
      <c r="H2837" s="13"/>
      <c r="I2837" s="15"/>
      <c r="J2837" s="15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</row>
    <row r="2838" ht="22.5" hidden="1" customHeight="1">
      <c r="A2838" s="6"/>
      <c r="B2838" s="20"/>
      <c r="C2838" s="36"/>
      <c r="D2838" s="13"/>
      <c r="E2838" s="13"/>
      <c r="F2838" s="13"/>
      <c r="G2838" s="13"/>
      <c r="H2838" s="13"/>
      <c r="I2838" s="15"/>
      <c r="J2838" s="15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</row>
    <row r="2839" ht="22.5" hidden="1" customHeight="1">
      <c r="A2839" s="6"/>
      <c r="B2839" s="20"/>
      <c r="C2839" s="36"/>
      <c r="D2839" s="13"/>
      <c r="E2839" s="13"/>
      <c r="F2839" s="13"/>
      <c r="G2839" s="13"/>
      <c r="H2839" s="13"/>
      <c r="I2839" s="15"/>
      <c r="J2839" s="15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</row>
    <row r="2840" ht="22.5" hidden="1" customHeight="1">
      <c r="A2840" s="6"/>
      <c r="B2840" s="20"/>
      <c r="C2840" s="36"/>
      <c r="D2840" s="13"/>
      <c r="E2840" s="13"/>
      <c r="F2840" s="13"/>
      <c r="G2840" s="13"/>
      <c r="H2840" s="13"/>
      <c r="I2840" s="15"/>
      <c r="J2840" s="15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</row>
    <row r="2841" ht="22.5" hidden="1" customHeight="1">
      <c r="A2841" s="6"/>
      <c r="B2841" s="20"/>
      <c r="C2841" s="36"/>
      <c r="D2841" s="13"/>
      <c r="E2841" s="13"/>
      <c r="F2841" s="13"/>
      <c r="G2841" s="13"/>
      <c r="H2841" s="13"/>
      <c r="I2841" s="15"/>
      <c r="J2841" s="15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</row>
    <row r="2842" ht="22.5" hidden="1" customHeight="1">
      <c r="A2842" s="6"/>
      <c r="B2842" s="20"/>
      <c r="C2842" s="36"/>
      <c r="D2842" s="13"/>
      <c r="E2842" s="13"/>
      <c r="F2842" s="13"/>
      <c r="G2842" s="13"/>
      <c r="H2842" s="13"/>
      <c r="I2842" s="15"/>
      <c r="J2842" s="15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</row>
    <row r="2843" ht="22.5" hidden="1" customHeight="1">
      <c r="A2843" s="6"/>
      <c r="B2843" s="20"/>
      <c r="C2843" s="36"/>
      <c r="D2843" s="13"/>
      <c r="E2843" s="13"/>
      <c r="F2843" s="13"/>
      <c r="G2843" s="13"/>
      <c r="H2843" s="13"/>
      <c r="I2843" s="15"/>
      <c r="J2843" s="15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</row>
    <row r="2844" ht="22.5" hidden="1" customHeight="1">
      <c r="A2844" s="6"/>
      <c r="B2844" s="20"/>
      <c r="C2844" s="36"/>
      <c r="D2844" s="13"/>
      <c r="E2844" s="13"/>
      <c r="F2844" s="13"/>
      <c r="G2844" s="13"/>
      <c r="H2844" s="13"/>
      <c r="I2844" s="15"/>
      <c r="J2844" s="15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</row>
    <row r="2845" ht="22.5" hidden="1" customHeight="1">
      <c r="A2845" s="6"/>
      <c r="B2845" s="20"/>
      <c r="C2845" s="36"/>
      <c r="D2845" s="13"/>
      <c r="E2845" s="13"/>
      <c r="F2845" s="13"/>
      <c r="G2845" s="13"/>
      <c r="H2845" s="13"/>
      <c r="I2845" s="15"/>
      <c r="J2845" s="15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</row>
    <row r="2846" ht="22.5" hidden="1" customHeight="1">
      <c r="A2846" s="6"/>
      <c r="B2846" s="20"/>
      <c r="C2846" s="36"/>
      <c r="D2846" s="13"/>
      <c r="E2846" s="13"/>
      <c r="F2846" s="13"/>
      <c r="G2846" s="13"/>
      <c r="H2846" s="13"/>
      <c r="I2846" s="15"/>
      <c r="J2846" s="15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</row>
    <row r="2847" ht="22.5" hidden="1" customHeight="1">
      <c r="A2847" s="6"/>
      <c r="B2847" s="20"/>
      <c r="C2847" s="36"/>
      <c r="D2847" s="13"/>
      <c r="E2847" s="13"/>
      <c r="F2847" s="13"/>
      <c r="G2847" s="13"/>
      <c r="H2847" s="13"/>
      <c r="I2847" s="15"/>
      <c r="J2847" s="15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</row>
    <row r="2848" ht="22.5" hidden="1" customHeight="1">
      <c r="A2848" s="6"/>
      <c r="B2848" s="20"/>
      <c r="C2848" s="36"/>
      <c r="D2848" s="13"/>
      <c r="E2848" s="13"/>
      <c r="F2848" s="13"/>
      <c r="G2848" s="13"/>
      <c r="H2848" s="13"/>
      <c r="I2848" s="15"/>
      <c r="J2848" s="15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</row>
    <row r="2849" ht="22.5" hidden="1" customHeight="1">
      <c r="A2849" s="6"/>
      <c r="B2849" s="20"/>
      <c r="C2849" s="36"/>
      <c r="D2849" s="13"/>
      <c r="E2849" s="13"/>
      <c r="F2849" s="13"/>
      <c r="G2849" s="13"/>
      <c r="H2849" s="13"/>
      <c r="I2849" s="15"/>
      <c r="J2849" s="15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</row>
    <row r="2850" ht="22.5" hidden="1" customHeight="1">
      <c r="A2850" s="6"/>
      <c r="B2850" s="20"/>
      <c r="C2850" s="36"/>
      <c r="D2850" s="13"/>
      <c r="E2850" s="13"/>
      <c r="F2850" s="13"/>
      <c r="G2850" s="13"/>
      <c r="H2850" s="13"/>
      <c r="I2850" s="15"/>
      <c r="J2850" s="15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</row>
    <row r="2851" ht="22.5" hidden="1" customHeight="1">
      <c r="A2851" s="6"/>
      <c r="B2851" s="20"/>
      <c r="C2851" s="36"/>
      <c r="D2851" s="13"/>
      <c r="E2851" s="13"/>
      <c r="F2851" s="13"/>
      <c r="G2851" s="13"/>
      <c r="H2851" s="13"/>
      <c r="I2851" s="15"/>
      <c r="J2851" s="15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</row>
    <row r="2852" ht="22.5" hidden="1" customHeight="1">
      <c r="A2852" s="6"/>
      <c r="B2852" s="20"/>
      <c r="C2852" s="36"/>
      <c r="D2852" s="13"/>
      <c r="E2852" s="13"/>
      <c r="F2852" s="13"/>
      <c r="G2852" s="13"/>
      <c r="H2852" s="13"/>
      <c r="I2852" s="15"/>
      <c r="J2852" s="15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</row>
    <row r="2853" ht="22.5" hidden="1" customHeight="1">
      <c r="A2853" s="6"/>
      <c r="B2853" s="20"/>
      <c r="C2853" s="36"/>
      <c r="D2853" s="13"/>
      <c r="E2853" s="13"/>
      <c r="F2853" s="13"/>
      <c r="G2853" s="13"/>
      <c r="H2853" s="13"/>
      <c r="I2853" s="15"/>
      <c r="J2853" s="15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</row>
    <row r="2854" ht="22.5" hidden="1" customHeight="1">
      <c r="A2854" s="6"/>
      <c r="B2854" s="20"/>
      <c r="C2854" s="36"/>
      <c r="D2854" s="13"/>
      <c r="E2854" s="13"/>
      <c r="F2854" s="13"/>
      <c r="G2854" s="13"/>
      <c r="H2854" s="13"/>
      <c r="I2854" s="15"/>
      <c r="J2854" s="15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</row>
    <row r="2855" ht="22.5" hidden="1" customHeight="1">
      <c r="A2855" s="6"/>
      <c r="B2855" s="20"/>
      <c r="C2855" s="36"/>
      <c r="D2855" s="13"/>
      <c r="E2855" s="13"/>
      <c r="F2855" s="13"/>
      <c r="G2855" s="13"/>
      <c r="H2855" s="13"/>
      <c r="I2855" s="15"/>
      <c r="J2855" s="15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</row>
    <row r="2856" ht="22.5" hidden="1" customHeight="1">
      <c r="A2856" s="6"/>
      <c r="B2856" s="20"/>
      <c r="C2856" s="36"/>
      <c r="D2856" s="13"/>
      <c r="E2856" s="13"/>
      <c r="F2856" s="13"/>
      <c r="G2856" s="13"/>
      <c r="H2856" s="13"/>
      <c r="I2856" s="15"/>
      <c r="J2856" s="15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</row>
    <row r="2857" ht="22.5" hidden="1" customHeight="1">
      <c r="A2857" s="6"/>
      <c r="B2857" s="20"/>
      <c r="C2857" s="36"/>
      <c r="D2857" s="13"/>
      <c r="E2857" s="13"/>
      <c r="F2857" s="13"/>
      <c r="G2857" s="13"/>
      <c r="H2857" s="13"/>
      <c r="I2857" s="15"/>
      <c r="J2857" s="15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</row>
    <row r="2858" ht="22.5" hidden="1" customHeight="1">
      <c r="A2858" s="6"/>
      <c r="B2858" s="20"/>
      <c r="C2858" s="36"/>
      <c r="D2858" s="13"/>
      <c r="E2858" s="13"/>
      <c r="F2858" s="13"/>
      <c r="G2858" s="13"/>
      <c r="H2858" s="13"/>
      <c r="I2858" s="15"/>
      <c r="J2858" s="15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</row>
    <row r="2859" ht="22.5" hidden="1" customHeight="1">
      <c r="A2859" s="6"/>
      <c r="B2859" s="20"/>
      <c r="C2859" s="36"/>
      <c r="D2859" s="13"/>
      <c r="E2859" s="13"/>
      <c r="F2859" s="13"/>
      <c r="G2859" s="13"/>
      <c r="H2859" s="13"/>
      <c r="I2859" s="15"/>
      <c r="J2859" s="15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</row>
    <row r="2860" ht="22.5" hidden="1" customHeight="1">
      <c r="A2860" s="6"/>
      <c r="B2860" s="20"/>
      <c r="C2860" s="36"/>
      <c r="D2860" s="13"/>
      <c r="E2860" s="13"/>
      <c r="F2860" s="13"/>
      <c r="G2860" s="13"/>
      <c r="H2860" s="13"/>
      <c r="I2860" s="15"/>
      <c r="J2860" s="15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</row>
    <row r="2861" ht="22.5" hidden="1" customHeight="1">
      <c r="A2861" s="6"/>
      <c r="B2861" s="20"/>
      <c r="C2861" s="36"/>
      <c r="D2861" s="13"/>
      <c r="E2861" s="13"/>
      <c r="F2861" s="13"/>
      <c r="G2861" s="13"/>
      <c r="H2861" s="13"/>
      <c r="I2861" s="15"/>
      <c r="J2861" s="15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</row>
    <row r="2862" ht="22.5" hidden="1" customHeight="1">
      <c r="A2862" s="6"/>
      <c r="B2862" s="20"/>
      <c r="C2862" s="36"/>
      <c r="D2862" s="13"/>
      <c r="E2862" s="13"/>
      <c r="F2862" s="13"/>
      <c r="G2862" s="13"/>
      <c r="H2862" s="13"/>
      <c r="I2862" s="15"/>
      <c r="J2862" s="15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</row>
    <row r="2863" ht="22.5" hidden="1" customHeight="1">
      <c r="A2863" s="6"/>
      <c r="B2863" s="20"/>
      <c r="C2863" s="36"/>
      <c r="D2863" s="13"/>
      <c r="E2863" s="13"/>
      <c r="F2863" s="13"/>
      <c r="G2863" s="13"/>
      <c r="H2863" s="13"/>
      <c r="I2863" s="15"/>
      <c r="J2863" s="15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</row>
    <row r="2864" ht="22.5" hidden="1" customHeight="1">
      <c r="A2864" s="6"/>
      <c r="B2864" s="20"/>
      <c r="C2864" s="36"/>
      <c r="D2864" s="13"/>
      <c r="E2864" s="13"/>
      <c r="F2864" s="13"/>
      <c r="G2864" s="13"/>
      <c r="H2864" s="13"/>
      <c r="I2864" s="15"/>
      <c r="J2864" s="15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</row>
    <row r="2865" ht="22.5" hidden="1" customHeight="1">
      <c r="A2865" s="6"/>
      <c r="B2865" s="20"/>
      <c r="C2865" s="36"/>
      <c r="D2865" s="13"/>
      <c r="E2865" s="13"/>
      <c r="F2865" s="13"/>
      <c r="G2865" s="13"/>
      <c r="H2865" s="13"/>
      <c r="I2865" s="15"/>
      <c r="J2865" s="15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</row>
    <row r="2866" ht="22.5" hidden="1" customHeight="1">
      <c r="A2866" s="6"/>
      <c r="B2866" s="20"/>
      <c r="C2866" s="36"/>
      <c r="D2866" s="13"/>
      <c r="E2866" s="13"/>
      <c r="F2866" s="13"/>
      <c r="G2866" s="13"/>
      <c r="H2866" s="13"/>
      <c r="I2866" s="15"/>
      <c r="J2866" s="15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</row>
    <row r="2867" ht="22.5" hidden="1" customHeight="1">
      <c r="A2867" s="6"/>
      <c r="B2867" s="20"/>
      <c r="C2867" s="36"/>
      <c r="D2867" s="13"/>
      <c r="E2867" s="13"/>
      <c r="F2867" s="13"/>
      <c r="G2867" s="13"/>
      <c r="H2867" s="13"/>
      <c r="I2867" s="15"/>
      <c r="J2867" s="15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</row>
    <row r="2868" ht="22.5" hidden="1" customHeight="1">
      <c r="A2868" s="6"/>
      <c r="B2868" s="20"/>
      <c r="C2868" s="36"/>
      <c r="D2868" s="13"/>
      <c r="E2868" s="13"/>
      <c r="F2868" s="13"/>
      <c r="G2868" s="13"/>
      <c r="H2868" s="13"/>
      <c r="I2868" s="15"/>
      <c r="J2868" s="15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</row>
    <row r="2869" ht="22.5" hidden="1" customHeight="1">
      <c r="A2869" s="6"/>
      <c r="B2869" s="20"/>
      <c r="C2869" s="36"/>
      <c r="D2869" s="13"/>
      <c r="E2869" s="13"/>
      <c r="F2869" s="13"/>
      <c r="G2869" s="13"/>
      <c r="H2869" s="13"/>
      <c r="I2869" s="15"/>
      <c r="J2869" s="15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</row>
    <row r="2870" ht="22.5" hidden="1" customHeight="1">
      <c r="A2870" s="6"/>
      <c r="B2870" s="20"/>
      <c r="C2870" s="36"/>
      <c r="D2870" s="13"/>
      <c r="E2870" s="13"/>
      <c r="F2870" s="13"/>
      <c r="G2870" s="13"/>
      <c r="H2870" s="13"/>
      <c r="I2870" s="15"/>
      <c r="J2870" s="15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</row>
    <row r="2871" ht="22.5" hidden="1" customHeight="1">
      <c r="A2871" s="6"/>
      <c r="B2871" s="20"/>
      <c r="C2871" s="36"/>
      <c r="D2871" s="13"/>
      <c r="E2871" s="13"/>
      <c r="F2871" s="13"/>
      <c r="G2871" s="13"/>
      <c r="H2871" s="13"/>
      <c r="I2871" s="15"/>
      <c r="J2871" s="15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</row>
    <row r="2872" ht="22.5" hidden="1" customHeight="1">
      <c r="A2872" s="6"/>
      <c r="B2872" s="20"/>
      <c r="C2872" s="36"/>
      <c r="D2872" s="13"/>
      <c r="E2872" s="13"/>
      <c r="F2872" s="13"/>
      <c r="G2872" s="13"/>
      <c r="H2872" s="13"/>
      <c r="I2872" s="15"/>
      <c r="J2872" s="15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</row>
    <row r="2873" ht="22.5" hidden="1" customHeight="1">
      <c r="A2873" s="6"/>
      <c r="B2873" s="20"/>
      <c r="C2873" s="36"/>
      <c r="D2873" s="13"/>
      <c r="E2873" s="13"/>
      <c r="F2873" s="13"/>
      <c r="G2873" s="13"/>
      <c r="H2873" s="13"/>
      <c r="I2873" s="15"/>
      <c r="J2873" s="15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</row>
    <row r="2874" ht="22.5" hidden="1" customHeight="1">
      <c r="A2874" s="6"/>
      <c r="B2874" s="20"/>
      <c r="C2874" s="36"/>
      <c r="D2874" s="13"/>
      <c r="E2874" s="13"/>
      <c r="F2874" s="13"/>
      <c r="G2874" s="13"/>
      <c r="H2874" s="13"/>
      <c r="I2874" s="15"/>
      <c r="J2874" s="15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</row>
    <row r="2875" ht="22.5" hidden="1" customHeight="1">
      <c r="A2875" s="6"/>
      <c r="B2875" s="20"/>
      <c r="C2875" s="36"/>
      <c r="D2875" s="13"/>
      <c r="E2875" s="13"/>
      <c r="F2875" s="13"/>
      <c r="G2875" s="13"/>
      <c r="H2875" s="13"/>
      <c r="I2875" s="15"/>
      <c r="J2875" s="15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</row>
    <row r="2876" ht="22.5" hidden="1" customHeight="1">
      <c r="A2876" s="6"/>
      <c r="B2876" s="20"/>
      <c r="C2876" s="36"/>
      <c r="D2876" s="13"/>
      <c r="E2876" s="13"/>
      <c r="F2876" s="13"/>
      <c r="G2876" s="13"/>
      <c r="H2876" s="13"/>
      <c r="I2876" s="15"/>
      <c r="J2876" s="15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</row>
    <row r="2877" ht="22.5" hidden="1" customHeight="1">
      <c r="A2877" s="6"/>
      <c r="B2877" s="20"/>
      <c r="C2877" s="36"/>
      <c r="D2877" s="13"/>
      <c r="E2877" s="13"/>
      <c r="F2877" s="13"/>
      <c r="G2877" s="13"/>
      <c r="H2877" s="13"/>
      <c r="I2877" s="15"/>
      <c r="J2877" s="15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</row>
    <row r="2878" ht="22.5" hidden="1" customHeight="1">
      <c r="A2878" s="6"/>
      <c r="B2878" s="20"/>
      <c r="C2878" s="36"/>
      <c r="D2878" s="13"/>
      <c r="E2878" s="13"/>
      <c r="F2878" s="13"/>
      <c r="G2878" s="13"/>
      <c r="H2878" s="13"/>
      <c r="I2878" s="15"/>
      <c r="J2878" s="15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</row>
    <row r="2879" ht="22.5" hidden="1" customHeight="1">
      <c r="A2879" s="6"/>
      <c r="B2879" s="20"/>
      <c r="C2879" s="36"/>
      <c r="D2879" s="13"/>
      <c r="E2879" s="13"/>
      <c r="F2879" s="13"/>
      <c r="G2879" s="13"/>
      <c r="H2879" s="13"/>
      <c r="I2879" s="15"/>
      <c r="J2879" s="15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</row>
    <row r="2880" ht="22.5" hidden="1" customHeight="1">
      <c r="A2880" s="6"/>
      <c r="B2880" s="20"/>
      <c r="C2880" s="36"/>
      <c r="D2880" s="13"/>
      <c r="E2880" s="13"/>
      <c r="F2880" s="13"/>
      <c r="G2880" s="13"/>
      <c r="H2880" s="13"/>
      <c r="I2880" s="15"/>
      <c r="J2880" s="15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</row>
    <row r="2881" ht="22.5" hidden="1" customHeight="1">
      <c r="A2881" s="6"/>
      <c r="B2881" s="20"/>
      <c r="C2881" s="36"/>
      <c r="D2881" s="13"/>
      <c r="E2881" s="13"/>
      <c r="F2881" s="13"/>
      <c r="G2881" s="13"/>
      <c r="H2881" s="13"/>
      <c r="I2881" s="15"/>
      <c r="J2881" s="15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</row>
    <row r="2882" ht="22.5" hidden="1" customHeight="1">
      <c r="A2882" s="6"/>
      <c r="B2882" s="20"/>
      <c r="C2882" s="36"/>
      <c r="D2882" s="13"/>
      <c r="E2882" s="13"/>
      <c r="F2882" s="13"/>
      <c r="G2882" s="13"/>
      <c r="H2882" s="13"/>
      <c r="I2882" s="15"/>
      <c r="J2882" s="15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</row>
    <row r="2883" ht="22.5" hidden="1" customHeight="1">
      <c r="A2883" s="6"/>
      <c r="B2883" s="20"/>
      <c r="C2883" s="36"/>
      <c r="D2883" s="13"/>
      <c r="E2883" s="13"/>
      <c r="F2883" s="13"/>
      <c r="G2883" s="13"/>
      <c r="H2883" s="13"/>
      <c r="I2883" s="15"/>
      <c r="J2883" s="15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</row>
    <row r="2884" ht="22.5" hidden="1" customHeight="1">
      <c r="A2884" s="6"/>
      <c r="B2884" s="20"/>
      <c r="C2884" s="36"/>
      <c r="D2884" s="13"/>
      <c r="E2884" s="13"/>
      <c r="F2884" s="13"/>
      <c r="G2884" s="13"/>
      <c r="H2884" s="13"/>
      <c r="I2884" s="15"/>
      <c r="J2884" s="15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</row>
    <row r="2885" ht="22.5" hidden="1" customHeight="1">
      <c r="A2885" s="6"/>
      <c r="B2885" s="20"/>
      <c r="C2885" s="36"/>
      <c r="D2885" s="13"/>
      <c r="E2885" s="13"/>
      <c r="F2885" s="13"/>
      <c r="G2885" s="13"/>
      <c r="H2885" s="13"/>
      <c r="I2885" s="15"/>
      <c r="J2885" s="15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</row>
    <row r="2886" ht="22.5" hidden="1" customHeight="1">
      <c r="A2886" s="6"/>
      <c r="B2886" s="20"/>
      <c r="C2886" s="36"/>
      <c r="D2886" s="13"/>
      <c r="E2886" s="13"/>
      <c r="F2886" s="13"/>
      <c r="G2886" s="13"/>
      <c r="H2886" s="13"/>
      <c r="I2886" s="15"/>
      <c r="J2886" s="15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</row>
    <row r="2887" ht="22.5" hidden="1" customHeight="1">
      <c r="A2887" s="6"/>
      <c r="B2887" s="20"/>
      <c r="C2887" s="36"/>
      <c r="D2887" s="13"/>
      <c r="E2887" s="13"/>
      <c r="F2887" s="13"/>
      <c r="G2887" s="13"/>
      <c r="H2887" s="13"/>
      <c r="I2887" s="15"/>
      <c r="J2887" s="15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</row>
    <row r="2888" ht="22.5" hidden="1" customHeight="1">
      <c r="A2888" s="6"/>
      <c r="B2888" s="20"/>
      <c r="C2888" s="36"/>
      <c r="D2888" s="13"/>
      <c r="E2888" s="13"/>
      <c r="F2888" s="13"/>
      <c r="G2888" s="13"/>
      <c r="H2888" s="13"/>
      <c r="I2888" s="15"/>
      <c r="J2888" s="15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</row>
    <row r="2889" ht="22.5" hidden="1" customHeight="1">
      <c r="A2889" s="6"/>
      <c r="B2889" s="20"/>
      <c r="C2889" s="36"/>
      <c r="D2889" s="13"/>
      <c r="E2889" s="13"/>
      <c r="F2889" s="13"/>
      <c r="G2889" s="13"/>
      <c r="H2889" s="13"/>
      <c r="I2889" s="15"/>
      <c r="J2889" s="15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</row>
    <row r="2890" ht="22.5" hidden="1" customHeight="1">
      <c r="A2890" s="6"/>
      <c r="B2890" s="20"/>
      <c r="C2890" s="36"/>
      <c r="D2890" s="13"/>
      <c r="E2890" s="13"/>
      <c r="F2890" s="13"/>
      <c r="G2890" s="13"/>
      <c r="H2890" s="13"/>
      <c r="I2890" s="15"/>
      <c r="J2890" s="15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</row>
    <row r="2891" ht="22.5" hidden="1" customHeight="1">
      <c r="A2891" s="6"/>
      <c r="B2891" s="20"/>
      <c r="C2891" s="36"/>
      <c r="D2891" s="13"/>
      <c r="E2891" s="13"/>
      <c r="F2891" s="13"/>
      <c r="G2891" s="13"/>
      <c r="H2891" s="13"/>
      <c r="I2891" s="15"/>
      <c r="J2891" s="15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</row>
    <row r="2892" ht="22.5" hidden="1" customHeight="1">
      <c r="A2892" s="6"/>
      <c r="B2892" s="20"/>
      <c r="C2892" s="36"/>
      <c r="D2892" s="13"/>
      <c r="E2892" s="13"/>
      <c r="F2892" s="13"/>
      <c r="G2892" s="13"/>
      <c r="H2892" s="13"/>
      <c r="I2892" s="15"/>
      <c r="J2892" s="15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</row>
    <row r="2893" ht="22.5" hidden="1" customHeight="1">
      <c r="A2893" s="6"/>
      <c r="B2893" s="20"/>
      <c r="C2893" s="36"/>
      <c r="D2893" s="13"/>
      <c r="E2893" s="13"/>
      <c r="F2893" s="13"/>
      <c r="G2893" s="13"/>
      <c r="H2893" s="13"/>
      <c r="I2893" s="15"/>
      <c r="J2893" s="15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</row>
    <row r="2894" ht="22.5" hidden="1" customHeight="1">
      <c r="A2894" s="6"/>
      <c r="B2894" s="20"/>
      <c r="C2894" s="36"/>
      <c r="D2894" s="13"/>
      <c r="E2894" s="13"/>
      <c r="F2894" s="13"/>
      <c r="G2894" s="13"/>
      <c r="H2894" s="13"/>
      <c r="I2894" s="15"/>
      <c r="J2894" s="15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</row>
    <row r="2895" ht="22.5" hidden="1" customHeight="1">
      <c r="A2895" s="6"/>
      <c r="B2895" s="20"/>
      <c r="C2895" s="36"/>
      <c r="D2895" s="13"/>
      <c r="E2895" s="13"/>
      <c r="F2895" s="13"/>
      <c r="G2895" s="13"/>
      <c r="H2895" s="13"/>
      <c r="I2895" s="15"/>
      <c r="J2895" s="15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</row>
    <row r="2896" ht="22.5" hidden="1" customHeight="1">
      <c r="A2896" s="6"/>
      <c r="B2896" s="20"/>
      <c r="C2896" s="36"/>
      <c r="D2896" s="13"/>
      <c r="E2896" s="13"/>
      <c r="F2896" s="13"/>
      <c r="G2896" s="13"/>
      <c r="H2896" s="13"/>
      <c r="I2896" s="15"/>
      <c r="J2896" s="15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</row>
    <row r="2897" ht="22.5" hidden="1" customHeight="1">
      <c r="A2897" s="6"/>
      <c r="B2897" s="20"/>
      <c r="C2897" s="36"/>
      <c r="D2897" s="13"/>
      <c r="E2897" s="13"/>
      <c r="F2897" s="13"/>
      <c r="G2897" s="13"/>
      <c r="H2897" s="13"/>
      <c r="I2897" s="15"/>
      <c r="J2897" s="15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</row>
    <row r="2898" ht="22.5" hidden="1" customHeight="1">
      <c r="A2898" s="6"/>
      <c r="B2898" s="20"/>
      <c r="C2898" s="36"/>
      <c r="D2898" s="13"/>
      <c r="E2898" s="13"/>
      <c r="F2898" s="13"/>
      <c r="G2898" s="13"/>
      <c r="H2898" s="13"/>
      <c r="I2898" s="15"/>
      <c r="J2898" s="15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</row>
    <row r="2899" ht="22.5" hidden="1" customHeight="1">
      <c r="A2899" s="6"/>
      <c r="B2899" s="20"/>
      <c r="C2899" s="36"/>
      <c r="D2899" s="13"/>
      <c r="E2899" s="13"/>
      <c r="F2899" s="13"/>
      <c r="G2899" s="13"/>
      <c r="H2899" s="13"/>
      <c r="I2899" s="15"/>
      <c r="J2899" s="15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</row>
    <row r="2900" ht="22.5" hidden="1" customHeight="1">
      <c r="A2900" s="6"/>
      <c r="B2900" s="20"/>
      <c r="C2900" s="36"/>
      <c r="D2900" s="13"/>
      <c r="E2900" s="13"/>
      <c r="F2900" s="13"/>
      <c r="G2900" s="13"/>
      <c r="H2900" s="13"/>
      <c r="I2900" s="15"/>
      <c r="J2900" s="15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</row>
    <row r="2901" ht="22.5" hidden="1" customHeight="1">
      <c r="A2901" s="6"/>
      <c r="B2901" s="20"/>
      <c r="C2901" s="36"/>
      <c r="D2901" s="13"/>
      <c r="E2901" s="13"/>
      <c r="F2901" s="13"/>
      <c r="G2901" s="13"/>
      <c r="H2901" s="13"/>
      <c r="I2901" s="15"/>
      <c r="J2901" s="15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</row>
    <row r="2902" ht="22.5" hidden="1" customHeight="1">
      <c r="A2902" s="6"/>
      <c r="B2902" s="20"/>
      <c r="C2902" s="36"/>
      <c r="D2902" s="13"/>
      <c r="E2902" s="13"/>
      <c r="F2902" s="13"/>
      <c r="G2902" s="13"/>
      <c r="H2902" s="13"/>
      <c r="I2902" s="15"/>
      <c r="J2902" s="15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</row>
    <row r="2903" ht="22.5" hidden="1" customHeight="1">
      <c r="A2903" s="6"/>
      <c r="B2903" s="20"/>
      <c r="C2903" s="36"/>
      <c r="D2903" s="13"/>
      <c r="E2903" s="13"/>
      <c r="F2903" s="13"/>
      <c r="G2903" s="13"/>
      <c r="H2903" s="13"/>
      <c r="I2903" s="15"/>
      <c r="J2903" s="15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</row>
    <row r="2904" ht="22.5" hidden="1" customHeight="1">
      <c r="A2904" s="6"/>
      <c r="B2904" s="20"/>
      <c r="C2904" s="36"/>
      <c r="D2904" s="13"/>
      <c r="E2904" s="13"/>
      <c r="F2904" s="13"/>
      <c r="G2904" s="13"/>
      <c r="H2904" s="13"/>
      <c r="I2904" s="15"/>
      <c r="J2904" s="15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</row>
    <row r="2905" ht="22.5" hidden="1" customHeight="1">
      <c r="A2905" s="6"/>
      <c r="B2905" s="20"/>
      <c r="C2905" s="36"/>
      <c r="D2905" s="13"/>
      <c r="E2905" s="13"/>
      <c r="F2905" s="13"/>
      <c r="G2905" s="13"/>
      <c r="H2905" s="13"/>
      <c r="I2905" s="15"/>
      <c r="J2905" s="15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</row>
    <row r="2906" ht="22.5" hidden="1" customHeight="1">
      <c r="A2906" s="6"/>
      <c r="B2906" s="20"/>
      <c r="C2906" s="36"/>
      <c r="D2906" s="13"/>
      <c r="E2906" s="13"/>
      <c r="F2906" s="13"/>
      <c r="G2906" s="13"/>
      <c r="H2906" s="13"/>
      <c r="I2906" s="15"/>
      <c r="J2906" s="15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</row>
    <row r="2907" ht="22.5" hidden="1" customHeight="1">
      <c r="A2907" s="6"/>
      <c r="B2907" s="20"/>
      <c r="C2907" s="36"/>
      <c r="D2907" s="13"/>
      <c r="E2907" s="13"/>
      <c r="F2907" s="13"/>
      <c r="G2907" s="13"/>
      <c r="H2907" s="13"/>
      <c r="I2907" s="15"/>
      <c r="J2907" s="15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</row>
    <row r="2908" ht="22.5" hidden="1" customHeight="1">
      <c r="A2908" s="6"/>
      <c r="B2908" s="20"/>
      <c r="C2908" s="36"/>
      <c r="D2908" s="13"/>
      <c r="E2908" s="13"/>
      <c r="F2908" s="13"/>
      <c r="G2908" s="13"/>
      <c r="H2908" s="13"/>
      <c r="I2908" s="15"/>
      <c r="J2908" s="15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</row>
    <row r="2909" ht="22.5" hidden="1" customHeight="1">
      <c r="A2909" s="6"/>
      <c r="B2909" s="20"/>
      <c r="C2909" s="36"/>
      <c r="D2909" s="13"/>
      <c r="E2909" s="13"/>
      <c r="F2909" s="13"/>
      <c r="G2909" s="13"/>
      <c r="H2909" s="13"/>
      <c r="I2909" s="15"/>
      <c r="J2909" s="15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</row>
    <row r="2910" ht="22.5" hidden="1" customHeight="1">
      <c r="A2910" s="6"/>
      <c r="B2910" s="20"/>
      <c r="C2910" s="36"/>
      <c r="D2910" s="13"/>
      <c r="E2910" s="13"/>
      <c r="F2910" s="13"/>
      <c r="G2910" s="13"/>
      <c r="H2910" s="13"/>
      <c r="I2910" s="15"/>
      <c r="J2910" s="15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</row>
    <row r="2911" ht="22.5" hidden="1" customHeight="1">
      <c r="A2911" s="6"/>
      <c r="B2911" s="20"/>
      <c r="C2911" s="36"/>
      <c r="D2911" s="13"/>
      <c r="E2911" s="13"/>
      <c r="F2911" s="13"/>
      <c r="G2911" s="13"/>
      <c r="H2911" s="13"/>
      <c r="I2911" s="15"/>
      <c r="J2911" s="15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</row>
    <row r="2912" ht="22.5" hidden="1" customHeight="1">
      <c r="A2912" s="6"/>
      <c r="B2912" s="20"/>
      <c r="C2912" s="36"/>
      <c r="D2912" s="13"/>
      <c r="E2912" s="13"/>
      <c r="F2912" s="13"/>
      <c r="G2912" s="13"/>
      <c r="H2912" s="13"/>
      <c r="I2912" s="15"/>
      <c r="J2912" s="15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</row>
    <row r="2913" ht="22.5" hidden="1" customHeight="1">
      <c r="A2913" s="6"/>
      <c r="B2913" s="20"/>
      <c r="C2913" s="36"/>
      <c r="D2913" s="13"/>
      <c r="E2913" s="13"/>
      <c r="F2913" s="13"/>
      <c r="G2913" s="13"/>
      <c r="H2913" s="13"/>
      <c r="I2913" s="15"/>
      <c r="J2913" s="15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</row>
    <row r="2914" ht="22.5" hidden="1" customHeight="1">
      <c r="A2914" s="6"/>
      <c r="B2914" s="20"/>
      <c r="C2914" s="36"/>
      <c r="D2914" s="13"/>
      <c r="E2914" s="13"/>
      <c r="F2914" s="13"/>
      <c r="G2914" s="13"/>
      <c r="H2914" s="13"/>
      <c r="I2914" s="15"/>
      <c r="J2914" s="15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</row>
    <row r="2915" ht="22.5" hidden="1" customHeight="1">
      <c r="A2915" s="6"/>
      <c r="B2915" s="20"/>
      <c r="C2915" s="36"/>
      <c r="D2915" s="13"/>
      <c r="E2915" s="13"/>
      <c r="F2915" s="13"/>
      <c r="G2915" s="13"/>
      <c r="H2915" s="13"/>
      <c r="I2915" s="15"/>
      <c r="J2915" s="15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</row>
    <row r="2916" ht="22.5" hidden="1" customHeight="1">
      <c r="A2916" s="6"/>
      <c r="B2916" s="20"/>
      <c r="C2916" s="36"/>
      <c r="D2916" s="13"/>
      <c r="E2916" s="13"/>
      <c r="F2916" s="13"/>
      <c r="G2916" s="13"/>
      <c r="H2916" s="13"/>
      <c r="I2916" s="15"/>
      <c r="J2916" s="15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</row>
    <row r="2917" ht="22.5" hidden="1" customHeight="1">
      <c r="A2917" s="6"/>
      <c r="B2917" s="20"/>
      <c r="C2917" s="36"/>
      <c r="D2917" s="13"/>
      <c r="E2917" s="13"/>
      <c r="F2917" s="13"/>
      <c r="G2917" s="13"/>
      <c r="H2917" s="13"/>
      <c r="I2917" s="15"/>
      <c r="J2917" s="15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</row>
    <row r="2918" ht="22.5" hidden="1" customHeight="1">
      <c r="A2918" s="6"/>
      <c r="B2918" s="20"/>
      <c r="C2918" s="36"/>
      <c r="D2918" s="13"/>
      <c r="E2918" s="13"/>
      <c r="F2918" s="13"/>
      <c r="G2918" s="13"/>
      <c r="H2918" s="13"/>
      <c r="I2918" s="15"/>
      <c r="J2918" s="15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</row>
    <row r="2919" ht="22.5" hidden="1" customHeight="1">
      <c r="A2919" s="6"/>
      <c r="B2919" s="20"/>
      <c r="C2919" s="36"/>
      <c r="D2919" s="13"/>
      <c r="E2919" s="13"/>
      <c r="F2919" s="13"/>
      <c r="G2919" s="13"/>
      <c r="H2919" s="13"/>
      <c r="I2919" s="15"/>
      <c r="J2919" s="15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</row>
    <row r="2920" ht="22.5" hidden="1" customHeight="1">
      <c r="A2920" s="6"/>
      <c r="B2920" s="20"/>
      <c r="C2920" s="36"/>
      <c r="D2920" s="13"/>
      <c r="E2920" s="13"/>
      <c r="F2920" s="13"/>
      <c r="G2920" s="13"/>
      <c r="H2920" s="13"/>
      <c r="I2920" s="15"/>
      <c r="J2920" s="15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</row>
    <row r="2921" ht="22.5" hidden="1" customHeight="1">
      <c r="A2921" s="6"/>
      <c r="B2921" s="20"/>
      <c r="C2921" s="36"/>
      <c r="D2921" s="13"/>
      <c r="E2921" s="13"/>
      <c r="F2921" s="13"/>
      <c r="G2921" s="13"/>
      <c r="H2921" s="13"/>
      <c r="I2921" s="15"/>
      <c r="J2921" s="15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</row>
    <row r="2922" ht="22.5" hidden="1" customHeight="1">
      <c r="A2922" s="6"/>
      <c r="B2922" s="20"/>
      <c r="C2922" s="36"/>
      <c r="D2922" s="13"/>
      <c r="E2922" s="13"/>
      <c r="F2922" s="13"/>
      <c r="G2922" s="13"/>
      <c r="H2922" s="13"/>
      <c r="I2922" s="15"/>
      <c r="J2922" s="15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</row>
    <row r="2923" ht="22.5" hidden="1" customHeight="1">
      <c r="A2923" s="6"/>
      <c r="B2923" s="20"/>
      <c r="C2923" s="36"/>
      <c r="D2923" s="13"/>
      <c r="E2923" s="13"/>
      <c r="F2923" s="13"/>
      <c r="G2923" s="13"/>
      <c r="H2923" s="13"/>
      <c r="I2923" s="15"/>
      <c r="J2923" s="15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</row>
    <row r="2924" ht="22.5" hidden="1" customHeight="1">
      <c r="A2924" s="6"/>
      <c r="B2924" s="20"/>
      <c r="C2924" s="36"/>
      <c r="D2924" s="13"/>
      <c r="E2924" s="13"/>
      <c r="F2924" s="13"/>
      <c r="G2924" s="13"/>
      <c r="H2924" s="13"/>
      <c r="I2924" s="15"/>
      <c r="J2924" s="15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</row>
    <row r="2925" ht="22.5" hidden="1" customHeight="1">
      <c r="A2925" s="6"/>
      <c r="B2925" s="20"/>
      <c r="C2925" s="36"/>
      <c r="D2925" s="13"/>
      <c r="E2925" s="13"/>
      <c r="F2925" s="13"/>
      <c r="G2925" s="13"/>
      <c r="H2925" s="13"/>
      <c r="I2925" s="15"/>
      <c r="J2925" s="15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</row>
    <row r="2926" ht="22.5" hidden="1" customHeight="1">
      <c r="A2926" s="6"/>
      <c r="B2926" s="20"/>
      <c r="C2926" s="36"/>
      <c r="D2926" s="13"/>
      <c r="E2926" s="13"/>
      <c r="F2926" s="13"/>
      <c r="G2926" s="13"/>
      <c r="H2926" s="13"/>
      <c r="I2926" s="15"/>
      <c r="J2926" s="15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</row>
    <row r="2927" ht="22.5" hidden="1" customHeight="1">
      <c r="A2927" s="6"/>
      <c r="B2927" s="20"/>
      <c r="C2927" s="36"/>
      <c r="D2927" s="13"/>
      <c r="E2927" s="13"/>
      <c r="F2927" s="13"/>
      <c r="G2927" s="13"/>
      <c r="H2927" s="13"/>
      <c r="I2927" s="15"/>
      <c r="J2927" s="15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</row>
    <row r="2928" ht="22.5" hidden="1" customHeight="1">
      <c r="A2928" s="6"/>
      <c r="B2928" s="20"/>
      <c r="C2928" s="36"/>
      <c r="D2928" s="13"/>
      <c r="E2928" s="13"/>
      <c r="F2928" s="13"/>
      <c r="G2928" s="13"/>
      <c r="H2928" s="13"/>
      <c r="I2928" s="15"/>
      <c r="J2928" s="15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</row>
    <row r="2929" ht="22.5" hidden="1" customHeight="1">
      <c r="A2929" s="6"/>
      <c r="B2929" s="20"/>
      <c r="C2929" s="36"/>
      <c r="D2929" s="13"/>
      <c r="E2929" s="13"/>
      <c r="F2929" s="13"/>
      <c r="G2929" s="13"/>
      <c r="H2929" s="13"/>
      <c r="I2929" s="15"/>
      <c r="J2929" s="15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</row>
    <row r="2930" ht="22.5" hidden="1" customHeight="1">
      <c r="A2930" s="35">
        <v>1149.0</v>
      </c>
      <c r="B2930" s="16">
        <v>112.0</v>
      </c>
      <c r="C2930" s="41" t="s">
        <v>1163</v>
      </c>
      <c r="D2930" s="9" t="s">
        <v>1321</v>
      </c>
      <c r="E2930" s="9" t="s">
        <v>4224</v>
      </c>
      <c r="F2930" s="9" t="s">
        <v>1323</v>
      </c>
      <c r="G2930" s="9" t="s">
        <v>1324</v>
      </c>
      <c r="H2930" s="9" t="s">
        <v>4225</v>
      </c>
      <c r="I2930" s="15"/>
      <c r="J2930" s="15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</row>
    <row r="2931" ht="22.5" hidden="1" customHeight="1">
      <c r="A2931" s="35">
        <v>1150.0</v>
      </c>
      <c r="B2931" s="16">
        <v>112.0</v>
      </c>
      <c r="C2931" s="41" t="s">
        <v>1163</v>
      </c>
      <c r="D2931" s="9" t="s">
        <v>1429</v>
      </c>
      <c r="E2931" s="9" t="s">
        <v>4226</v>
      </c>
      <c r="F2931" s="9" t="s">
        <v>1431</v>
      </c>
      <c r="G2931" s="9" t="s">
        <v>1432</v>
      </c>
      <c r="H2931" s="9" t="s">
        <v>4227</v>
      </c>
      <c r="I2931" s="15"/>
      <c r="J2931" s="15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</row>
    <row r="2932" ht="22.5" hidden="1" customHeight="1">
      <c r="A2932" s="35">
        <v>1151.0</v>
      </c>
      <c r="B2932" s="16">
        <v>112.0</v>
      </c>
      <c r="C2932" s="41" t="s">
        <v>1163</v>
      </c>
      <c r="D2932" s="9" t="s">
        <v>1614</v>
      </c>
      <c r="E2932" s="9" t="s">
        <v>4228</v>
      </c>
      <c r="F2932" s="9" t="s">
        <v>47</v>
      </c>
      <c r="G2932" s="9" t="s">
        <v>48</v>
      </c>
      <c r="H2932" s="9" t="s">
        <v>4229</v>
      </c>
      <c r="I2932" s="15"/>
      <c r="J2932" s="15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</row>
    <row r="2933" ht="22.5" hidden="1" customHeight="1">
      <c r="A2933" s="35">
        <v>1152.0</v>
      </c>
      <c r="B2933" s="16">
        <v>112.0</v>
      </c>
      <c r="C2933" s="41" t="s">
        <v>1163</v>
      </c>
      <c r="D2933" s="9" t="s">
        <v>1501</v>
      </c>
      <c r="E2933" s="9" t="s">
        <v>4230</v>
      </c>
      <c r="F2933" s="9" t="s">
        <v>1000</v>
      </c>
      <c r="G2933" s="9" t="s">
        <v>1694</v>
      </c>
      <c r="H2933" s="9" t="s">
        <v>4231</v>
      </c>
      <c r="I2933" s="15"/>
      <c r="J2933" s="15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</row>
    <row r="2934" ht="22.5" hidden="1" customHeight="1">
      <c r="A2934" s="35">
        <v>1153.0</v>
      </c>
      <c r="B2934" s="16">
        <v>112.0</v>
      </c>
      <c r="C2934" s="41" t="s">
        <v>1163</v>
      </c>
      <c r="D2934" s="9" t="s">
        <v>4232</v>
      </c>
      <c r="E2934" s="9" t="s">
        <v>4233</v>
      </c>
      <c r="F2934" s="9" t="s">
        <v>4234</v>
      </c>
      <c r="G2934" s="9" t="s">
        <v>4235</v>
      </c>
      <c r="H2934" s="9" t="s">
        <v>4236</v>
      </c>
      <c r="I2934" s="15"/>
      <c r="J2934" s="15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</row>
    <row r="2935" ht="22.5" customHeight="1">
      <c r="A2935" s="35">
        <v>1154.0</v>
      </c>
      <c r="B2935" s="16">
        <v>112.0</v>
      </c>
      <c r="C2935" s="41" t="s">
        <v>1168</v>
      </c>
      <c r="D2935" s="9" t="s">
        <v>4237</v>
      </c>
      <c r="E2935" s="9" t="s">
        <v>3444</v>
      </c>
      <c r="F2935" s="9" t="s">
        <v>4238</v>
      </c>
      <c r="G2935" s="9" t="s">
        <v>4239</v>
      </c>
      <c r="H2935" s="9" t="s">
        <v>4240</v>
      </c>
      <c r="I2935" s="15"/>
      <c r="J2935" s="15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</row>
    <row r="2936" ht="22.5" customHeight="1">
      <c r="A2936" s="35">
        <v>1155.0</v>
      </c>
      <c r="B2936" s="16">
        <v>112.0</v>
      </c>
      <c r="C2936" s="41" t="s">
        <v>1168</v>
      </c>
      <c r="D2936" s="9" t="s">
        <v>2981</v>
      </c>
      <c r="E2936" s="9" t="s">
        <v>3836</v>
      </c>
      <c r="F2936" s="9" t="s">
        <v>2982</v>
      </c>
      <c r="G2936" s="9" t="s">
        <v>2983</v>
      </c>
      <c r="H2936" s="9" t="s">
        <v>2844</v>
      </c>
      <c r="I2936" s="15"/>
      <c r="J2936" s="15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</row>
    <row r="2937" ht="22.5" customHeight="1">
      <c r="A2937" s="35">
        <v>1156.0</v>
      </c>
      <c r="B2937" s="16">
        <v>112.0</v>
      </c>
      <c r="C2937" s="41" t="s">
        <v>1168</v>
      </c>
      <c r="D2937" s="9" t="s">
        <v>4241</v>
      </c>
      <c r="E2937" s="9" t="s">
        <v>2145</v>
      </c>
      <c r="F2937" s="9" t="s">
        <v>4242</v>
      </c>
      <c r="G2937" s="9" t="s">
        <v>4243</v>
      </c>
      <c r="H2937" s="9" t="s">
        <v>1536</v>
      </c>
      <c r="I2937" s="15"/>
      <c r="J2937" s="15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</row>
    <row r="2938" ht="22.5" customHeight="1">
      <c r="A2938" s="35">
        <v>1157.0</v>
      </c>
      <c r="B2938" s="16">
        <v>112.0</v>
      </c>
      <c r="C2938" s="41" t="s">
        <v>1168</v>
      </c>
      <c r="D2938" s="9" t="s">
        <v>1519</v>
      </c>
      <c r="E2938" s="9" t="s">
        <v>1520</v>
      </c>
      <c r="F2938" s="9" t="s">
        <v>1521</v>
      </c>
      <c r="G2938" s="9" t="s">
        <v>1522</v>
      </c>
      <c r="H2938" s="9" t="s">
        <v>1523</v>
      </c>
      <c r="I2938" s="15"/>
      <c r="J2938" s="15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</row>
    <row r="2939" ht="22.5" customHeight="1">
      <c r="A2939" s="35">
        <v>1158.0</v>
      </c>
      <c r="B2939" s="16">
        <v>112.0</v>
      </c>
      <c r="C2939" s="41" t="s">
        <v>1168</v>
      </c>
      <c r="D2939" s="9" t="s">
        <v>1476</v>
      </c>
      <c r="E2939" s="9" t="s">
        <v>4244</v>
      </c>
      <c r="F2939" s="9" t="s">
        <v>435</v>
      </c>
      <c r="G2939" s="9" t="s">
        <v>436</v>
      </c>
      <c r="H2939" s="9" t="s">
        <v>1283</v>
      </c>
      <c r="I2939" s="15"/>
      <c r="J2939" s="15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</row>
    <row r="2940" ht="22.5" customHeight="1">
      <c r="A2940" s="35">
        <v>1159.0</v>
      </c>
      <c r="B2940" s="16">
        <v>112.0</v>
      </c>
      <c r="C2940" s="41" t="s">
        <v>1218</v>
      </c>
      <c r="D2940" s="9" t="s">
        <v>1227</v>
      </c>
      <c r="E2940" s="9" t="s">
        <v>4245</v>
      </c>
      <c r="F2940" s="9" t="s">
        <v>4246</v>
      </c>
      <c r="G2940" s="9" t="s">
        <v>4247</v>
      </c>
      <c r="H2940" s="9" t="s">
        <v>4248</v>
      </c>
      <c r="I2940" s="15"/>
      <c r="J2940" s="15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</row>
    <row r="2941" ht="22.5" customHeight="1">
      <c r="A2941" s="35">
        <v>1160.0</v>
      </c>
      <c r="B2941" s="16">
        <v>112.0</v>
      </c>
      <c r="C2941" s="41" t="s">
        <v>1218</v>
      </c>
      <c r="D2941" s="9" t="s">
        <v>4249</v>
      </c>
      <c r="E2941" s="9" t="s">
        <v>4250</v>
      </c>
      <c r="F2941" s="9" t="s">
        <v>4251</v>
      </c>
      <c r="G2941" s="9" t="s">
        <v>4252</v>
      </c>
      <c r="H2941" s="9" t="s">
        <v>4253</v>
      </c>
      <c r="I2941" s="15"/>
      <c r="J2941" s="15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</row>
    <row r="2942" ht="22.5" customHeight="1">
      <c r="A2942" s="35">
        <v>1161.0</v>
      </c>
      <c r="B2942" s="16">
        <v>112.0</v>
      </c>
      <c r="C2942" s="41" t="s">
        <v>1218</v>
      </c>
      <c r="D2942" s="9" t="s">
        <v>1622</v>
      </c>
      <c r="E2942" s="9" t="s">
        <v>4254</v>
      </c>
      <c r="F2942" s="9" t="s">
        <v>1574</v>
      </c>
      <c r="G2942" s="9" t="s">
        <v>2027</v>
      </c>
      <c r="H2942" s="9" t="s">
        <v>4255</v>
      </c>
      <c r="I2942" s="15"/>
      <c r="J2942" s="15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</row>
    <row r="2943" ht="22.5" customHeight="1">
      <c r="A2943" s="35">
        <v>1162.0</v>
      </c>
      <c r="B2943" s="16">
        <v>112.0</v>
      </c>
      <c r="C2943" s="41" t="s">
        <v>1218</v>
      </c>
      <c r="D2943" s="9" t="s">
        <v>1270</v>
      </c>
      <c r="E2943" s="9" t="s">
        <v>4256</v>
      </c>
      <c r="F2943" s="9" t="s">
        <v>1272</v>
      </c>
      <c r="G2943" s="9" t="s">
        <v>1987</v>
      </c>
      <c r="H2943" s="9" t="s">
        <v>1274</v>
      </c>
      <c r="I2943" s="15"/>
      <c r="J2943" s="15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</row>
    <row r="2944" ht="22.5" customHeight="1">
      <c r="A2944" s="35">
        <v>1163.0</v>
      </c>
      <c r="B2944" s="16">
        <v>112.0</v>
      </c>
      <c r="C2944" s="41" t="s">
        <v>1218</v>
      </c>
      <c r="D2944" s="9" t="s">
        <v>4257</v>
      </c>
      <c r="E2944" s="9" t="s">
        <v>4258</v>
      </c>
      <c r="F2944" s="9" t="s">
        <v>4259</v>
      </c>
      <c r="G2944" s="9" t="s">
        <v>4260</v>
      </c>
      <c r="H2944" s="9" t="s">
        <v>4261</v>
      </c>
      <c r="I2944" s="15"/>
      <c r="J2944" s="15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</row>
    <row r="2945" ht="22.5" hidden="1" customHeight="1">
      <c r="A2945" s="6"/>
      <c r="B2945" s="20"/>
      <c r="C2945" s="36"/>
      <c r="D2945" s="13"/>
      <c r="E2945" s="13"/>
      <c r="F2945" s="13"/>
      <c r="G2945" s="13"/>
      <c r="H2945" s="13"/>
      <c r="I2945" s="15"/>
      <c r="J2945" s="15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</row>
    <row r="2946" ht="22.5" hidden="1" customHeight="1">
      <c r="A2946" s="6"/>
      <c r="B2946" s="20"/>
      <c r="C2946" s="36"/>
      <c r="D2946" s="13"/>
      <c r="E2946" s="13"/>
      <c r="F2946" s="13"/>
      <c r="G2946" s="13"/>
      <c r="H2946" s="13"/>
      <c r="I2946" s="15"/>
      <c r="J2946" s="15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</row>
    <row r="2947" ht="22.5" hidden="1" customHeight="1">
      <c r="A2947" s="6"/>
      <c r="B2947" s="20"/>
      <c r="C2947" s="36"/>
      <c r="D2947" s="13"/>
      <c r="E2947" s="13"/>
      <c r="F2947" s="13"/>
      <c r="G2947" s="13"/>
      <c r="H2947" s="13"/>
      <c r="I2947" s="15"/>
      <c r="J2947" s="15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</row>
    <row r="2948" ht="22.5" hidden="1" customHeight="1">
      <c r="A2948" s="6"/>
      <c r="B2948" s="20"/>
      <c r="C2948" s="36"/>
      <c r="D2948" s="13"/>
      <c r="E2948" s="13"/>
      <c r="F2948" s="13"/>
      <c r="G2948" s="13"/>
      <c r="H2948" s="13"/>
      <c r="I2948" s="15"/>
      <c r="J2948" s="15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</row>
    <row r="2949" ht="22.5" hidden="1" customHeight="1">
      <c r="A2949" s="6"/>
      <c r="B2949" s="20"/>
      <c r="C2949" s="36"/>
      <c r="D2949" s="13"/>
      <c r="E2949" s="13"/>
      <c r="F2949" s="13"/>
      <c r="G2949" s="13"/>
      <c r="H2949" s="13"/>
      <c r="I2949" s="15"/>
      <c r="J2949" s="15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</row>
    <row r="2950" ht="22.5" hidden="1" customHeight="1">
      <c r="A2950" s="6"/>
      <c r="B2950" s="20"/>
      <c r="C2950" s="36"/>
      <c r="D2950" s="13"/>
      <c r="E2950" s="13"/>
      <c r="F2950" s="13"/>
      <c r="G2950" s="13"/>
      <c r="H2950" s="13"/>
      <c r="I2950" s="15"/>
      <c r="J2950" s="15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</row>
    <row r="2951" ht="22.5" hidden="1" customHeight="1">
      <c r="A2951" s="6"/>
      <c r="B2951" s="20"/>
      <c r="C2951" s="36"/>
      <c r="D2951" s="13"/>
      <c r="E2951" s="13"/>
      <c r="F2951" s="13"/>
      <c r="G2951" s="13"/>
      <c r="H2951" s="13"/>
      <c r="I2951" s="15"/>
      <c r="J2951" s="15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</row>
    <row r="2952" ht="22.5" hidden="1" customHeight="1">
      <c r="A2952" s="6"/>
      <c r="B2952" s="20"/>
      <c r="C2952" s="36"/>
      <c r="D2952" s="13"/>
      <c r="E2952" s="13"/>
      <c r="F2952" s="13"/>
      <c r="G2952" s="13"/>
      <c r="H2952" s="13"/>
      <c r="I2952" s="15"/>
      <c r="J2952" s="15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</row>
    <row r="2953" ht="22.5" hidden="1" customHeight="1">
      <c r="A2953" s="6"/>
      <c r="B2953" s="20"/>
      <c r="C2953" s="36"/>
      <c r="D2953" s="13"/>
      <c r="E2953" s="13"/>
      <c r="F2953" s="13"/>
      <c r="G2953" s="13"/>
      <c r="H2953" s="13"/>
      <c r="I2953" s="15"/>
      <c r="J2953" s="15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</row>
    <row r="2954" ht="22.5" hidden="1" customHeight="1">
      <c r="A2954" s="6"/>
      <c r="B2954" s="20"/>
      <c r="C2954" s="36"/>
      <c r="D2954" s="13"/>
      <c r="E2954" s="13"/>
      <c r="F2954" s="13"/>
      <c r="G2954" s="13"/>
      <c r="H2954" s="13"/>
      <c r="I2954" s="15"/>
      <c r="J2954" s="15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</row>
    <row r="2955" ht="22.5" hidden="1" customHeight="1">
      <c r="A2955" s="6"/>
      <c r="B2955" s="20"/>
      <c r="C2955" s="36"/>
      <c r="D2955" s="13"/>
      <c r="E2955" s="13"/>
      <c r="F2955" s="13"/>
      <c r="G2955" s="13"/>
      <c r="H2955" s="13"/>
      <c r="I2955" s="15"/>
      <c r="J2955" s="15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</row>
    <row r="2956" ht="22.5" hidden="1" customHeight="1">
      <c r="A2956" s="6"/>
      <c r="B2956" s="20"/>
      <c r="C2956" s="36"/>
      <c r="D2956" s="13"/>
      <c r="E2956" s="13"/>
      <c r="F2956" s="13"/>
      <c r="G2956" s="13"/>
      <c r="H2956" s="13"/>
      <c r="I2956" s="15"/>
      <c r="J2956" s="15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</row>
    <row r="2957" ht="22.5" hidden="1" customHeight="1">
      <c r="A2957" s="6"/>
      <c r="B2957" s="20"/>
      <c r="C2957" s="36"/>
      <c r="D2957" s="13"/>
      <c r="E2957" s="13"/>
      <c r="F2957" s="13"/>
      <c r="G2957" s="13"/>
      <c r="H2957" s="13"/>
      <c r="I2957" s="15"/>
      <c r="J2957" s="15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</row>
    <row r="2958" ht="22.5" hidden="1" customHeight="1">
      <c r="A2958" s="6"/>
      <c r="B2958" s="20"/>
      <c r="C2958" s="36"/>
      <c r="D2958" s="13"/>
      <c r="E2958" s="13"/>
      <c r="F2958" s="13"/>
      <c r="G2958" s="13"/>
      <c r="H2958" s="13"/>
      <c r="I2958" s="15"/>
      <c r="J2958" s="15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</row>
    <row r="2959" ht="22.5" hidden="1" customHeight="1">
      <c r="A2959" s="6"/>
      <c r="B2959" s="20"/>
      <c r="C2959" s="36"/>
      <c r="D2959" s="13"/>
      <c r="E2959" s="13"/>
      <c r="F2959" s="13"/>
      <c r="G2959" s="13"/>
      <c r="H2959" s="13"/>
      <c r="I2959" s="15"/>
      <c r="J2959" s="15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</row>
    <row r="2960" ht="22.5" hidden="1" customHeight="1">
      <c r="A2960" s="6"/>
      <c r="B2960" s="20"/>
      <c r="C2960" s="36"/>
      <c r="D2960" s="13"/>
      <c r="E2960" s="13"/>
      <c r="F2960" s="13"/>
      <c r="G2960" s="13"/>
      <c r="H2960" s="13"/>
      <c r="I2960" s="15"/>
      <c r="J2960" s="15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</row>
    <row r="2961" ht="22.5" hidden="1" customHeight="1">
      <c r="A2961" s="6"/>
      <c r="B2961" s="20"/>
      <c r="C2961" s="36"/>
      <c r="D2961" s="13"/>
      <c r="E2961" s="13"/>
      <c r="F2961" s="13"/>
      <c r="G2961" s="13"/>
      <c r="H2961" s="13"/>
      <c r="I2961" s="15"/>
      <c r="J2961" s="15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</row>
    <row r="2962" ht="22.5" hidden="1" customHeight="1">
      <c r="A2962" s="6"/>
      <c r="B2962" s="20"/>
      <c r="C2962" s="36"/>
      <c r="D2962" s="13"/>
      <c r="E2962" s="13"/>
      <c r="F2962" s="13"/>
      <c r="G2962" s="13"/>
      <c r="H2962" s="13"/>
      <c r="I2962" s="15"/>
      <c r="J2962" s="15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</row>
    <row r="2963" ht="22.5" hidden="1" customHeight="1">
      <c r="A2963" s="6"/>
      <c r="B2963" s="20"/>
      <c r="C2963" s="36"/>
      <c r="D2963" s="13"/>
      <c r="E2963" s="13"/>
      <c r="F2963" s="13"/>
      <c r="G2963" s="13"/>
      <c r="H2963" s="13"/>
      <c r="I2963" s="15"/>
      <c r="J2963" s="15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</row>
    <row r="2964" ht="22.5" hidden="1" customHeight="1">
      <c r="A2964" s="6"/>
      <c r="B2964" s="20"/>
      <c r="C2964" s="36"/>
      <c r="D2964" s="13"/>
      <c r="E2964" s="13"/>
      <c r="F2964" s="13"/>
      <c r="G2964" s="13"/>
      <c r="H2964" s="13"/>
      <c r="I2964" s="15"/>
      <c r="J2964" s="15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</row>
    <row r="2965" ht="22.5" hidden="1" customHeight="1">
      <c r="A2965" s="6"/>
      <c r="B2965" s="20"/>
      <c r="C2965" s="36"/>
      <c r="D2965" s="13"/>
      <c r="E2965" s="13"/>
      <c r="F2965" s="13"/>
      <c r="G2965" s="13"/>
      <c r="H2965" s="13"/>
      <c r="I2965" s="15"/>
      <c r="J2965" s="15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</row>
    <row r="2966" ht="22.5" hidden="1" customHeight="1">
      <c r="A2966" s="6"/>
      <c r="B2966" s="20"/>
      <c r="C2966" s="36"/>
      <c r="D2966" s="13"/>
      <c r="E2966" s="13"/>
      <c r="F2966" s="13"/>
      <c r="G2966" s="13"/>
      <c r="H2966" s="13"/>
      <c r="I2966" s="15"/>
      <c r="J2966" s="15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</row>
    <row r="2967" ht="22.5" hidden="1" customHeight="1">
      <c r="A2967" s="6"/>
      <c r="B2967" s="20"/>
      <c r="C2967" s="36"/>
      <c r="D2967" s="13"/>
      <c r="E2967" s="13"/>
      <c r="F2967" s="13"/>
      <c r="G2967" s="13"/>
      <c r="H2967" s="13"/>
      <c r="I2967" s="15"/>
      <c r="J2967" s="15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</row>
    <row r="2968" ht="22.5" hidden="1" customHeight="1">
      <c r="A2968" s="6"/>
      <c r="B2968" s="20"/>
      <c r="C2968" s="36"/>
      <c r="D2968" s="13"/>
      <c r="E2968" s="13"/>
      <c r="F2968" s="13"/>
      <c r="G2968" s="13"/>
      <c r="H2968" s="13"/>
      <c r="I2968" s="15"/>
      <c r="J2968" s="15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</row>
    <row r="2969" ht="22.5" hidden="1" customHeight="1">
      <c r="A2969" s="6"/>
      <c r="B2969" s="20"/>
      <c r="C2969" s="36"/>
      <c r="D2969" s="13"/>
      <c r="E2969" s="13"/>
      <c r="F2969" s="13"/>
      <c r="G2969" s="13"/>
      <c r="H2969" s="13"/>
      <c r="I2969" s="15"/>
      <c r="J2969" s="15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</row>
    <row r="2970" ht="22.5" hidden="1" customHeight="1">
      <c r="A2970" s="6"/>
      <c r="B2970" s="20"/>
      <c r="C2970" s="36"/>
      <c r="D2970" s="13"/>
      <c r="E2970" s="13"/>
      <c r="F2970" s="13"/>
      <c r="G2970" s="13"/>
      <c r="H2970" s="13"/>
      <c r="I2970" s="15"/>
      <c r="J2970" s="15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</row>
    <row r="2971" ht="22.5" hidden="1" customHeight="1">
      <c r="A2971" s="6"/>
      <c r="B2971" s="20"/>
      <c r="C2971" s="36"/>
      <c r="D2971" s="13"/>
      <c r="E2971" s="13"/>
      <c r="F2971" s="13"/>
      <c r="G2971" s="13"/>
      <c r="H2971" s="13"/>
      <c r="I2971" s="15"/>
      <c r="J2971" s="15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</row>
    <row r="2972" ht="22.5" hidden="1" customHeight="1">
      <c r="A2972" s="6"/>
      <c r="B2972" s="20"/>
      <c r="C2972" s="36"/>
      <c r="D2972" s="13"/>
      <c r="E2972" s="13"/>
      <c r="F2972" s="13"/>
      <c r="G2972" s="13"/>
      <c r="H2972" s="13"/>
      <c r="I2972" s="15"/>
      <c r="J2972" s="15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</row>
    <row r="2973" ht="22.5" hidden="1" customHeight="1">
      <c r="A2973" s="6"/>
      <c r="B2973" s="20"/>
      <c r="C2973" s="36"/>
      <c r="D2973" s="13"/>
      <c r="E2973" s="13"/>
      <c r="F2973" s="13"/>
      <c r="G2973" s="13"/>
      <c r="H2973" s="13"/>
      <c r="I2973" s="15"/>
      <c r="J2973" s="15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</row>
    <row r="2974" ht="22.5" hidden="1" customHeight="1">
      <c r="A2974" s="6"/>
      <c r="B2974" s="20"/>
      <c r="C2974" s="36"/>
      <c r="D2974" s="13"/>
      <c r="E2974" s="13"/>
      <c r="F2974" s="13"/>
      <c r="G2974" s="13"/>
      <c r="H2974" s="13"/>
      <c r="I2974" s="15"/>
      <c r="J2974" s="15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</row>
    <row r="2975" ht="22.5" hidden="1" customHeight="1">
      <c r="A2975" s="6"/>
      <c r="B2975" s="20"/>
      <c r="C2975" s="36"/>
      <c r="D2975" s="13"/>
      <c r="E2975" s="13"/>
      <c r="F2975" s="13"/>
      <c r="G2975" s="13"/>
      <c r="H2975" s="13"/>
      <c r="I2975" s="15"/>
      <c r="J2975" s="15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</row>
    <row r="2976" ht="22.5" hidden="1" customHeight="1">
      <c r="A2976" s="6"/>
      <c r="B2976" s="20"/>
      <c r="C2976" s="36"/>
      <c r="D2976" s="13"/>
      <c r="E2976" s="13"/>
      <c r="F2976" s="13"/>
      <c r="G2976" s="13"/>
      <c r="H2976" s="13"/>
      <c r="I2976" s="15"/>
      <c r="J2976" s="15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</row>
    <row r="2977" ht="22.5" hidden="1" customHeight="1">
      <c r="A2977" s="6"/>
      <c r="B2977" s="20"/>
      <c r="C2977" s="36"/>
      <c r="D2977" s="13"/>
      <c r="E2977" s="13"/>
      <c r="F2977" s="13"/>
      <c r="G2977" s="13"/>
      <c r="H2977" s="13"/>
      <c r="I2977" s="15"/>
      <c r="J2977" s="15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</row>
    <row r="2978" ht="22.5" hidden="1" customHeight="1">
      <c r="A2978" s="6"/>
      <c r="B2978" s="20"/>
      <c r="C2978" s="36"/>
      <c r="D2978" s="13"/>
      <c r="E2978" s="13"/>
      <c r="F2978" s="13"/>
      <c r="G2978" s="13"/>
      <c r="H2978" s="13"/>
      <c r="I2978" s="15"/>
      <c r="J2978" s="15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</row>
    <row r="2979" ht="22.5" hidden="1" customHeight="1">
      <c r="A2979" s="6"/>
      <c r="B2979" s="20"/>
      <c r="C2979" s="36"/>
      <c r="D2979" s="13"/>
      <c r="E2979" s="13"/>
      <c r="F2979" s="13"/>
      <c r="G2979" s="13"/>
      <c r="H2979" s="13"/>
      <c r="I2979" s="15"/>
      <c r="J2979" s="15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</row>
    <row r="2980" ht="22.5" hidden="1" customHeight="1">
      <c r="A2980" s="6"/>
      <c r="B2980" s="20"/>
      <c r="C2980" s="36"/>
      <c r="D2980" s="13"/>
      <c r="E2980" s="13"/>
      <c r="F2980" s="13"/>
      <c r="G2980" s="13"/>
      <c r="H2980" s="13"/>
      <c r="I2980" s="15"/>
      <c r="J2980" s="15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</row>
    <row r="2981" ht="22.5" hidden="1" customHeight="1">
      <c r="A2981" s="6"/>
      <c r="B2981" s="20"/>
      <c r="C2981" s="36"/>
      <c r="D2981" s="13"/>
      <c r="E2981" s="13"/>
      <c r="F2981" s="13"/>
      <c r="G2981" s="13"/>
      <c r="H2981" s="13"/>
      <c r="I2981" s="15"/>
      <c r="J2981" s="15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</row>
    <row r="2982" ht="22.5" hidden="1" customHeight="1">
      <c r="A2982" s="6"/>
      <c r="B2982" s="20"/>
      <c r="C2982" s="36"/>
      <c r="D2982" s="13"/>
      <c r="E2982" s="13"/>
      <c r="F2982" s="13"/>
      <c r="G2982" s="13"/>
      <c r="H2982" s="13"/>
      <c r="I2982" s="15"/>
      <c r="J2982" s="15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</row>
    <row r="2983" ht="22.5" hidden="1" customHeight="1">
      <c r="A2983" s="6"/>
      <c r="B2983" s="20"/>
      <c r="C2983" s="36"/>
      <c r="D2983" s="13"/>
      <c r="E2983" s="13"/>
      <c r="F2983" s="13"/>
      <c r="G2983" s="13"/>
      <c r="H2983" s="13"/>
      <c r="I2983" s="15"/>
      <c r="J2983" s="15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</row>
    <row r="2984" ht="22.5" hidden="1" customHeight="1">
      <c r="A2984" s="6"/>
      <c r="B2984" s="20"/>
      <c r="C2984" s="36"/>
      <c r="D2984" s="13"/>
      <c r="E2984" s="13"/>
      <c r="F2984" s="13"/>
      <c r="G2984" s="13"/>
      <c r="H2984" s="13"/>
      <c r="I2984" s="15"/>
      <c r="J2984" s="15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</row>
    <row r="2985" ht="22.5" hidden="1" customHeight="1">
      <c r="A2985" s="6"/>
      <c r="B2985" s="20"/>
      <c r="C2985" s="36"/>
      <c r="D2985" s="13"/>
      <c r="E2985" s="13"/>
      <c r="F2985" s="13"/>
      <c r="G2985" s="13"/>
      <c r="H2985" s="13"/>
      <c r="I2985" s="15"/>
      <c r="J2985" s="15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</row>
    <row r="2986" ht="22.5" hidden="1" customHeight="1">
      <c r="A2986" s="6"/>
      <c r="B2986" s="20"/>
      <c r="C2986" s="36"/>
      <c r="D2986" s="13"/>
      <c r="E2986" s="13"/>
      <c r="F2986" s="13"/>
      <c r="G2986" s="13"/>
      <c r="H2986" s="13"/>
      <c r="I2986" s="15"/>
      <c r="J2986" s="15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</row>
    <row r="2987" ht="22.5" hidden="1" customHeight="1">
      <c r="A2987" s="6"/>
      <c r="B2987" s="20"/>
      <c r="C2987" s="36"/>
      <c r="D2987" s="13"/>
      <c r="E2987" s="13"/>
      <c r="F2987" s="13"/>
      <c r="G2987" s="13"/>
      <c r="H2987" s="13"/>
      <c r="I2987" s="15"/>
      <c r="J2987" s="15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</row>
    <row r="2988" ht="22.5" hidden="1" customHeight="1">
      <c r="A2988" s="6"/>
      <c r="B2988" s="20"/>
      <c r="C2988" s="36"/>
      <c r="D2988" s="13"/>
      <c r="E2988" s="13"/>
      <c r="F2988" s="13"/>
      <c r="G2988" s="13"/>
      <c r="H2988" s="13"/>
      <c r="I2988" s="15"/>
      <c r="J2988" s="15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</row>
    <row r="2989" ht="22.5" hidden="1" customHeight="1">
      <c r="A2989" s="6"/>
      <c r="B2989" s="20"/>
      <c r="C2989" s="36"/>
      <c r="D2989" s="13"/>
      <c r="E2989" s="13"/>
      <c r="F2989" s="13"/>
      <c r="G2989" s="13"/>
      <c r="H2989" s="13"/>
      <c r="I2989" s="15"/>
      <c r="J2989" s="15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</row>
    <row r="2990" ht="22.5" hidden="1" customHeight="1">
      <c r="A2990" s="6"/>
      <c r="B2990" s="20"/>
      <c r="C2990" s="36"/>
      <c r="D2990" s="13"/>
      <c r="E2990" s="13"/>
      <c r="F2990" s="13"/>
      <c r="G2990" s="13"/>
      <c r="H2990" s="13"/>
      <c r="I2990" s="15"/>
      <c r="J2990" s="15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</row>
    <row r="2991" ht="22.5" hidden="1" customHeight="1">
      <c r="A2991" s="6"/>
      <c r="B2991" s="20"/>
      <c r="C2991" s="36"/>
      <c r="D2991" s="13"/>
      <c r="E2991" s="13"/>
      <c r="F2991" s="13"/>
      <c r="G2991" s="13"/>
      <c r="H2991" s="13"/>
      <c r="I2991" s="15"/>
      <c r="J2991" s="15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</row>
    <row r="2992" ht="22.5" hidden="1" customHeight="1">
      <c r="A2992" s="6"/>
      <c r="B2992" s="20"/>
      <c r="C2992" s="36"/>
      <c r="D2992" s="13"/>
      <c r="E2992" s="13"/>
      <c r="F2992" s="13"/>
      <c r="G2992" s="13"/>
      <c r="H2992" s="13"/>
      <c r="I2992" s="15"/>
      <c r="J2992" s="15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</row>
    <row r="2993" ht="22.5" hidden="1" customHeight="1">
      <c r="A2993" s="6"/>
      <c r="B2993" s="20"/>
      <c r="C2993" s="36"/>
      <c r="D2993" s="13"/>
      <c r="E2993" s="13"/>
      <c r="F2993" s="13"/>
      <c r="G2993" s="13"/>
      <c r="H2993" s="13"/>
      <c r="I2993" s="15"/>
      <c r="J2993" s="15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</row>
    <row r="2994" ht="22.5" hidden="1" customHeight="1">
      <c r="A2994" s="6"/>
      <c r="B2994" s="20"/>
      <c r="C2994" s="36"/>
      <c r="D2994" s="13"/>
      <c r="E2994" s="13"/>
      <c r="F2994" s="13"/>
      <c r="G2994" s="13"/>
      <c r="H2994" s="13"/>
      <c r="I2994" s="15"/>
      <c r="J2994" s="15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</row>
    <row r="2995" ht="22.5" hidden="1" customHeight="1">
      <c r="A2995" s="6"/>
      <c r="B2995" s="20"/>
      <c r="C2995" s="36"/>
      <c r="D2995" s="13"/>
      <c r="E2995" s="13"/>
      <c r="F2995" s="13"/>
      <c r="G2995" s="13"/>
      <c r="H2995" s="13"/>
      <c r="I2995" s="15"/>
      <c r="J2995" s="15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</row>
    <row r="2996" ht="22.5" hidden="1" customHeight="1">
      <c r="A2996" s="6"/>
      <c r="B2996" s="20"/>
      <c r="C2996" s="36"/>
      <c r="D2996" s="13"/>
      <c r="E2996" s="13"/>
      <c r="F2996" s="13"/>
      <c r="G2996" s="13"/>
      <c r="H2996" s="13"/>
      <c r="I2996" s="15"/>
      <c r="J2996" s="15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</row>
    <row r="2997" ht="22.5" hidden="1" customHeight="1">
      <c r="A2997" s="6"/>
      <c r="B2997" s="20"/>
      <c r="C2997" s="36"/>
      <c r="D2997" s="13"/>
      <c r="E2997" s="13"/>
      <c r="F2997" s="13"/>
      <c r="G2997" s="13"/>
      <c r="H2997" s="13"/>
      <c r="I2997" s="15"/>
      <c r="J2997" s="15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</row>
    <row r="2998" ht="22.5" hidden="1" customHeight="1">
      <c r="A2998" s="6"/>
      <c r="B2998" s="20"/>
      <c r="C2998" s="36"/>
      <c r="D2998" s="13"/>
      <c r="E2998" s="13"/>
      <c r="F2998" s="13"/>
      <c r="G2998" s="13"/>
      <c r="H2998" s="13"/>
      <c r="I2998" s="15"/>
      <c r="J2998" s="15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</row>
    <row r="2999" ht="22.5" hidden="1" customHeight="1">
      <c r="A2999" s="6"/>
      <c r="B2999" s="20"/>
      <c r="C2999" s="36"/>
      <c r="D2999" s="13"/>
      <c r="E2999" s="13"/>
      <c r="F2999" s="13"/>
      <c r="G2999" s="13"/>
      <c r="H2999" s="13"/>
      <c r="I2999" s="15"/>
      <c r="J2999" s="15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</row>
    <row r="3000" ht="22.5" hidden="1" customHeight="1">
      <c r="A3000" s="6"/>
      <c r="B3000" s="20"/>
      <c r="C3000" s="36"/>
      <c r="D3000" s="13"/>
      <c r="E3000" s="13"/>
      <c r="F3000" s="13"/>
      <c r="G3000" s="13"/>
      <c r="H3000" s="13"/>
      <c r="I3000" s="15"/>
      <c r="J3000" s="15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</row>
    <row r="3001" ht="22.5" hidden="1" customHeight="1">
      <c r="A3001" s="6"/>
      <c r="B3001" s="20"/>
      <c r="C3001" s="36"/>
      <c r="D3001" s="13"/>
      <c r="E3001" s="13"/>
      <c r="F3001" s="13"/>
      <c r="G3001" s="13"/>
      <c r="H3001" s="13"/>
      <c r="I3001" s="15"/>
      <c r="J3001" s="15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</row>
    <row r="3002" ht="22.5" hidden="1" customHeight="1">
      <c r="A3002" s="6"/>
      <c r="B3002" s="20"/>
      <c r="C3002" s="36"/>
      <c r="D3002" s="13"/>
      <c r="E3002" s="13"/>
      <c r="F3002" s="13"/>
      <c r="G3002" s="13"/>
      <c r="H3002" s="13"/>
      <c r="I3002" s="15"/>
      <c r="J3002" s="15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</row>
    <row r="3003" ht="22.5" hidden="1" customHeight="1">
      <c r="A3003" s="6"/>
      <c r="B3003" s="20"/>
      <c r="C3003" s="36"/>
      <c r="D3003" s="13"/>
      <c r="E3003" s="13"/>
      <c r="F3003" s="13"/>
      <c r="G3003" s="13"/>
      <c r="H3003" s="13"/>
      <c r="I3003" s="15"/>
      <c r="J3003" s="15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</row>
    <row r="3004" ht="22.5" hidden="1" customHeight="1">
      <c r="A3004" s="6"/>
      <c r="B3004" s="20"/>
      <c r="C3004" s="36"/>
      <c r="D3004" s="13"/>
      <c r="E3004" s="13"/>
      <c r="F3004" s="13"/>
      <c r="G3004" s="13"/>
      <c r="H3004" s="13"/>
      <c r="I3004" s="15"/>
      <c r="J3004" s="15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</row>
    <row r="3005" ht="22.5" hidden="1" customHeight="1">
      <c r="A3005" s="6"/>
      <c r="B3005" s="20"/>
      <c r="C3005" s="36"/>
      <c r="D3005" s="13"/>
      <c r="E3005" s="13"/>
      <c r="F3005" s="13"/>
      <c r="G3005" s="13"/>
      <c r="H3005" s="13"/>
      <c r="I3005" s="15"/>
      <c r="J3005" s="15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</row>
    <row r="3006" ht="22.5" hidden="1" customHeight="1">
      <c r="A3006" s="6"/>
      <c r="B3006" s="20"/>
      <c r="C3006" s="36"/>
      <c r="D3006" s="13"/>
      <c r="E3006" s="13"/>
      <c r="F3006" s="13"/>
      <c r="G3006" s="13"/>
      <c r="H3006" s="13"/>
      <c r="I3006" s="15"/>
      <c r="J3006" s="15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</row>
    <row r="3007" ht="22.5" hidden="1" customHeight="1">
      <c r="A3007" s="6"/>
      <c r="B3007" s="20"/>
      <c r="C3007" s="36"/>
      <c r="D3007" s="13"/>
      <c r="E3007" s="13"/>
      <c r="F3007" s="13"/>
      <c r="G3007" s="13"/>
      <c r="H3007" s="13"/>
      <c r="I3007" s="15"/>
      <c r="J3007" s="15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</row>
    <row r="3008" ht="22.5" hidden="1" customHeight="1">
      <c r="A3008" s="6"/>
      <c r="B3008" s="20"/>
      <c r="C3008" s="36"/>
      <c r="D3008" s="13"/>
      <c r="E3008" s="13"/>
      <c r="F3008" s="13"/>
      <c r="G3008" s="13"/>
      <c r="H3008" s="13"/>
      <c r="I3008" s="15"/>
      <c r="J3008" s="15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</row>
    <row r="3009" ht="22.5" hidden="1" customHeight="1">
      <c r="A3009" s="6"/>
      <c r="B3009" s="20"/>
      <c r="C3009" s="36"/>
      <c r="D3009" s="13"/>
      <c r="E3009" s="13"/>
      <c r="F3009" s="13"/>
      <c r="G3009" s="13"/>
      <c r="H3009" s="13"/>
      <c r="I3009" s="15"/>
      <c r="J3009" s="15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</row>
    <row r="3010" ht="22.5" hidden="1" customHeight="1">
      <c r="A3010" s="6"/>
      <c r="B3010" s="20"/>
      <c r="C3010" s="36"/>
      <c r="D3010" s="13"/>
      <c r="E3010" s="13"/>
      <c r="F3010" s="13"/>
      <c r="G3010" s="13"/>
      <c r="H3010" s="13"/>
      <c r="I3010" s="15"/>
      <c r="J3010" s="15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</row>
    <row r="3011" ht="22.5" hidden="1" customHeight="1">
      <c r="A3011" s="6"/>
      <c r="B3011" s="20"/>
      <c r="C3011" s="36"/>
      <c r="D3011" s="13"/>
      <c r="E3011" s="13"/>
      <c r="F3011" s="13"/>
      <c r="G3011" s="13"/>
      <c r="H3011" s="13"/>
      <c r="I3011" s="15"/>
      <c r="J3011" s="15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</row>
    <row r="3012" ht="22.5" hidden="1" customHeight="1">
      <c r="A3012" s="6"/>
      <c r="B3012" s="20"/>
      <c r="C3012" s="36"/>
      <c r="D3012" s="13"/>
      <c r="E3012" s="13"/>
      <c r="F3012" s="13"/>
      <c r="G3012" s="13"/>
      <c r="H3012" s="13"/>
      <c r="I3012" s="15"/>
      <c r="J3012" s="15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</row>
    <row r="3013" ht="22.5" hidden="1" customHeight="1">
      <c r="A3013" s="6"/>
      <c r="B3013" s="20"/>
      <c r="C3013" s="36"/>
      <c r="D3013" s="13"/>
      <c r="E3013" s="13"/>
      <c r="F3013" s="13"/>
      <c r="G3013" s="13"/>
      <c r="H3013" s="13"/>
      <c r="I3013" s="15"/>
      <c r="J3013" s="15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</row>
    <row r="3014" ht="22.5" hidden="1" customHeight="1">
      <c r="A3014" s="6"/>
      <c r="B3014" s="20"/>
      <c r="C3014" s="36"/>
      <c r="D3014" s="13"/>
      <c r="E3014" s="13"/>
      <c r="F3014" s="13"/>
      <c r="G3014" s="13"/>
      <c r="H3014" s="13"/>
      <c r="I3014" s="15"/>
      <c r="J3014" s="15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</row>
    <row r="3015" ht="22.5" hidden="1" customHeight="1">
      <c r="A3015" s="6"/>
      <c r="B3015" s="20"/>
      <c r="C3015" s="36"/>
      <c r="D3015" s="13"/>
      <c r="E3015" s="13"/>
      <c r="F3015" s="13"/>
      <c r="G3015" s="13"/>
      <c r="H3015" s="13"/>
      <c r="I3015" s="15"/>
      <c r="J3015" s="15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</row>
    <row r="3016" ht="22.5" hidden="1" customHeight="1">
      <c r="A3016" s="6"/>
      <c r="B3016" s="20"/>
      <c r="C3016" s="36"/>
      <c r="D3016" s="13"/>
      <c r="E3016" s="13"/>
      <c r="F3016" s="13"/>
      <c r="G3016" s="13"/>
      <c r="H3016" s="13"/>
      <c r="I3016" s="15"/>
      <c r="J3016" s="15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</row>
    <row r="3017" ht="22.5" hidden="1" customHeight="1">
      <c r="A3017" s="6"/>
      <c r="B3017" s="20"/>
      <c r="C3017" s="36"/>
      <c r="D3017" s="13"/>
      <c r="E3017" s="13"/>
      <c r="F3017" s="13"/>
      <c r="G3017" s="13"/>
      <c r="H3017" s="13"/>
      <c r="I3017" s="15"/>
      <c r="J3017" s="15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</row>
    <row r="3018" ht="22.5" hidden="1" customHeight="1">
      <c r="A3018" s="6"/>
      <c r="B3018" s="20"/>
      <c r="C3018" s="36"/>
      <c r="D3018" s="13"/>
      <c r="E3018" s="13"/>
      <c r="F3018" s="13"/>
      <c r="G3018" s="13"/>
      <c r="H3018" s="13"/>
      <c r="I3018" s="15"/>
      <c r="J3018" s="15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</row>
    <row r="3019" ht="22.5" hidden="1" customHeight="1">
      <c r="A3019" s="6"/>
      <c r="B3019" s="20"/>
      <c r="C3019" s="36"/>
      <c r="D3019" s="13"/>
      <c r="E3019" s="13"/>
      <c r="F3019" s="13"/>
      <c r="G3019" s="13"/>
      <c r="H3019" s="13"/>
      <c r="I3019" s="15"/>
      <c r="J3019" s="15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</row>
    <row r="3020" ht="22.5" hidden="1" customHeight="1">
      <c r="A3020" s="6"/>
      <c r="B3020" s="20"/>
      <c r="C3020" s="36"/>
      <c r="D3020" s="13"/>
      <c r="E3020" s="13"/>
      <c r="F3020" s="13"/>
      <c r="G3020" s="13"/>
      <c r="H3020" s="13"/>
      <c r="I3020" s="15"/>
      <c r="J3020" s="15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</row>
    <row r="3021" ht="22.5" hidden="1" customHeight="1">
      <c r="A3021" s="6"/>
      <c r="B3021" s="20"/>
      <c r="C3021" s="36"/>
      <c r="D3021" s="13"/>
      <c r="E3021" s="13"/>
      <c r="F3021" s="13"/>
      <c r="G3021" s="13"/>
      <c r="H3021" s="13"/>
      <c r="I3021" s="15"/>
      <c r="J3021" s="15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</row>
    <row r="3022" ht="22.5" hidden="1" customHeight="1">
      <c r="A3022" s="6"/>
      <c r="B3022" s="20"/>
      <c r="C3022" s="36"/>
      <c r="D3022" s="13"/>
      <c r="E3022" s="13"/>
      <c r="F3022" s="13"/>
      <c r="G3022" s="13"/>
      <c r="H3022" s="13"/>
      <c r="I3022" s="15"/>
      <c r="J3022" s="15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</row>
    <row r="3023" ht="22.5" hidden="1" customHeight="1">
      <c r="A3023" s="6"/>
      <c r="B3023" s="20"/>
      <c r="C3023" s="36"/>
      <c r="D3023" s="13"/>
      <c r="E3023" s="13"/>
      <c r="F3023" s="13"/>
      <c r="G3023" s="13"/>
      <c r="H3023" s="13"/>
      <c r="I3023" s="15"/>
      <c r="J3023" s="15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</row>
    <row r="3024" ht="22.5" hidden="1" customHeight="1">
      <c r="A3024" s="6"/>
      <c r="B3024" s="20"/>
      <c r="C3024" s="36"/>
      <c r="D3024" s="13"/>
      <c r="E3024" s="13"/>
      <c r="F3024" s="13"/>
      <c r="G3024" s="13"/>
      <c r="H3024" s="13"/>
      <c r="I3024" s="15"/>
      <c r="J3024" s="15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</row>
    <row r="3025" ht="22.5" hidden="1" customHeight="1">
      <c r="A3025" s="6"/>
      <c r="B3025" s="20"/>
      <c r="C3025" s="36"/>
      <c r="D3025" s="13"/>
      <c r="E3025" s="13"/>
      <c r="F3025" s="13"/>
      <c r="G3025" s="13"/>
      <c r="H3025" s="13"/>
      <c r="I3025" s="15"/>
      <c r="J3025" s="15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</row>
    <row r="3026" ht="22.5" hidden="1" customHeight="1">
      <c r="A3026" s="6"/>
      <c r="B3026" s="20"/>
      <c r="C3026" s="36"/>
      <c r="D3026" s="13"/>
      <c r="E3026" s="13"/>
      <c r="F3026" s="13"/>
      <c r="G3026" s="13"/>
      <c r="H3026" s="13"/>
      <c r="I3026" s="15"/>
      <c r="J3026" s="15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</row>
    <row r="3027" ht="22.5" hidden="1" customHeight="1">
      <c r="A3027" s="6"/>
      <c r="B3027" s="20"/>
      <c r="C3027" s="36"/>
      <c r="D3027" s="13"/>
      <c r="E3027" s="13"/>
      <c r="F3027" s="13"/>
      <c r="G3027" s="13"/>
      <c r="H3027" s="13"/>
      <c r="I3027" s="15"/>
      <c r="J3027" s="15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</row>
    <row r="3028" ht="22.5" hidden="1" customHeight="1">
      <c r="A3028" s="6"/>
      <c r="B3028" s="20"/>
      <c r="C3028" s="36"/>
      <c r="D3028" s="13"/>
      <c r="E3028" s="13"/>
      <c r="F3028" s="13"/>
      <c r="G3028" s="13"/>
      <c r="H3028" s="13"/>
      <c r="I3028" s="15"/>
      <c r="J3028" s="15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</row>
    <row r="3029" ht="22.5" hidden="1" customHeight="1">
      <c r="A3029" s="6"/>
      <c r="B3029" s="20"/>
      <c r="C3029" s="36"/>
      <c r="D3029" s="13"/>
      <c r="E3029" s="13"/>
      <c r="F3029" s="13"/>
      <c r="G3029" s="13"/>
      <c r="H3029" s="13"/>
      <c r="I3029" s="15"/>
      <c r="J3029" s="15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</row>
    <row r="3030" ht="22.5" hidden="1" customHeight="1">
      <c r="A3030" s="6"/>
      <c r="B3030" s="20"/>
      <c r="C3030" s="36"/>
      <c r="D3030" s="13"/>
      <c r="E3030" s="13"/>
      <c r="F3030" s="13"/>
      <c r="G3030" s="13"/>
      <c r="H3030" s="13"/>
      <c r="I3030" s="15"/>
      <c r="J3030" s="15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</row>
    <row r="3031" ht="22.5" hidden="1" customHeight="1">
      <c r="A3031" s="6"/>
      <c r="B3031" s="20"/>
      <c r="C3031" s="36"/>
      <c r="D3031" s="13"/>
      <c r="E3031" s="13"/>
      <c r="F3031" s="13"/>
      <c r="G3031" s="13"/>
      <c r="H3031" s="13"/>
      <c r="I3031" s="15"/>
      <c r="J3031" s="15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</row>
    <row r="3032" ht="22.5" hidden="1" customHeight="1">
      <c r="A3032" s="6"/>
      <c r="B3032" s="20"/>
      <c r="C3032" s="36"/>
      <c r="D3032" s="13"/>
      <c r="E3032" s="13"/>
      <c r="F3032" s="13"/>
      <c r="G3032" s="13"/>
      <c r="H3032" s="13"/>
      <c r="I3032" s="15"/>
      <c r="J3032" s="15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</row>
    <row r="3033" ht="22.5" hidden="1" customHeight="1">
      <c r="A3033" s="6"/>
      <c r="B3033" s="20"/>
      <c r="C3033" s="36"/>
      <c r="D3033" s="13"/>
      <c r="E3033" s="13"/>
      <c r="F3033" s="13"/>
      <c r="G3033" s="13"/>
      <c r="H3033" s="13"/>
      <c r="I3033" s="15"/>
      <c r="J3033" s="15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</row>
    <row r="3034" ht="22.5" hidden="1" customHeight="1">
      <c r="A3034" s="6"/>
      <c r="B3034" s="20"/>
      <c r="C3034" s="36"/>
      <c r="D3034" s="13"/>
      <c r="E3034" s="13"/>
      <c r="F3034" s="13"/>
      <c r="G3034" s="13"/>
      <c r="H3034" s="13"/>
      <c r="I3034" s="15"/>
      <c r="J3034" s="15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</row>
    <row r="3035" ht="22.5" hidden="1" customHeight="1">
      <c r="A3035" s="6"/>
      <c r="B3035" s="20"/>
      <c r="C3035" s="36"/>
      <c r="D3035" s="13"/>
      <c r="E3035" s="13"/>
      <c r="F3035" s="13"/>
      <c r="G3035" s="13"/>
      <c r="H3035" s="13"/>
      <c r="I3035" s="15"/>
      <c r="J3035" s="15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</row>
    <row r="3036" ht="22.5" hidden="1" customHeight="1">
      <c r="A3036" s="6"/>
      <c r="B3036" s="20"/>
      <c r="C3036" s="36"/>
      <c r="D3036" s="13"/>
      <c r="E3036" s="13"/>
      <c r="F3036" s="13"/>
      <c r="G3036" s="13"/>
      <c r="H3036" s="13"/>
      <c r="I3036" s="15"/>
      <c r="J3036" s="15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</row>
    <row r="3037" ht="22.5" hidden="1" customHeight="1">
      <c r="A3037" s="6"/>
      <c r="B3037" s="20"/>
      <c r="C3037" s="36"/>
      <c r="D3037" s="13"/>
      <c r="E3037" s="13"/>
      <c r="F3037" s="13"/>
      <c r="G3037" s="13"/>
      <c r="H3037" s="13"/>
      <c r="I3037" s="15"/>
      <c r="J3037" s="15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</row>
    <row r="3038" ht="22.5" hidden="1" customHeight="1">
      <c r="A3038" s="6"/>
      <c r="B3038" s="20"/>
      <c r="C3038" s="36"/>
      <c r="D3038" s="13"/>
      <c r="E3038" s="13"/>
      <c r="F3038" s="13"/>
      <c r="G3038" s="13"/>
      <c r="H3038" s="13"/>
      <c r="I3038" s="15"/>
      <c r="J3038" s="15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</row>
    <row r="3039" ht="22.5" hidden="1" customHeight="1">
      <c r="A3039" s="6"/>
      <c r="B3039" s="20"/>
      <c r="C3039" s="36"/>
      <c r="D3039" s="13"/>
      <c r="E3039" s="13"/>
      <c r="F3039" s="13"/>
      <c r="G3039" s="13"/>
      <c r="H3039" s="13"/>
      <c r="I3039" s="15"/>
      <c r="J3039" s="15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</row>
    <row r="3040" ht="22.5" hidden="1" customHeight="1">
      <c r="A3040" s="6"/>
      <c r="B3040" s="20"/>
      <c r="C3040" s="36"/>
      <c r="D3040" s="13"/>
      <c r="E3040" s="13"/>
      <c r="F3040" s="13"/>
      <c r="G3040" s="13"/>
      <c r="H3040" s="13"/>
      <c r="I3040" s="15"/>
      <c r="J3040" s="15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</row>
    <row r="3041" ht="22.5" hidden="1" customHeight="1">
      <c r="A3041" s="6"/>
      <c r="B3041" s="20"/>
      <c r="C3041" s="36"/>
      <c r="D3041" s="13"/>
      <c r="E3041" s="13"/>
      <c r="F3041" s="13"/>
      <c r="G3041" s="13"/>
      <c r="H3041" s="13"/>
      <c r="I3041" s="15"/>
      <c r="J3041" s="15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</row>
    <row r="3042" ht="22.5" hidden="1" customHeight="1">
      <c r="A3042" s="6"/>
      <c r="B3042" s="20"/>
      <c r="C3042" s="36"/>
      <c r="D3042" s="13"/>
      <c r="E3042" s="13"/>
      <c r="F3042" s="13"/>
      <c r="G3042" s="13"/>
      <c r="H3042" s="13"/>
      <c r="I3042" s="15"/>
      <c r="J3042" s="15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</row>
    <row r="3043" ht="22.5" hidden="1" customHeight="1">
      <c r="A3043" s="6"/>
      <c r="B3043" s="20"/>
      <c r="C3043" s="36"/>
      <c r="D3043" s="13"/>
      <c r="E3043" s="13"/>
      <c r="F3043" s="13"/>
      <c r="G3043" s="13"/>
      <c r="H3043" s="13"/>
      <c r="I3043" s="15"/>
      <c r="J3043" s="15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</row>
    <row r="3044" ht="22.5" hidden="1" customHeight="1">
      <c r="A3044" s="6"/>
      <c r="B3044" s="20"/>
      <c r="C3044" s="36"/>
      <c r="D3044" s="13"/>
      <c r="E3044" s="13"/>
      <c r="F3044" s="13"/>
      <c r="G3044" s="13"/>
      <c r="H3044" s="13"/>
      <c r="I3044" s="15"/>
      <c r="J3044" s="15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</row>
    <row r="3045" ht="22.5" hidden="1" customHeight="1">
      <c r="A3045" s="6"/>
      <c r="B3045" s="20"/>
      <c r="C3045" s="36"/>
      <c r="D3045" s="13"/>
      <c r="E3045" s="13"/>
      <c r="F3045" s="13"/>
      <c r="G3045" s="13"/>
      <c r="H3045" s="13"/>
      <c r="I3045" s="15"/>
      <c r="J3045" s="15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</row>
    <row r="3046" ht="22.5" hidden="1" customHeight="1">
      <c r="A3046" s="6"/>
      <c r="B3046" s="20"/>
      <c r="C3046" s="36"/>
      <c r="D3046" s="13"/>
      <c r="E3046" s="13"/>
      <c r="F3046" s="13"/>
      <c r="G3046" s="13"/>
      <c r="H3046" s="13"/>
      <c r="I3046" s="15"/>
      <c r="J3046" s="15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</row>
    <row r="3047" ht="22.5" hidden="1" customHeight="1">
      <c r="A3047" s="6"/>
      <c r="B3047" s="20"/>
      <c r="C3047" s="36"/>
      <c r="D3047" s="13"/>
      <c r="E3047" s="13"/>
      <c r="F3047" s="13"/>
      <c r="G3047" s="13"/>
      <c r="H3047" s="13"/>
      <c r="I3047" s="15"/>
      <c r="J3047" s="15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</row>
    <row r="3048" ht="22.5" hidden="1" customHeight="1">
      <c r="A3048" s="6"/>
      <c r="B3048" s="20"/>
      <c r="C3048" s="36"/>
      <c r="D3048" s="13"/>
      <c r="E3048" s="13"/>
      <c r="F3048" s="13"/>
      <c r="G3048" s="13"/>
      <c r="H3048" s="13"/>
      <c r="I3048" s="15"/>
      <c r="J3048" s="15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</row>
    <row r="3049" ht="22.5" hidden="1" customHeight="1">
      <c r="A3049" s="6"/>
      <c r="B3049" s="20"/>
      <c r="C3049" s="36"/>
      <c r="D3049" s="13"/>
      <c r="E3049" s="13"/>
      <c r="F3049" s="13"/>
      <c r="G3049" s="13"/>
      <c r="H3049" s="13"/>
      <c r="I3049" s="15"/>
      <c r="J3049" s="15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</row>
    <row r="3050" ht="22.5" hidden="1" customHeight="1">
      <c r="A3050" s="6"/>
      <c r="B3050" s="20"/>
      <c r="C3050" s="36"/>
      <c r="D3050" s="13"/>
      <c r="E3050" s="13"/>
      <c r="F3050" s="13"/>
      <c r="G3050" s="13"/>
      <c r="H3050" s="13"/>
      <c r="I3050" s="15"/>
      <c r="J3050" s="15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</row>
    <row r="3051" ht="22.5" hidden="1" customHeight="1">
      <c r="A3051" s="6"/>
      <c r="B3051" s="20"/>
      <c r="C3051" s="36"/>
      <c r="D3051" s="13"/>
      <c r="E3051" s="13"/>
      <c r="F3051" s="13"/>
      <c r="G3051" s="13"/>
      <c r="H3051" s="13"/>
      <c r="I3051" s="15"/>
      <c r="J3051" s="15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</row>
    <row r="3052" ht="22.5" hidden="1" customHeight="1">
      <c r="A3052" s="6"/>
      <c r="B3052" s="20"/>
      <c r="C3052" s="36"/>
      <c r="D3052" s="13"/>
      <c r="E3052" s="13"/>
      <c r="F3052" s="13"/>
      <c r="G3052" s="13"/>
      <c r="H3052" s="13"/>
      <c r="I3052" s="15"/>
      <c r="J3052" s="15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</row>
    <row r="3053" ht="22.5" hidden="1" customHeight="1">
      <c r="A3053" s="6"/>
      <c r="B3053" s="20"/>
      <c r="C3053" s="36"/>
      <c r="D3053" s="13"/>
      <c r="E3053" s="13"/>
      <c r="F3053" s="13"/>
      <c r="G3053" s="13"/>
      <c r="H3053" s="13"/>
      <c r="I3053" s="15"/>
      <c r="J3053" s="15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</row>
    <row r="3054" ht="22.5" hidden="1" customHeight="1">
      <c r="A3054" s="6"/>
      <c r="B3054" s="20"/>
      <c r="C3054" s="36"/>
      <c r="D3054" s="13"/>
      <c r="E3054" s="13"/>
      <c r="F3054" s="13"/>
      <c r="G3054" s="13"/>
      <c r="H3054" s="13"/>
      <c r="I3054" s="15"/>
      <c r="J3054" s="15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</row>
    <row r="3055" ht="22.5" hidden="1" customHeight="1">
      <c r="A3055" s="6"/>
      <c r="B3055" s="20"/>
      <c r="C3055" s="36"/>
      <c r="D3055" s="13"/>
      <c r="E3055" s="13"/>
      <c r="F3055" s="13"/>
      <c r="G3055" s="13"/>
      <c r="H3055" s="13"/>
      <c r="I3055" s="15"/>
      <c r="J3055" s="15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</row>
    <row r="3056" ht="22.5" hidden="1" customHeight="1">
      <c r="A3056" s="6"/>
      <c r="B3056" s="20"/>
      <c r="C3056" s="36"/>
      <c r="D3056" s="13"/>
      <c r="E3056" s="13"/>
      <c r="F3056" s="13"/>
      <c r="G3056" s="13"/>
      <c r="H3056" s="13"/>
      <c r="I3056" s="15"/>
      <c r="J3056" s="15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</row>
    <row r="3057" ht="22.5" hidden="1" customHeight="1">
      <c r="A3057" s="6"/>
      <c r="B3057" s="20"/>
      <c r="C3057" s="36"/>
      <c r="D3057" s="13"/>
      <c r="E3057" s="13"/>
      <c r="F3057" s="13"/>
      <c r="G3057" s="13"/>
      <c r="H3057" s="13"/>
      <c r="I3057" s="15"/>
      <c r="J3057" s="15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</row>
    <row r="3058" ht="22.5" hidden="1" customHeight="1">
      <c r="A3058" s="6"/>
      <c r="B3058" s="20"/>
      <c r="C3058" s="36"/>
      <c r="D3058" s="13"/>
      <c r="E3058" s="13"/>
      <c r="F3058" s="13"/>
      <c r="G3058" s="13"/>
      <c r="H3058" s="13"/>
      <c r="I3058" s="15"/>
      <c r="J3058" s="15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</row>
    <row r="3059" ht="22.5" hidden="1" customHeight="1">
      <c r="A3059" s="6"/>
      <c r="B3059" s="20"/>
      <c r="C3059" s="36"/>
      <c r="D3059" s="13"/>
      <c r="E3059" s="13"/>
      <c r="F3059" s="13"/>
      <c r="G3059" s="13"/>
      <c r="H3059" s="13"/>
      <c r="I3059" s="15"/>
      <c r="J3059" s="15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</row>
    <row r="3060" ht="22.5" hidden="1" customHeight="1">
      <c r="A3060" s="6"/>
      <c r="B3060" s="20"/>
      <c r="C3060" s="36"/>
      <c r="D3060" s="13"/>
      <c r="E3060" s="13"/>
      <c r="F3060" s="13"/>
      <c r="G3060" s="13"/>
      <c r="H3060" s="13"/>
      <c r="I3060" s="15"/>
      <c r="J3060" s="15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</row>
    <row r="3061" ht="22.5" hidden="1" customHeight="1">
      <c r="A3061" s="6"/>
      <c r="B3061" s="20"/>
      <c r="C3061" s="36"/>
      <c r="D3061" s="13"/>
      <c r="E3061" s="13"/>
      <c r="F3061" s="13"/>
      <c r="G3061" s="13"/>
      <c r="H3061" s="13"/>
      <c r="I3061" s="15"/>
      <c r="J3061" s="15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</row>
    <row r="3062" ht="22.5" hidden="1" customHeight="1">
      <c r="A3062" s="6"/>
      <c r="B3062" s="20"/>
      <c r="C3062" s="36"/>
      <c r="D3062" s="13"/>
      <c r="E3062" s="13"/>
      <c r="F3062" s="13"/>
      <c r="G3062" s="13"/>
      <c r="H3062" s="13"/>
      <c r="I3062" s="15"/>
      <c r="J3062" s="15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</row>
    <row r="3063" ht="22.5" hidden="1" customHeight="1">
      <c r="A3063" s="6"/>
      <c r="B3063" s="20"/>
      <c r="C3063" s="36"/>
      <c r="D3063" s="13"/>
      <c r="E3063" s="13"/>
      <c r="F3063" s="13"/>
      <c r="G3063" s="13"/>
      <c r="H3063" s="13"/>
      <c r="I3063" s="15"/>
      <c r="J3063" s="15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</row>
    <row r="3064" ht="22.5" hidden="1" customHeight="1">
      <c r="A3064" s="6"/>
      <c r="B3064" s="20"/>
      <c r="C3064" s="36"/>
      <c r="D3064" s="13"/>
      <c r="E3064" s="13"/>
      <c r="F3064" s="13"/>
      <c r="G3064" s="13"/>
      <c r="H3064" s="13"/>
      <c r="I3064" s="15"/>
      <c r="J3064" s="15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</row>
    <row r="3065" ht="22.5" hidden="1" customHeight="1">
      <c r="A3065" s="6"/>
      <c r="B3065" s="20"/>
      <c r="C3065" s="36"/>
      <c r="D3065" s="13"/>
      <c r="E3065" s="13"/>
      <c r="F3065" s="13"/>
      <c r="G3065" s="13"/>
      <c r="H3065" s="13"/>
      <c r="I3065" s="15"/>
      <c r="J3065" s="15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</row>
    <row r="3066" ht="22.5" hidden="1" customHeight="1">
      <c r="A3066" s="6"/>
      <c r="B3066" s="20"/>
      <c r="C3066" s="36"/>
      <c r="D3066" s="13"/>
      <c r="E3066" s="13"/>
      <c r="F3066" s="13"/>
      <c r="G3066" s="13"/>
      <c r="H3066" s="13"/>
      <c r="I3066" s="15"/>
      <c r="J3066" s="15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</row>
    <row r="3067" ht="22.5" hidden="1" customHeight="1">
      <c r="A3067" s="6"/>
      <c r="B3067" s="20"/>
      <c r="C3067" s="36"/>
      <c r="D3067" s="13"/>
      <c r="E3067" s="13"/>
      <c r="F3067" s="13"/>
      <c r="G3067" s="13"/>
      <c r="H3067" s="13"/>
      <c r="I3067" s="15"/>
      <c r="J3067" s="15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</row>
    <row r="3068" ht="22.5" hidden="1" customHeight="1">
      <c r="A3068" s="6"/>
      <c r="B3068" s="20"/>
      <c r="C3068" s="36"/>
      <c r="D3068" s="13"/>
      <c r="E3068" s="13"/>
      <c r="F3068" s="13"/>
      <c r="G3068" s="13"/>
      <c r="H3068" s="13"/>
      <c r="I3068" s="15"/>
      <c r="J3068" s="15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</row>
    <row r="3069" ht="22.5" hidden="1" customHeight="1">
      <c r="A3069" s="6"/>
      <c r="B3069" s="20"/>
      <c r="C3069" s="36"/>
      <c r="D3069" s="13"/>
      <c r="E3069" s="13"/>
      <c r="F3069" s="13"/>
      <c r="G3069" s="13"/>
      <c r="H3069" s="13"/>
      <c r="I3069" s="15"/>
      <c r="J3069" s="15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</row>
    <row r="3070" ht="22.5" hidden="1" customHeight="1">
      <c r="A3070" s="6"/>
      <c r="B3070" s="20"/>
      <c r="C3070" s="36"/>
      <c r="D3070" s="13"/>
      <c r="E3070" s="13"/>
      <c r="F3070" s="13"/>
      <c r="G3070" s="13"/>
      <c r="H3070" s="13"/>
      <c r="I3070" s="15"/>
      <c r="J3070" s="15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</row>
    <row r="3071" ht="22.5" hidden="1" customHeight="1">
      <c r="A3071" s="6"/>
      <c r="B3071" s="20"/>
      <c r="C3071" s="36"/>
      <c r="D3071" s="13"/>
      <c r="E3071" s="13"/>
      <c r="F3071" s="13"/>
      <c r="G3071" s="13"/>
      <c r="H3071" s="13"/>
      <c r="I3071" s="15"/>
      <c r="J3071" s="15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</row>
    <row r="3072" ht="22.5" hidden="1" customHeight="1">
      <c r="A3072" s="6"/>
      <c r="B3072" s="20"/>
      <c r="C3072" s="36"/>
      <c r="D3072" s="13"/>
      <c r="E3072" s="13"/>
      <c r="F3072" s="13"/>
      <c r="G3072" s="13"/>
      <c r="H3072" s="13"/>
      <c r="I3072" s="15"/>
      <c r="J3072" s="15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</row>
    <row r="3073" ht="22.5" hidden="1" customHeight="1">
      <c r="A3073" s="6"/>
      <c r="B3073" s="20"/>
      <c r="C3073" s="36"/>
      <c r="D3073" s="13"/>
      <c r="E3073" s="13"/>
      <c r="F3073" s="13"/>
      <c r="G3073" s="13"/>
      <c r="H3073" s="13"/>
      <c r="I3073" s="15"/>
      <c r="J3073" s="15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</row>
    <row r="3074" ht="22.5" hidden="1" customHeight="1">
      <c r="A3074" s="6"/>
      <c r="B3074" s="20"/>
      <c r="C3074" s="36"/>
      <c r="D3074" s="13"/>
      <c r="E3074" s="13"/>
      <c r="F3074" s="13"/>
      <c r="G3074" s="13"/>
      <c r="H3074" s="13"/>
      <c r="I3074" s="15"/>
      <c r="J3074" s="15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</row>
    <row r="3075" ht="22.5" hidden="1" customHeight="1">
      <c r="A3075" s="6"/>
      <c r="B3075" s="20"/>
      <c r="C3075" s="36"/>
      <c r="D3075" s="13"/>
      <c r="E3075" s="13"/>
      <c r="F3075" s="13"/>
      <c r="G3075" s="13"/>
      <c r="H3075" s="13"/>
      <c r="I3075" s="15"/>
      <c r="J3075" s="15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</row>
    <row r="3076" ht="22.5" hidden="1" customHeight="1">
      <c r="A3076" s="6"/>
      <c r="B3076" s="20"/>
      <c r="C3076" s="36"/>
      <c r="D3076" s="13"/>
      <c r="E3076" s="13"/>
      <c r="F3076" s="13"/>
      <c r="G3076" s="13"/>
      <c r="H3076" s="13"/>
      <c r="I3076" s="15"/>
      <c r="J3076" s="15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</row>
    <row r="3077" ht="22.5" hidden="1" customHeight="1">
      <c r="A3077" s="6"/>
      <c r="B3077" s="20"/>
      <c r="C3077" s="36"/>
      <c r="D3077" s="13"/>
      <c r="E3077" s="13"/>
      <c r="F3077" s="13"/>
      <c r="G3077" s="13"/>
      <c r="H3077" s="13"/>
      <c r="I3077" s="15"/>
      <c r="J3077" s="15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</row>
    <row r="3078" ht="22.5" hidden="1" customHeight="1">
      <c r="A3078" s="6"/>
      <c r="B3078" s="20"/>
      <c r="C3078" s="36"/>
      <c r="D3078" s="13"/>
      <c r="E3078" s="13"/>
      <c r="F3078" s="13"/>
      <c r="G3078" s="13"/>
      <c r="H3078" s="13"/>
      <c r="I3078" s="15"/>
      <c r="J3078" s="15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</row>
    <row r="3079" ht="22.5" hidden="1" customHeight="1">
      <c r="A3079" s="6"/>
      <c r="B3079" s="20"/>
      <c r="C3079" s="36"/>
      <c r="D3079" s="13"/>
      <c r="E3079" s="13"/>
      <c r="F3079" s="13"/>
      <c r="G3079" s="13"/>
      <c r="H3079" s="13"/>
      <c r="I3079" s="15"/>
      <c r="J3079" s="15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</row>
    <row r="3080" ht="22.5" hidden="1" customHeight="1">
      <c r="A3080" s="6"/>
      <c r="B3080" s="20"/>
      <c r="C3080" s="36"/>
      <c r="D3080" s="13"/>
      <c r="E3080" s="13"/>
      <c r="F3080" s="13"/>
      <c r="G3080" s="13"/>
      <c r="H3080" s="13"/>
      <c r="I3080" s="15"/>
      <c r="J3080" s="15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</row>
    <row r="3081" ht="22.5" hidden="1" customHeight="1">
      <c r="A3081" s="6"/>
      <c r="B3081" s="20"/>
      <c r="C3081" s="36"/>
      <c r="D3081" s="13"/>
      <c r="E3081" s="13"/>
      <c r="F3081" s="13"/>
      <c r="G3081" s="13"/>
      <c r="H3081" s="13"/>
      <c r="I3081" s="15"/>
      <c r="J3081" s="15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</row>
    <row r="3082" ht="22.5" hidden="1" customHeight="1">
      <c r="A3082" s="6"/>
      <c r="B3082" s="20"/>
      <c r="C3082" s="36"/>
      <c r="D3082" s="13"/>
      <c r="E3082" s="13"/>
      <c r="F3082" s="13"/>
      <c r="G3082" s="13"/>
      <c r="H3082" s="13"/>
      <c r="I3082" s="15"/>
      <c r="J3082" s="15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</row>
    <row r="3083" ht="22.5" hidden="1" customHeight="1">
      <c r="A3083" s="6"/>
      <c r="B3083" s="20"/>
      <c r="C3083" s="36"/>
      <c r="D3083" s="13"/>
      <c r="E3083" s="13"/>
      <c r="F3083" s="13"/>
      <c r="G3083" s="13"/>
      <c r="H3083" s="13"/>
      <c r="I3083" s="15"/>
      <c r="J3083" s="15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</row>
    <row r="3084" ht="22.5" hidden="1" customHeight="1">
      <c r="A3084" s="6"/>
      <c r="B3084" s="20"/>
      <c r="C3084" s="36"/>
      <c r="D3084" s="13"/>
      <c r="E3084" s="13"/>
      <c r="F3084" s="13"/>
      <c r="G3084" s="13"/>
      <c r="H3084" s="13"/>
      <c r="I3084" s="15"/>
      <c r="J3084" s="15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</row>
    <row r="3085" ht="22.5" hidden="1" customHeight="1">
      <c r="A3085" s="6"/>
      <c r="B3085" s="20"/>
      <c r="C3085" s="36"/>
      <c r="D3085" s="13"/>
      <c r="E3085" s="13"/>
      <c r="F3085" s="13"/>
      <c r="G3085" s="13"/>
      <c r="H3085" s="13"/>
      <c r="I3085" s="15"/>
      <c r="J3085" s="15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</row>
    <row r="3086" ht="22.5" hidden="1" customHeight="1">
      <c r="A3086" s="6"/>
      <c r="B3086" s="20"/>
      <c r="C3086" s="36"/>
      <c r="D3086" s="13"/>
      <c r="E3086" s="13"/>
      <c r="F3086" s="13"/>
      <c r="G3086" s="13"/>
      <c r="H3086" s="13"/>
      <c r="I3086" s="15"/>
      <c r="J3086" s="15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</row>
    <row r="3087" ht="22.5" hidden="1" customHeight="1">
      <c r="A3087" s="6"/>
      <c r="B3087" s="20"/>
      <c r="C3087" s="36"/>
      <c r="D3087" s="13"/>
      <c r="E3087" s="13"/>
      <c r="F3087" s="13"/>
      <c r="G3087" s="13"/>
      <c r="H3087" s="13"/>
      <c r="I3087" s="15"/>
      <c r="J3087" s="15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</row>
    <row r="3088" ht="22.5" hidden="1" customHeight="1">
      <c r="A3088" s="6"/>
      <c r="B3088" s="20"/>
      <c r="C3088" s="36"/>
      <c r="D3088" s="13"/>
      <c r="E3088" s="13"/>
      <c r="F3088" s="13"/>
      <c r="G3088" s="13"/>
      <c r="H3088" s="13"/>
      <c r="I3088" s="15"/>
      <c r="J3088" s="15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</row>
    <row r="3089" ht="22.5" hidden="1" customHeight="1">
      <c r="A3089" s="6"/>
      <c r="B3089" s="20"/>
      <c r="C3089" s="36"/>
      <c r="D3089" s="13"/>
      <c r="E3089" s="13"/>
      <c r="F3089" s="13"/>
      <c r="G3089" s="13"/>
      <c r="H3089" s="13"/>
      <c r="I3089" s="15"/>
      <c r="J3089" s="15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</row>
    <row r="3090" ht="22.5" hidden="1" customHeight="1">
      <c r="A3090" s="6"/>
      <c r="B3090" s="20"/>
      <c r="C3090" s="36"/>
      <c r="D3090" s="13"/>
      <c r="E3090" s="13"/>
      <c r="F3090" s="13"/>
      <c r="G3090" s="13"/>
      <c r="H3090" s="13"/>
      <c r="I3090" s="15"/>
      <c r="J3090" s="15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</row>
    <row r="3091" ht="22.5" hidden="1" customHeight="1">
      <c r="A3091" s="6"/>
      <c r="B3091" s="20"/>
      <c r="C3091" s="36"/>
      <c r="D3091" s="13"/>
      <c r="E3091" s="13"/>
      <c r="F3091" s="13"/>
      <c r="G3091" s="13"/>
      <c r="H3091" s="13"/>
      <c r="I3091" s="15"/>
      <c r="J3091" s="15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</row>
    <row r="3092" ht="22.5" hidden="1" customHeight="1">
      <c r="A3092" s="6"/>
      <c r="B3092" s="20"/>
      <c r="C3092" s="36"/>
      <c r="D3092" s="13"/>
      <c r="E3092" s="13"/>
      <c r="F3092" s="13"/>
      <c r="G3092" s="13"/>
      <c r="H3092" s="13"/>
      <c r="I3092" s="15"/>
      <c r="J3092" s="15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</row>
    <row r="3093" ht="22.5" hidden="1" customHeight="1">
      <c r="A3093" s="6"/>
      <c r="B3093" s="20"/>
      <c r="C3093" s="36"/>
      <c r="D3093" s="13"/>
      <c r="E3093" s="13"/>
      <c r="F3093" s="13"/>
      <c r="G3093" s="13"/>
      <c r="H3093" s="13"/>
      <c r="I3093" s="15"/>
      <c r="J3093" s="15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</row>
    <row r="3094" ht="22.5" hidden="1" customHeight="1">
      <c r="A3094" s="6"/>
      <c r="B3094" s="20"/>
      <c r="C3094" s="36"/>
      <c r="D3094" s="13"/>
      <c r="E3094" s="13"/>
      <c r="F3094" s="13"/>
      <c r="G3094" s="13"/>
      <c r="H3094" s="13"/>
      <c r="I3094" s="15"/>
      <c r="J3094" s="15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</row>
    <row r="3095" ht="22.5" hidden="1" customHeight="1">
      <c r="A3095" s="6"/>
      <c r="B3095" s="20"/>
      <c r="C3095" s="36"/>
      <c r="D3095" s="13"/>
      <c r="E3095" s="13"/>
      <c r="F3095" s="13"/>
      <c r="G3095" s="13"/>
      <c r="H3095" s="13"/>
      <c r="I3095" s="15"/>
      <c r="J3095" s="15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</row>
    <row r="3096" ht="22.5" hidden="1" customHeight="1">
      <c r="A3096" s="6"/>
      <c r="B3096" s="20"/>
      <c r="C3096" s="36"/>
      <c r="D3096" s="13"/>
      <c r="E3096" s="13"/>
      <c r="F3096" s="13"/>
      <c r="G3096" s="13"/>
      <c r="H3096" s="13"/>
      <c r="I3096" s="15"/>
      <c r="J3096" s="15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</row>
    <row r="3097" ht="22.5" hidden="1" customHeight="1">
      <c r="A3097" s="6"/>
      <c r="B3097" s="20"/>
      <c r="C3097" s="36"/>
      <c r="D3097" s="13"/>
      <c r="E3097" s="13"/>
      <c r="F3097" s="13"/>
      <c r="G3097" s="13"/>
      <c r="H3097" s="13"/>
      <c r="I3097" s="15"/>
      <c r="J3097" s="15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</row>
    <row r="3098" ht="22.5" hidden="1" customHeight="1">
      <c r="A3098" s="6"/>
      <c r="B3098" s="20"/>
      <c r="C3098" s="36"/>
      <c r="D3098" s="13"/>
      <c r="E3098" s="13"/>
      <c r="F3098" s="13"/>
      <c r="G3098" s="13"/>
      <c r="H3098" s="13"/>
      <c r="I3098" s="15"/>
      <c r="J3098" s="15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</row>
    <row r="3099" ht="22.5" hidden="1" customHeight="1">
      <c r="A3099" s="6"/>
      <c r="B3099" s="20"/>
      <c r="C3099" s="36"/>
      <c r="D3099" s="13"/>
      <c r="E3099" s="13"/>
      <c r="F3099" s="13"/>
      <c r="G3099" s="13"/>
      <c r="H3099" s="13"/>
      <c r="I3099" s="15"/>
      <c r="J3099" s="15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</row>
    <row r="3100" ht="22.5" hidden="1" customHeight="1">
      <c r="A3100" s="6"/>
      <c r="B3100" s="20"/>
      <c r="C3100" s="36"/>
      <c r="D3100" s="13"/>
      <c r="E3100" s="13"/>
      <c r="F3100" s="13"/>
      <c r="G3100" s="13"/>
      <c r="H3100" s="13"/>
      <c r="I3100" s="15"/>
      <c r="J3100" s="15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</row>
    <row r="3101" ht="22.5" hidden="1" customHeight="1">
      <c r="A3101" s="6"/>
      <c r="B3101" s="20"/>
      <c r="C3101" s="36"/>
      <c r="D3101" s="13"/>
      <c r="E3101" s="13"/>
      <c r="F3101" s="13"/>
      <c r="G3101" s="13"/>
      <c r="H3101" s="13"/>
      <c r="I3101" s="15"/>
      <c r="J3101" s="15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</row>
    <row r="3102" ht="22.5" hidden="1" customHeight="1">
      <c r="A3102" s="6"/>
      <c r="B3102" s="20"/>
      <c r="C3102" s="36"/>
      <c r="D3102" s="13"/>
      <c r="E3102" s="13"/>
      <c r="F3102" s="13"/>
      <c r="G3102" s="13"/>
      <c r="H3102" s="13"/>
      <c r="I3102" s="15"/>
      <c r="J3102" s="15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</row>
    <row r="3103" ht="22.5" hidden="1" customHeight="1">
      <c r="A3103" s="6"/>
      <c r="B3103" s="20"/>
      <c r="C3103" s="36"/>
      <c r="D3103" s="13"/>
      <c r="E3103" s="13"/>
      <c r="F3103" s="13"/>
      <c r="G3103" s="13"/>
      <c r="H3103" s="13"/>
      <c r="I3103" s="15"/>
      <c r="J3103" s="15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</row>
    <row r="3104" ht="22.5" hidden="1" customHeight="1">
      <c r="A3104" s="6"/>
      <c r="B3104" s="20"/>
      <c r="C3104" s="36"/>
      <c r="D3104" s="13"/>
      <c r="E3104" s="13"/>
      <c r="F3104" s="13"/>
      <c r="G3104" s="13"/>
      <c r="H3104" s="13"/>
      <c r="I3104" s="15"/>
      <c r="J3104" s="15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</row>
    <row r="3105" ht="22.5" hidden="1" customHeight="1">
      <c r="A3105" s="6"/>
      <c r="B3105" s="20"/>
      <c r="C3105" s="36"/>
      <c r="D3105" s="13"/>
      <c r="E3105" s="13"/>
      <c r="F3105" s="13"/>
      <c r="G3105" s="13"/>
      <c r="H3105" s="13"/>
      <c r="I3105" s="15"/>
      <c r="J3105" s="15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</row>
    <row r="3106" ht="22.5" hidden="1" customHeight="1">
      <c r="A3106" s="6"/>
      <c r="B3106" s="20"/>
      <c r="C3106" s="36"/>
      <c r="D3106" s="13"/>
      <c r="E3106" s="13"/>
      <c r="F3106" s="13"/>
      <c r="G3106" s="13"/>
      <c r="H3106" s="13"/>
      <c r="I3106" s="15"/>
      <c r="J3106" s="15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</row>
    <row r="3107" ht="22.5" hidden="1" customHeight="1">
      <c r="A3107" s="6"/>
      <c r="B3107" s="20"/>
      <c r="C3107" s="36"/>
      <c r="D3107" s="13"/>
      <c r="E3107" s="13"/>
      <c r="F3107" s="13"/>
      <c r="G3107" s="13"/>
      <c r="H3107" s="13"/>
      <c r="I3107" s="15"/>
      <c r="J3107" s="15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</row>
    <row r="3108" ht="22.5" hidden="1" customHeight="1">
      <c r="A3108" s="6"/>
      <c r="B3108" s="20"/>
      <c r="C3108" s="36"/>
      <c r="D3108" s="13"/>
      <c r="E3108" s="13"/>
      <c r="F3108" s="13"/>
      <c r="G3108" s="13"/>
      <c r="H3108" s="13"/>
      <c r="I3108" s="15"/>
      <c r="J3108" s="15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</row>
    <row r="3109" ht="22.5" hidden="1" customHeight="1">
      <c r="A3109" s="6"/>
      <c r="B3109" s="20"/>
      <c r="C3109" s="36"/>
      <c r="D3109" s="13"/>
      <c r="E3109" s="13"/>
      <c r="F3109" s="13"/>
      <c r="G3109" s="13"/>
      <c r="H3109" s="13"/>
      <c r="I3109" s="15"/>
      <c r="J3109" s="15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</row>
    <row r="3110" ht="22.5" hidden="1" customHeight="1">
      <c r="A3110" s="6"/>
      <c r="B3110" s="20"/>
      <c r="C3110" s="36"/>
      <c r="D3110" s="13"/>
      <c r="E3110" s="13"/>
      <c r="F3110" s="13"/>
      <c r="G3110" s="13"/>
      <c r="H3110" s="13"/>
      <c r="I3110" s="15"/>
      <c r="J3110" s="15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</row>
    <row r="3111" ht="22.5" hidden="1" customHeight="1">
      <c r="A3111" s="6"/>
      <c r="B3111" s="20"/>
      <c r="C3111" s="36"/>
      <c r="D3111" s="13"/>
      <c r="E3111" s="13"/>
      <c r="F3111" s="13"/>
      <c r="G3111" s="13"/>
      <c r="H3111" s="13"/>
      <c r="I3111" s="15"/>
      <c r="J3111" s="15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</row>
    <row r="3112" ht="22.5" hidden="1" customHeight="1">
      <c r="A3112" s="6"/>
      <c r="B3112" s="20"/>
      <c r="C3112" s="36"/>
      <c r="D3112" s="13"/>
      <c r="E3112" s="13"/>
      <c r="F3112" s="13"/>
      <c r="G3112" s="13"/>
      <c r="H3112" s="13"/>
      <c r="I3112" s="15"/>
      <c r="J3112" s="15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</row>
    <row r="3113" ht="22.5" hidden="1" customHeight="1">
      <c r="A3113" s="6"/>
      <c r="B3113" s="20"/>
      <c r="C3113" s="36"/>
      <c r="D3113" s="13"/>
      <c r="E3113" s="13"/>
      <c r="F3113" s="13"/>
      <c r="G3113" s="13"/>
      <c r="H3113" s="13"/>
      <c r="I3113" s="15"/>
      <c r="J3113" s="15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</row>
    <row r="3114" ht="22.5" hidden="1" customHeight="1">
      <c r="A3114" s="6"/>
      <c r="B3114" s="20"/>
      <c r="C3114" s="36"/>
      <c r="D3114" s="13"/>
      <c r="E3114" s="13"/>
      <c r="F3114" s="13"/>
      <c r="G3114" s="13"/>
      <c r="H3114" s="13"/>
      <c r="I3114" s="15"/>
      <c r="J3114" s="15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</row>
    <row r="3115" ht="22.5" hidden="1" customHeight="1">
      <c r="A3115" s="6"/>
      <c r="B3115" s="20"/>
      <c r="C3115" s="36"/>
      <c r="D3115" s="13"/>
      <c r="E3115" s="13"/>
      <c r="F3115" s="13"/>
      <c r="G3115" s="13"/>
      <c r="H3115" s="13"/>
      <c r="I3115" s="15"/>
      <c r="J3115" s="15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</row>
    <row r="3116" ht="22.5" hidden="1" customHeight="1">
      <c r="A3116" s="6"/>
      <c r="B3116" s="20"/>
      <c r="C3116" s="36"/>
      <c r="D3116" s="13"/>
      <c r="E3116" s="13"/>
      <c r="F3116" s="13"/>
      <c r="G3116" s="13"/>
      <c r="H3116" s="13"/>
      <c r="I3116" s="15"/>
      <c r="J3116" s="15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</row>
    <row r="3117" ht="22.5" hidden="1" customHeight="1">
      <c r="A3117" s="6"/>
      <c r="B3117" s="20"/>
      <c r="C3117" s="36"/>
      <c r="D3117" s="13"/>
      <c r="E3117" s="13"/>
      <c r="F3117" s="13"/>
      <c r="G3117" s="13"/>
      <c r="H3117" s="13"/>
      <c r="I3117" s="15"/>
      <c r="J3117" s="15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</row>
    <row r="3118" ht="22.5" hidden="1" customHeight="1">
      <c r="A3118" s="6"/>
      <c r="B3118" s="20"/>
      <c r="C3118" s="36"/>
      <c r="D3118" s="13"/>
      <c r="E3118" s="13"/>
      <c r="F3118" s="13"/>
      <c r="G3118" s="13"/>
      <c r="H3118" s="13"/>
      <c r="I3118" s="15"/>
      <c r="J3118" s="15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</row>
    <row r="3119" ht="22.5" hidden="1" customHeight="1">
      <c r="A3119" s="6"/>
      <c r="B3119" s="20"/>
      <c r="C3119" s="36"/>
      <c r="D3119" s="13"/>
      <c r="E3119" s="13"/>
      <c r="F3119" s="13"/>
      <c r="G3119" s="13"/>
      <c r="H3119" s="13"/>
      <c r="I3119" s="15"/>
      <c r="J3119" s="15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</row>
    <row r="3120" ht="22.5" hidden="1" customHeight="1">
      <c r="A3120" s="6"/>
      <c r="B3120" s="20"/>
      <c r="C3120" s="36"/>
      <c r="D3120" s="13"/>
      <c r="E3120" s="13"/>
      <c r="F3120" s="13"/>
      <c r="G3120" s="13"/>
      <c r="H3120" s="13"/>
      <c r="I3120" s="15"/>
      <c r="J3120" s="15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</row>
    <row r="3121" ht="22.5" hidden="1" customHeight="1">
      <c r="A3121" s="6"/>
      <c r="B3121" s="20"/>
      <c r="C3121" s="36"/>
      <c r="D3121" s="13"/>
      <c r="E3121" s="13"/>
      <c r="F3121" s="13"/>
      <c r="G3121" s="13"/>
      <c r="H3121" s="13"/>
      <c r="I3121" s="15"/>
      <c r="J3121" s="15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</row>
    <row r="3122" ht="22.5" hidden="1" customHeight="1">
      <c r="A3122" s="6"/>
      <c r="B3122" s="20"/>
      <c r="C3122" s="36"/>
      <c r="D3122" s="13"/>
      <c r="E3122" s="13"/>
      <c r="F3122" s="13"/>
      <c r="G3122" s="13"/>
      <c r="H3122" s="13"/>
      <c r="I3122" s="15"/>
      <c r="J3122" s="15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</row>
    <row r="3123" ht="22.5" hidden="1" customHeight="1">
      <c r="A3123" s="6"/>
      <c r="B3123" s="20"/>
      <c r="C3123" s="36"/>
      <c r="D3123" s="13"/>
      <c r="E3123" s="13"/>
      <c r="F3123" s="13"/>
      <c r="G3123" s="13"/>
      <c r="H3123" s="13"/>
      <c r="I3123" s="15"/>
      <c r="J3123" s="15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</row>
    <row r="3124" ht="22.5" hidden="1" customHeight="1">
      <c r="A3124" s="6"/>
      <c r="B3124" s="20"/>
      <c r="C3124" s="36"/>
      <c r="D3124" s="13"/>
      <c r="E3124" s="13"/>
      <c r="F3124" s="13"/>
      <c r="G3124" s="13"/>
      <c r="H3124" s="13"/>
      <c r="I3124" s="15"/>
      <c r="J3124" s="15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</row>
    <row r="3125" ht="22.5" hidden="1" customHeight="1">
      <c r="A3125" s="6"/>
      <c r="B3125" s="20"/>
      <c r="C3125" s="36"/>
      <c r="D3125" s="13"/>
      <c r="E3125" s="13"/>
      <c r="F3125" s="13"/>
      <c r="G3125" s="13"/>
      <c r="H3125" s="13"/>
      <c r="I3125" s="15"/>
      <c r="J3125" s="15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</row>
    <row r="3126" ht="22.5" hidden="1" customHeight="1">
      <c r="A3126" s="6"/>
      <c r="B3126" s="20"/>
      <c r="C3126" s="36"/>
      <c r="D3126" s="13"/>
      <c r="E3126" s="13"/>
      <c r="F3126" s="13"/>
      <c r="G3126" s="13"/>
      <c r="H3126" s="13"/>
      <c r="I3126" s="15"/>
      <c r="J3126" s="15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</row>
    <row r="3127" ht="22.5" hidden="1" customHeight="1">
      <c r="A3127" s="6"/>
      <c r="B3127" s="20"/>
      <c r="C3127" s="36"/>
      <c r="D3127" s="13"/>
      <c r="E3127" s="13"/>
      <c r="F3127" s="13"/>
      <c r="G3127" s="13"/>
      <c r="H3127" s="13"/>
      <c r="I3127" s="15"/>
      <c r="J3127" s="15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</row>
    <row r="3128" ht="22.5" hidden="1" customHeight="1">
      <c r="A3128" s="6"/>
      <c r="B3128" s="20"/>
      <c r="C3128" s="36"/>
      <c r="D3128" s="13"/>
      <c r="E3128" s="13"/>
      <c r="F3128" s="13"/>
      <c r="G3128" s="13"/>
      <c r="H3128" s="13"/>
      <c r="I3128" s="15"/>
      <c r="J3128" s="15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</row>
    <row r="3129" ht="22.5" hidden="1" customHeight="1">
      <c r="A3129" s="6"/>
      <c r="B3129" s="20"/>
      <c r="C3129" s="36"/>
      <c r="D3129" s="13"/>
      <c r="E3129" s="13"/>
      <c r="F3129" s="13"/>
      <c r="G3129" s="13"/>
      <c r="H3129" s="13"/>
      <c r="I3129" s="15"/>
      <c r="J3129" s="15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</row>
    <row r="3130" ht="22.5" hidden="1" customHeight="1">
      <c r="A3130" s="6"/>
      <c r="B3130" s="20"/>
      <c r="C3130" s="36"/>
      <c r="D3130" s="13"/>
      <c r="E3130" s="13"/>
      <c r="F3130" s="13"/>
      <c r="G3130" s="13"/>
      <c r="H3130" s="13"/>
      <c r="I3130" s="15"/>
      <c r="J3130" s="15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</row>
    <row r="3131" ht="22.5" hidden="1" customHeight="1">
      <c r="A3131" s="6"/>
      <c r="B3131" s="20"/>
      <c r="C3131" s="36"/>
      <c r="D3131" s="13"/>
      <c r="E3131" s="13"/>
      <c r="F3131" s="13"/>
      <c r="G3131" s="13"/>
      <c r="H3131" s="13"/>
      <c r="I3131" s="15"/>
      <c r="J3131" s="15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</row>
    <row r="3132" ht="22.5" hidden="1" customHeight="1">
      <c r="A3132" s="6"/>
      <c r="B3132" s="20"/>
      <c r="C3132" s="36"/>
      <c r="D3132" s="13"/>
      <c r="E3132" s="13"/>
      <c r="F3132" s="13"/>
      <c r="G3132" s="13"/>
      <c r="H3132" s="13"/>
      <c r="I3132" s="15"/>
      <c r="J3132" s="15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</row>
    <row r="3133" ht="22.5" hidden="1" customHeight="1">
      <c r="A3133" s="6"/>
      <c r="B3133" s="20"/>
      <c r="C3133" s="36"/>
      <c r="D3133" s="13"/>
      <c r="E3133" s="13"/>
      <c r="F3133" s="13"/>
      <c r="G3133" s="13"/>
      <c r="H3133" s="13"/>
      <c r="I3133" s="15"/>
      <c r="J3133" s="15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</row>
    <row r="3134" ht="22.5" hidden="1" customHeight="1">
      <c r="A3134" s="6"/>
      <c r="B3134" s="20"/>
      <c r="C3134" s="36"/>
      <c r="D3134" s="13"/>
      <c r="E3134" s="13"/>
      <c r="F3134" s="13"/>
      <c r="G3134" s="13"/>
      <c r="H3134" s="13"/>
      <c r="I3134" s="15"/>
      <c r="J3134" s="15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</row>
    <row r="3135" ht="22.5" hidden="1" customHeight="1">
      <c r="A3135" s="6"/>
      <c r="B3135" s="20"/>
      <c r="C3135" s="36"/>
      <c r="D3135" s="13"/>
      <c r="E3135" s="13"/>
      <c r="F3135" s="13"/>
      <c r="G3135" s="13"/>
      <c r="H3135" s="13"/>
      <c r="I3135" s="15"/>
      <c r="J3135" s="15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</row>
    <row r="3136" ht="22.5" hidden="1" customHeight="1">
      <c r="A3136" s="6"/>
      <c r="B3136" s="20"/>
      <c r="C3136" s="36"/>
      <c r="D3136" s="13"/>
      <c r="E3136" s="13"/>
      <c r="F3136" s="13"/>
      <c r="G3136" s="13"/>
      <c r="H3136" s="13"/>
      <c r="I3136" s="15"/>
      <c r="J3136" s="15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</row>
    <row r="3137" ht="22.5" hidden="1" customHeight="1">
      <c r="A3137" s="6"/>
      <c r="B3137" s="20"/>
      <c r="C3137" s="36"/>
      <c r="D3137" s="13"/>
      <c r="E3137" s="13"/>
      <c r="F3137" s="13"/>
      <c r="G3137" s="13"/>
      <c r="H3137" s="13"/>
      <c r="I3137" s="15"/>
      <c r="J3137" s="15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</row>
    <row r="3138" ht="22.5" hidden="1" customHeight="1">
      <c r="A3138" s="6"/>
      <c r="B3138" s="20"/>
      <c r="C3138" s="36"/>
      <c r="D3138" s="13"/>
      <c r="E3138" s="13"/>
      <c r="F3138" s="13"/>
      <c r="G3138" s="13"/>
      <c r="H3138" s="13"/>
      <c r="I3138" s="15"/>
      <c r="J3138" s="15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</row>
    <row r="3139" ht="22.5" hidden="1" customHeight="1">
      <c r="A3139" s="6"/>
      <c r="B3139" s="20"/>
      <c r="C3139" s="36"/>
      <c r="D3139" s="13"/>
      <c r="E3139" s="13"/>
      <c r="F3139" s="13"/>
      <c r="G3139" s="13"/>
      <c r="H3139" s="13"/>
      <c r="I3139" s="15"/>
      <c r="J3139" s="15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</row>
    <row r="3140" ht="22.5" hidden="1" customHeight="1">
      <c r="A3140" s="6"/>
      <c r="B3140" s="20"/>
      <c r="C3140" s="36"/>
      <c r="D3140" s="13"/>
      <c r="E3140" s="13"/>
      <c r="F3140" s="13"/>
      <c r="G3140" s="13"/>
      <c r="H3140" s="13"/>
      <c r="I3140" s="15"/>
      <c r="J3140" s="15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</row>
    <row r="3141" ht="22.5" hidden="1" customHeight="1">
      <c r="A3141" s="6"/>
      <c r="B3141" s="20"/>
      <c r="C3141" s="36"/>
      <c r="D3141" s="13"/>
      <c r="E3141" s="13"/>
      <c r="F3141" s="13"/>
      <c r="G3141" s="13"/>
      <c r="H3141" s="13"/>
      <c r="I3141" s="15"/>
      <c r="J3141" s="15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</row>
    <row r="3142" ht="22.5" hidden="1" customHeight="1">
      <c r="A3142" s="6"/>
      <c r="B3142" s="20"/>
      <c r="C3142" s="36"/>
      <c r="D3142" s="13"/>
      <c r="E3142" s="13"/>
      <c r="F3142" s="13"/>
      <c r="G3142" s="13"/>
      <c r="H3142" s="13"/>
      <c r="I3142" s="15"/>
      <c r="J3142" s="15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</row>
    <row r="3143" ht="22.5" hidden="1" customHeight="1">
      <c r="A3143" s="6"/>
      <c r="B3143" s="20"/>
      <c r="C3143" s="36"/>
      <c r="D3143" s="13"/>
      <c r="E3143" s="13"/>
      <c r="F3143" s="13"/>
      <c r="G3143" s="13"/>
      <c r="H3143" s="13"/>
      <c r="I3143" s="15"/>
      <c r="J3143" s="15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</row>
    <row r="3144" ht="22.5" hidden="1" customHeight="1">
      <c r="A3144" s="6"/>
      <c r="B3144" s="20"/>
      <c r="C3144" s="36"/>
      <c r="D3144" s="13"/>
      <c r="E3144" s="13"/>
      <c r="F3144" s="13"/>
      <c r="G3144" s="13"/>
      <c r="H3144" s="13"/>
      <c r="I3144" s="15"/>
      <c r="J3144" s="15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</row>
    <row r="3145" ht="22.5" hidden="1" customHeight="1">
      <c r="A3145" s="6"/>
      <c r="B3145" s="20"/>
      <c r="C3145" s="36"/>
      <c r="D3145" s="13"/>
      <c r="E3145" s="13"/>
      <c r="F3145" s="13"/>
      <c r="G3145" s="13"/>
      <c r="H3145" s="13"/>
      <c r="I3145" s="15"/>
      <c r="J3145" s="15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</row>
    <row r="3146" ht="22.5" hidden="1" customHeight="1">
      <c r="A3146" s="6"/>
      <c r="B3146" s="20"/>
      <c r="C3146" s="36"/>
      <c r="D3146" s="13"/>
      <c r="E3146" s="13"/>
      <c r="F3146" s="13"/>
      <c r="G3146" s="13"/>
      <c r="H3146" s="13"/>
      <c r="I3146" s="15"/>
      <c r="J3146" s="15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</row>
    <row r="3147" ht="22.5" hidden="1" customHeight="1">
      <c r="A3147" s="6"/>
      <c r="B3147" s="20"/>
      <c r="C3147" s="36"/>
      <c r="D3147" s="13"/>
      <c r="E3147" s="13"/>
      <c r="F3147" s="13"/>
      <c r="G3147" s="13"/>
      <c r="H3147" s="13"/>
      <c r="I3147" s="15"/>
      <c r="J3147" s="15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</row>
    <row r="3148" ht="22.5" hidden="1" customHeight="1">
      <c r="A3148" s="6"/>
      <c r="B3148" s="20"/>
      <c r="C3148" s="36"/>
      <c r="D3148" s="13"/>
      <c r="E3148" s="13"/>
      <c r="F3148" s="13"/>
      <c r="G3148" s="13"/>
      <c r="H3148" s="13"/>
      <c r="I3148" s="15"/>
      <c r="J3148" s="15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</row>
    <row r="3149" ht="22.5" hidden="1" customHeight="1">
      <c r="A3149" s="6"/>
      <c r="B3149" s="20"/>
      <c r="C3149" s="36"/>
      <c r="D3149" s="13"/>
      <c r="E3149" s="13"/>
      <c r="F3149" s="13"/>
      <c r="G3149" s="13"/>
      <c r="H3149" s="13"/>
      <c r="I3149" s="15"/>
      <c r="J3149" s="15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</row>
    <row r="3150" ht="22.5" hidden="1" customHeight="1">
      <c r="A3150" s="6"/>
      <c r="B3150" s="20"/>
      <c r="C3150" s="36"/>
      <c r="D3150" s="13"/>
      <c r="E3150" s="13"/>
      <c r="F3150" s="13"/>
      <c r="G3150" s="13"/>
      <c r="H3150" s="13"/>
      <c r="I3150" s="15"/>
      <c r="J3150" s="15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</row>
    <row r="3151" ht="22.5" hidden="1" customHeight="1">
      <c r="A3151" s="6"/>
      <c r="B3151" s="20"/>
      <c r="C3151" s="36"/>
      <c r="D3151" s="13"/>
      <c r="E3151" s="13"/>
      <c r="F3151" s="13"/>
      <c r="G3151" s="13"/>
      <c r="H3151" s="13"/>
      <c r="I3151" s="15"/>
      <c r="J3151" s="15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</row>
    <row r="3152" ht="22.5" hidden="1" customHeight="1">
      <c r="A3152" s="6"/>
      <c r="B3152" s="20"/>
      <c r="C3152" s="36"/>
      <c r="D3152" s="13"/>
      <c r="E3152" s="13"/>
      <c r="F3152" s="13"/>
      <c r="G3152" s="13"/>
      <c r="H3152" s="13"/>
      <c r="I3152" s="15"/>
      <c r="J3152" s="15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</row>
    <row r="3153" ht="22.5" hidden="1" customHeight="1">
      <c r="A3153" s="6"/>
      <c r="B3153" s="20"/>
      <c r="C3153" s="36"/>
      <c r="D3153" s="13"/>
      <c r="E3153" s="13"/>
      <c r="F3153" s="13"/>
      <c r="G3153" s="13"/>
      <c r="H3153" s="13"/>
      <c r="I3153" s="15"/>
      <c r="J3153" s="15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</row>
    <row r="3154" ht="22.5" hidden="1" customHeight="1">
      <c r="A3154" s="6"/>
      <c r="B3154" s="20"/>
      <c r="C3154" s="36"/>
      <c r="D3154" s="13"/>
      <c r="E3154" s="13"/>
      <c r="F3154" s="13"/>
      <c r="G3154" s="13"/>
      <c r="H3154" s="13"/>
      <c r="I3154" s="15"/>
      <c r="J3154" s="15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</row>
    <row r="3155" ht="22.5" hidden="1" customHeight="1">
      <c r="A3155" s="6"/>
      <c r="B3155" s="20"/>
      <c r="C3155" s="36"/>
      <c r="D3155" s="13"/>
      <c r="E3155" s="13"/>
      <c r="F3155" s="13"/>
      <c r="G3155" s="13"/>
      <c r="H3155" s="13"/>
      <c r="I3155" s="15"/>
      <c r="J3155" s="15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</row>
    <row r="3156" ht="22.5" hidden="1" customHeight="1">
      <c r="A3156" s="6"/>
      <c r="B3156" s="20"/>
      <c r="C3156" s="36"/>
      <c r="D3156" s="13"/>
      <c r="E3156" s="13"/>
      <c r="F3156" s="13"/>
      <c r="G3156" s="13"/>
      <c r="H3156" s="13"/>
      <c r="I3156" s="15"/>
      <c r="J3156" s="15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</row>
    <row r="3157" ht="22.5" hidden="1" customHeight="1">
      <c r="A3157" s="6"/>
      <c r="B3157" s="20"/>
      <c r="C3157" s="36"/>
      <c r="D3157" s="13"/>
      <c r="E3157" s="13"/>
      <c r="F3157" s="13"/>
      <c r="G3157" s="13"/>
      <c r="H3157" s="13"/>
      <c r="I3157" s="15"/>
      <c r="J3157" s="15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</row>
    <row r="3158" ht="22.5" hidden="1" customHeight="1">
      <c r="A3158" s="6"/>
      <c r="B3158" s="20"/>
      <c r="C3158" s="36"/>
      <c r="D3158" s="13"/>
      <c r="E3158" s="13"/>
      <c r="F3158" s="13"/>
      <c r="G3158" s="13"/>
      <c r="H3158" s="13"/>
      <c r="I3158" s="15"/>
      <c r="J3158" s="15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</row>
    <row r="3159" ht="22.5" hidden="1" customHeight="1">
      <c r="A3159" s="6"/>
      <c r="B3159" s="20"/>
      <c r="C3159" s="36"/>
      <c r="D3159" s="13"/>
      <c r="E3159" s="13"/>
      <c r="F3159" s="13"/>
      <c r="G3159" s="13"/>
      <c r="H3159" s="13"/>
      <c r="I3159" s="15"/>
      <c r="J3159" s="15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</row>
    <row r="3160" ht="22.5" hidden="1" customHeight="1">
      <c r="A3160" s="6"/>
      <c r="B3160" s="20"/>
      <c r="C3160" s="36"/>
      <c r="D3160" s="13"/>
      <c r="E3160" s="13"/>
      <c r="F3160" s="13"/>
      <c r="G3160" s="13"/>
      <c r="H3160" s="13"/>
      <c r="I3160" s="15"/>
      <c r="J3160" s="15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</row>
    <row r="3161" ht="22.5" hidden="1" customHeight="1">
      <c r="A3161" s="6"/>
      <c r="B3161" s="20"/>
      <c r="C3161" s="36"/>
      <c r="D3161" s="13"/>
      <c r="E3161" s="13"/>
      <c r="F3161" s="13"/>
      <c r="G3161" s="13"/>
      <c r="H3161" s="13"/>
      <c r="I3161" s="15"/>
      <c r="J3161" s="15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</row>
    <row r="3162" ht="22.5" hidden="1" customHeight="1">
      <c r="A3162" s="6"/>
      <c r="B3162" s="20"/>
      <c r="C3162" s="36"/>
      <c r="D3162" s="13"/>
      <c r="E3162" s="13"/>
      <c r="F3162" s="13"/>
      <c r="G3162" s="13"/>
      <c r="H3162" s="13"/>
      <c r="I3162" s="15"/>
      <c r="J3162" s="15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</row>
    <row r="3163" ht="22.5" hidden="1" customHeight="1">
      <c r="A3163" s="6"/>
      <c r="B3163" s="20"/>
      <c r="C3163" s="36"/>
      <c r="D3163" s="13"/>
      <c r="E3163" s="13"/>
      <c r="F3163" s="13"/>
      <c r="G3163" s="13"/>
      <c r="H3163" s="13"/>
      <c r="I3163" s="15"/>
      <c r="J3163" s="15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</row>
    <row r="3164" ht="22.5" hidden="1" customHeight="1">
      <c r="A3164" s="6"/>
      <c r="B3164" s="20"/>
      <c r="C3164" s="36"/>
      <c r="D3164" s="13"/>
      <c r="E3164" s="13"/>
      <c r="F3164" s="13"/>
      <c r="G3164" s="13"/>
      <c r="H3164" s="13"/>
      <c r="I3164" s="15"/>
      <c r="J3164" s="15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</row>
    <row r="3165" ht="22.5" hidden="1" customHeight="1">
      <c r="A3165" s="6"/>
      <c r="B3165" s="20"/>
      <c r="C3165" s="36"/>
      <c r="D3165" s="13"/>
      <c r="E3165" s="13"/>
      <c r="F3165" s="13"/>
      <c r="G3165" s="13"/>
      <c r="H3165" s="13"/>
      <c r="I3165" s="15"/>
      <c r="J3165" s="15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</row>
    <row r="3166" ht="22.5" hidden="1" customHeight="1">
      <c r="A3166" s="6"/>
      <c r="B3166" s="20"/>
      <c r="C3166" s="36"/>
      <c r="D3166" s="13"/>
      <c r="E3166" s="13"/>
      <c r="F3166" s="13"/>
      <c r="G3166" s="13"/>
      <c r="H3166" s="13"/>
      <c r="I3166" s="15"/>
      <c r="J3166" s="15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</row>
    <row r="3167" ht="22.5" hidden="1" customHeight="1">
      <c r="A3167" s="6"/>
      <c r="B3167" s="20"/>
      <c r="C3167" s="36"/>
      <c r="D3167" s="13"/>
      <c r="E3167" s="13"/>
      <c r="F3167" s="13"/>
      <c r="G3167" s="13"/>
      <c r="H3167" s="13"/>
      <c r="I3167" s="15"/>
      <c r="J3167" s="15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</row>
    <row r="3168" ht="22.5" hidden="1" customHeight="1">
      <c r="A3168" s="6"/>
      <c r="B3168" s="20"/>
      <c r="C3168" s="36"/>
      <c r="D3168" s="13"/>
      <c r="E3168" s="13"/>
      <c r="F3168" s="13"/>
      <c r="G3168" s="13"/>
      <c r="H3168" s="13"/>
      <c r="I3168" s="15"/>
      <c r="J3168" s="15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</row>
    <row r="3169" ht="22.5" hidden="1" customHeight="1">
      <c r="A3169" s="6"/>
      <c r="B3169" s="20"/>
      <c r="C3169" s="36"/>
      <c r="D3169" s="13"/>
      <c r="E3169" s="13"/>
      <c r="F3169" s="13"/>
      <c r="G3169" s="13"/>
      <c r="H3169" s="13"/>
      <c r="I3169" s="15"/>
      <c r="J3169" s="15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</row>
    <row r="3170" ht="22.5" hidden="1" customHeight="1">
      <c r="A3170" s="6"/>
      <c r="B3170" s="20"/>
      <c r="C3170" s="36"/>
      <c r="D3170" s="13"/>
      <c r="E3170" s="13"/>
      <c r="F3170" s="13"/>
      <c r="G3170" s="13"/>
      <c r="H3170" s="13"/>
      <c r="I3170" s="15"/>
      <c r="J3170" s="15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</row>
    <row r="3171" ht="22.5" hidden="1" customHeight="1">
      <c r="A3171" s="6"/>
      <c r="B3171" s="20"/>
      <c r="C3171" s="36"/>
      <c r="D3171" s="13"/>
      <c r="E3171" s="13"/>
      <c r="F3171" s="13"/>
      <c r="G3171" s="13"/>
      <c r="H3171" s="13"/>
      <c r="I3171" s="15"/>
      <c r="J3171" s="15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</row>
    <row r="3172" ht="22.5" hidden="1" customHeight="1">
      <c r="A3172" s="6"/>
      <c r="B3172" s="20"/>
      <c r="C3172" s="36"/>
      <c r="D3172" s="13"/>
      <c r="E3172" s="13"/>
      <c r="F3172" s="13"/>
      <c r="G3172" s="13"/>
      <c r="H3172" s="13"/>
      <c r="I3172" s="15"/>
      <c r="J3172" s="15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</row>
    <row r="3173" ht="22.5" hidden="1" customHeight="1">
      <c r="A3173" s="6"/>
      <c r="B3173" s="20"/>
      <c r="C3173" s="36"/>
      <c r="D3173" s="13"/>
      <c r="E3173" s="13"/>
      <c r="F3173" s="13"/>
      <c r="G3173" s="13"/>
      <c r="H3173" s="13"/>
      <c r="I3173" s="15"/>
      <c r="J3173" s="15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</row>
    <row r="3174" ht="22.5" hidden="1" customHeight="1">
      <c r="A3174" s="6"/>
      <c r="B3174" s="20"/>
      <c r="C3174" s="36"/>
      <c r="D3174" s="13"/>
      <c r="E3174" s="13"/>
      <c r="F3174" s="13"/>
      <c r="G3174" s="13"/>
      <c r="H3174" s="13"/>
      <c r="I3174" s="15"/>
      <c r="J3174" s="15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</row>
    <row r="3175" ht="22.5" hidden="1" customHeight="1">
      <c r="A3175" s="6"/>
      <c r="B3175" s="20"/>
      <c r="C3175" s="36"/>
      <c r="D3175" s="13"/>
      <c r="E3175" s="13"/>
      <c r="F3175" s="13"/>
      <c r="G3175" s="13"/>
      <c r="H3175" s="13"/>
      <c r="I3175" s="15"/>
      <c r="J3175" s="15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</row>
    <row r="3176" ht="22.5" hidden="1" customHeight="1">
      <c r="A3176" s="6"/>
      <c r="B3176" s="20"/>
      <c r="C3176" s="36"/>
      <c r="D3176" s="13"/>
      <c r="E3176" s="13"/>
      <c r="F3176" s="13"/>
      <c r="G3176" s="13"/>
      <c r="H3176" s="13"/>
      <c r="I3176" s="15"/>
      <c r="J3176" s="15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</row>
    <row r="3177" ht="22.5" hidden="1" customHeight="1">
      <c r="A3177" s="6"/>
      <c r="B3177" s="20"/>
      <c r="C3177" s="36"/>
      <c r="D3177" s="13"/>
      <c r="E3177" s="13"/>
      <c r="F3177" s="13"/>
      <c r="G3177" s="13"/>
      <c r="H3177" s="13"/>
      <c r="I3177" s="15"/>
      <c r="J3177" s="15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</row>
    <row r="3178" ht="22.5" hidden="1" customHeight="1">
      <c r="A3178" s="6"/>
      <c r="B3178" s="20"/>
      <c r="C3178" s="36"/>
      <c r="D3178" s="13"/>
      <c r="E3178" s="13"/>
      <c r="F3178" s="13"/>
      <c r="G3178" s="13"/>
      <c r="H3178" s="13"/>
      <c r="I3178" s="15"/>
      <c r="J3178" s="15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</row>
    <row r="3179" ht="22.5" hidden="1" customHeight="1">
      <c r="A3179" s="6"/>
      <c r="B3179" s="20"/>
      <c r="C3179" s="36"/>
      <c r="D3179" s="13"/>
      <c r="E3179" s="13"/>
      <c r="F3179" s="13"/>
      <c r="G3179" s="13"/>
      <c r="H3179" s="13"/>
      <c r="I3179" s="15"/>
      <c r="J3179" s="15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</row>
    <row r="3180" ht="22.5" hidden="1" customHeight="1">
      <c r="A3180" s="6"/>
      <c r="B3180" s="20"/>
      <c r="C3180" s="36"/>
      <c r="D3180" s="13"/>
      <c r="E3180" s="13"/>
      <c r="F3180" s="13"/>
      <c r="G3180" s="13"/>
      <c r="H3180" s="13"/>
      <c r="I3180" s="15"/>
      <c r="J3180" s="15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</row>
    <row r="3181" ht="22.5" hidden="1" customHeight="1">
      <c r="A3181" s="6"/>
      <c r="B3181" s="20"/>
      <c r="C3181" s="36"/>
      <c r="D3181" s="13"/>
      <c r="E3181" s="13"/>
      <c r="F3181" s="13"/>
      <c r="G3181" s="13"/>
      <c r="H3181" s="13"/>
      <c r="I3181" s="15"/>
      <c r="J3181" s="15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</row>
    <row r="3182" ht="22.5" hidden="1" customHeight="1">
      <c r="A3182" s="6"/>
      <c r="B3182" s="20"/>
      <c r="C3182" s="36"/>
      <c r="D3182" s="13"/>
      <c r="E3182" s="13"/>
      <c r="F3182" s="13"/>
      <c r="G3182" s="13"/>
      <c r="H3182" s="13"/>
      <c r="I3182" s="15"/>
      <c r="J3182" s="15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</row>
    <row r="3183" ht="22.5" hidden="1" customHeight="1">
      <c r="A3183" s="6"/>
      <c r="B3183" s="20"/>
      <c r="C3183" s="36"/>
      <c r="D3183" s="13"/>
      <c r="E3183" s="13"/>
      <c r="F3183" s="13"/>
      <c r="G3183" s="13"/>
      <c r="H3183" s="13"/>
      <c r="I3183" s="15"/>
      <c r="J3183" s="15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</row>
    <row r="3184" ht="22.5" hidden="1" customHeight="1">
      <c r="A3184" s="6"/>
      <c r="B3184" s="20"/>
      <c r="C3184" s="36"/>
      <c r="D3184" s="13"/>
      <c r="E3184" s="13"/>
      <c r="F3184" s="13"/>
      <c r="G3184" s="13"/>
      <c r="H3184" s="13"/>
      <c r="I3184" s="15"/>
      <c r="J3184" s="15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</row>
    <row r="3185" ht="22.5" hidden="1" customHeight="1">
      <c r="A3185" s="6"/>
      <c r="B3185" s="20"/>
      <c r="C3185" s="36"/>
      <c r="D3185" s="13"/>
      <c r="E3185" s="13"/>
      <c r="F3185" s="13"/>
      <c r="G3185" s="13"/>
      <c r="H3185" s="13"/>
      <c r="I3185" s="15"/>
      <c r="J3185" s="15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</row>
    <row r="3186" ht="22.5" hidden="1" customHeight="1">
      <c r="A3186" s="6"/>
      <c r="B3186" s="20"/>
      <c r="C3186" s="36"/>
      <c r="D3186" s="13"/>
      <c r="E3186" s="13"/>
      <c r="F3186" s="13"/>
      <c r="G3186" s="13"/>
      <c r="H3186" s="13"/>
      <c r="I3186" s="15"/>
      <c r="J3186" s="15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</row>
    <row r="3187" ht="22.5" hidden="1" customHeight="1">
      <c r="A3187" s="6"/>
      <c r="B3187" s="20"/>
      <c r="C3187" s="36"/>
      <c r="D3187" s="13"/>
      <c r="E3187" s="13"/>
      <c r="F3187" s="13"/>
      <c r="G3187" s="13"/>
      <c r="H3187" s="13"/>
      <c r="I3187" s="15"/>
      <c r="J3187" s="15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</row>
    <row r="3188" ht="22.5" hidden="1" customHeight="1">
      <c r="A3188" s="6"/>
      <c r="B3188" s="20"/>
      <c r="C3188" s="36"/>
      <c r="D3188" s="13"/>
      <c r="E3188" s="13"/>
      <c r="F3188" s="13"/>
      <c r="G3188" s="13"/>
      <c r="H3188" s="13"/>
      <c r="I3188" s="15"/>
      <c r="J3188" s="15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</row>
    <row r="3189" ht="22.5" hidden="1" customHeight="1">
      <c r="A3189" s="6"/>
      <c r="B3189" s="20"/>
      <c r="C3189" s="36"/>
      <c r="D3189" s="13"/>
      <c r="E3189" s="13"/>
      <c r="F3189" s="13"/>
      <c r="G3189" s="13"/>
      <c r="H3189" s="13"/>
      <c r="I3189" s="15"/>
      <c r="J3189" s="15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</row>
    <row r="3190" ht="22.5" hidden="1" customHeight="1">
      <c r="A3190" s="6"/>
      <c r="B3190" s="20"/>
      <c r="C3190" s="36"/>
      <c r="D3190" s="13"/>
      <c r="E3190" s="13"/>
      <c r="F3190" s="13"/>
      <c r="G3190" s="13"/>
      <c r="H3190" s="13"/>
      <c r="I3190" s="15"/>
      <c r="J3190" s="15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</row>
    <row r="3191" ht="22.5" hidden="1" customHeight="1">
      <c r="A3191" s="6"/>
      <c r="B3191" s="20"/>
      <c r="C3191" s="36"/>
      <c r="D3191" s="13"/>
      <c r="E3191" s="13"/>
      <c r="F3191" s="13"/>
      <c r="G3191" s="13"/>
      <c r="H3191" s="13"/>
      <c r="I3191" s="15"/>
      <c r="J3191" s="15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</row>
    <row r="3192" ht="22.5" hidden="1" customHeight="1">
      <c r="A3192" s="6"/>
      <c r="B3192" s="20"/>
      <c r="C3192" s="36"/>
      <c r="D3192" s="13"/>
      <c r="E3192" s="13"/>
      <c r="F3192" s="13"/>
      <c r="G3192" s="13"/>
      <c r="H3192" s="13"/>
      <c r="I3192" s="15"/>
      <c r="J3192" s="15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</row>
    <row r="3193" ht="22.5" hidden="1" customHeight="1">
      <c r="A3193" s="6"/>
      <c r="B3193" s="20"/>
      <c r="C3193" s="36"/>
      <c r="D3193" s="13"/>
      <c r="E3193" s="13"/>
      <c r="F3193" s="13"/>
      <c r="G3193" s="13"/>
      <c r="H3193" s="13"/>
      <c r="I3193" s="15"/>
      <c r="J3193" s="15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</row>
    <row r="3194" ht="22.5" hidden="1" customHeight="1">
      <c r="A3194" s="6"/>
      <c r="B3194" s="20"/>
      <c r="C3194" s="36"/>
      <c r="D3194" s="13"/>
      <c r="E3194" s="13"/>
      <c r="F3194" s="13"/>
      <c r="G3194" s="13"/>
      <c r="H3194" s="13"/>
      <c r="I3194" s="15"/>
      <c r="J3194" s="15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</row>
    <row r="3195" ht="22.5" hidden="1" customHeight="1">
      <c r="A3195" s="6"/>
      <c r="B3195" s="20"/>
      <c r="C3195" s="36"/>
      <c r="D3195" s="13"/>
      <c r="E3195" s="13"/>
      <c r="F3195" s="13"/>
      <c r="G3195" s="13"/>
      <c r="H3195" s="13"/>
      <c r="I3195" s="15"/>
      <c r="J3195" s="15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</row>
    <row r="3196" ht="22.5" hidden="1" customHeight="1">
      <c r="A3196" s="6"/>
      <c r="B3196" s="20"/>
      <c r="C3196" s="36"/>
      <c r="D3196" s="13"/>
      <c r="E3196" s="13"/>
      <c r="F3196" s="13"/>
      <c r="G3196" s="13"/>
      <c r="H3196" s="13"/>
      <c r="I3196" s="15"/>
      <c r="J3196" s="15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</row>
    <row r="3197" ht="22.5" hidden="1" customHeight="1">
      <c r="A3197" s="6"/>
      <c r="B3197" s="20"/>
      <c r="C3197" s="36"/>
      <c r="D3197" s="13"/>
      <c r="E3197" s="13"/>
      <c r="F3197" s="13"/>
      <c r="G3197" s="13"/>
      <c r="H3197" s="13"/>
      <c r="I3197" s="15"/>
      <c r="J3197" s="15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</row>
    <row r="3198" ht="22.5" hidden="1" customHeight="1">
      <c r="A3198" s="6"/>
      <c r="B3198" s="20"/>
      <c r="C3198" s="36"/>
      <c r="D3198" s="13"/>
      <c r="E3198" s="13"/>
      <c r="F3198" s="13"/>
      <c r="G3198" s="13"/>
      <c r="H3198" s="13"/>
      <c r="I3198" s="15"/>
      <c r="J3198" s="15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</row>
    <row r="3199" ht="22.5" hidden="1" customHeight="1">
      <c r="A3199" s="6"/>
      <c r="B3199" s="20"/>
      <c r="C3199" s="36"/>
      <c r="D3199" s="13"/>
      <c r="E3199" s="13"/>
      <c r="F3199" s="13"/>
      <c r="G3199" s="13"/>
      <c r="H3199" s="13"/>
      <c r="I3199" s="15"/>
      <c r="J3199" s="15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</row>
    <row r="3200" ht="22.5" hidden="1" customHeight="1">
      <c r="A3200" s="6"/>
      <c r="B3200" s="20"/>
      <c r="C3200" s="36"/>
      <c r="D3200" s="13"/>
      <c r="E3200" s="13"/>
      <c r="F3200" s="13"/>
      <c r="G3200" s="13"/>
      <c r="H3200" s="13"/>
      <c r="I3200" s="15"/>
      <c r="J3200" s="15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</row>
    <row r="3201" ht="22.5" hidden="1" customHeight="1">
      <c r="A3201" s="6"/>
      <c r="B3201" s="20"/>
      <c r="C3201" s="36"/>
      <c r="D3201" s="13"/>
      <c r="E3201" s="13"/>
      <c r="F3201" s="13"/>
      <c r="G3201" s="13"/>
      <c r="H3201" s="13"/>
      <c r="I3201" s="15"/>
      <c r="J3201" s="15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</row>
    <row r="3202" ht="22.5" hidden="1" customHeight="1">
      <c r="A3202" s="6"/>
      <c r="B3202" s="20"/>
      <c r="C3202" s="36"/>
      <c r="D3202" s="13"/>
      <c r="E3202" s="13"/>
      <c r="F3202" s="13"/>
      <c r="G3202" s="13"/>
      <c r="H3202" s="13"/>
      <c r="I3202" s="15"/>
      <c r="J3202" s="15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</row>
    <row r="3203" ht="22.5" hidden="1" customHeight="1">
      <c r="A3203" s="6"/>
      <c r="B3203" s="20"/>
      <c r="C3203" s="36"/>
      <c r="D3203" s="13"/>
      <c r="E3203" s="13"/>
      <c r="F3203" s="13"/>
      <c r="G3203" s="13"/>
      <c r="H3203" s="13"/>
      <c r="I3203" s="15"/>
      <c r="J3203" s="15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</row>
    <row r="3204" ht="22.5" hidden="1" customHeight="1">
      <c r="A3204" s="6"/>
      <c r="B3204" s="20"/>
      <c r="C3204" s="36"/>
      <c r="D3204" s="13"/>
      <c r="E3204" s="13"/>
      <c r="F3204" s="13"/>
      <c r="G3204" s="13"/>
      <c r="H3204" s="13"/>
      <c r="I3204" s="15"/>
      <c r="J3204" s="15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</row>
    <row r="3205" ht="22.5" hidden="1" customHeight="1">
      <c r="A3205" s="6"/>
      <c r="B3205" s="20"/>
      <c r="C3205" s="36"/>
      <c r="D3205" s="13"/>
      <c r="E3205" s="13"/>
      <c r="F3205" s="13"/>
      <c r="G3205" s="13"/>
      <c r="H3205" s="13"/>
      <c r="I3205" s="15"/>
      <c r="J3205" s="15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</row>
    <row r="3206" ht="22.5" hidden="1" customHeight="1">
      <c r="A3206" s="6"/>
      <c r="B3206" s="20"/>
      <c r="C3206" s="36"/>
      <c r="D3206" s="13"/>
      <c r="E3206" s="13"/>
      <c r="F3206" s="13"/>
      <c r="G3206" s="13"/>
      <c r="H3206" s="13"/>
      <c r="I3206" s="15"/>
      <c r="J3206" s="15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</row>
    <row r="3207" ht="22.5" hidden="1" customHeight="1">
      <c r="A3207" s="6"/>
      <c r="B3207" s="20"/>
      <c r="C3207" s="36"/>
      <c r="D3207" s="13"/>
      <c r="E3207" s="13"/>
      <c r="F3207" s="13"/>
      <c r="G3207" s="13"/>
      <c r="H3207" s="13"/>
      <c r="I3207" s="15"/>
      <c r="J3207" s="15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</row>
    <row r="3208" ht="22.5" hidden="1" customHeight="1">
      <c r="A3208" s="6"/>
      <c r="B3208" s="20"/>
      <c r="C3208" s="36"/>
      <c r="D3208" s="13"/>
      <c r="E3208" s="13"/>
      <c r="F3208" s="13"/>
      <c r="G3208" s="13"/>
      <c r="H3208" s="13"/>
      <c r="I3208" s="15"/>
      <c r="J3208" s="15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</row>
    <row r="3209" ht="22.5" hidden="1" customHeight="1">
      <c r="A3209" s="6"/>
      <c r="B3209" s="20"/>
      <c r="C3209" s="36"/>
      <c r="D3209" s="13"/>
      <c r="E3209" s="13"/>
      <c r="F3209" s="13"/>
      <c r="G3209" s="13"/>
      <c r="H3209" s="13"/>
      <c r="I3209" s="15"/>
      <c r="J3209" s="15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</row>
    <row r="3210" ht="22.5" hidden="1" customHeight="1">
      <c r="A3210" s="6"/>
      <c r="B3210" s="20"/>
      <c r="C3210" s="36"/>
      <c r="D3210" s="13"/>
      <c r="E3210" s="13"/>
      <c r="F3210" s="13"/>
      <c r="G3210" s="13"/>
      <c r="H3210" s="13"/>
      <c r="I3210" s="15"/>
      <c r="J3210" s="15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</row>
    <row r="3211" ht="22.5" hidden="1" customHeight="1">
      <c r="A3211" s="6"/>
      <c r="B3211" s="20"/>
      <c r="C3211" s="36"/>
      <c r="D3211" s="13"/>
      <c r="E3211" s="13"/>
      <c r="F3211" s="13"/>
      <c r="G3211" s="13"/>
      <c r="H3211" s="13"/>
      <c r="I3211" s="15"/>
      <c r="J3211" s="15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</row>
    <row r="3212" ht="22.5" hidden="1" customHeight="1">
      <c r="A3212" s="6"/>
      <c r="B3212" s="20"/>
      <c r="C3212" s="36"/>
      <c r="D3212" s="13"/>
      <c r="E3212" s="13"/>
      <c r="F3212" s="13"/>
      <c r="G3212" s="13"/>
      <c r="H3212" s="13"/>
      <c r="I3212" s="15"/>
      <c r="J3212" s="15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</row>
    <row r="3213" ht="22.5" hidden="1" customHeight="1">
      <c r="A3213" s="6"/>
      <c r="B3213" s="20"/>
      <c r="C3213" s="36"/>
      <c r="D3213" s="13"/>
      <c r="E3213" s="13"/>
      <c r="F3213" s="13"/>
      <c r="G3213" s="13"/>
      <c r="H3213" s="13"/>
      <c r="I3213" s="15"/>
      <c r="J3213" s="15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</row>
    <row r="3214" ht="22.5" hidden="1" customHeight="1">
      <c r="A3214" s="6"/>
      <c r="B3214" s="20"/>
      <c r="C3214" s="36"/>
      <c r="D3214" s="13"/>
      <c r="E3214" s="13"/>
      <c r="F3214" s="13"/>
      <c r="G3214" s="13"/>
      <c r="H3214" s="13"/>
      <c r="I3214" s="15"/>
      <c r="J3214" s="15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</row>
    <row r="3215" ht="22.5" hidden="1" customHeight="1">
      <c r="A3215" s="6"/>
      <c r="B3215" s="20"/>
      <c r="C3215" s="36"/>
      <c r="D3215" s="13"/>
      <c r="E3215" s="13"/>
      <c r="F3215" s="13"/>
      <c r="G3215" s="13"/>
      <c r="H3215" s="13"/>
      <c r="I3215" s="15"/>
      <c r="J3215" s="15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</row>
    <row r="3216" ht="22.5" hidden="1" customHeight="1">
      <c r="A3216" s="6"/>
      <c r="B3216" s="20"/>
      <c r="C3216" s="36"/>
      <c r="D3216" s="13"/>
      <c r="E3216" s="13"/>
      <c r="F3216" s="13"/>
      <c r="G3216" s="13"/>
      <c r="H3216" s="13"/>
      <c r="I3216" s="15"/>
      <c r="J3216" s="15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</row>
    <row r="3217" ht="22.5" hidden="1" customHeight="1">
      <c r="A3217" s="6"/>
      <c r="B3217" s="20"/>
      <c r="C3217" s="36"/>
      <c r="D3217" s="13"/>
      <c r="E3217" s="13"/>
      <c r="F3217" s="13"/>
      <c r="G3217" s="13"/>
      <c r="H3217" s="13"/>
      <c r="I3217" s="15"/>
      <c r="J3217" s="15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</row>
    <row r="3218" ht="22.5" hidden="1" customHeight="1">
      <c r="A3218" s="6"/>
      <c r="B3218" s="20"/>
      <c r="C3218" s="36"/>
      <c r="D3218" s="13"/>
      <c r="E3218" s="13"/>
      <c r="F3218" s="13"/>
      <c r="G3218" s="13"/>
      <c r="H3218" s="13"/>
      <c r="I3218" s="15"/>
      <c r="J3218" s="15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</row>
    <row r="3219" ht="22.5" hidden="1" customHeight="1">
      <c r="A3219" s="6"/>
      <c r="B3219" s="20"/>
      <c r="C3219" s="36"/>
      <c r="D3219" s="13"/>
      <c r="E3219" s="13"/>
      <c r="F3219" s="13"/>
      <c r="G3219" s="13"/>
      <c r="H3219" s="13"/>
      <c r="I3219" s="15"/>
      <c r="J3219" s="15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</row>
    <row r="3220" ht="22.5" hidden="1" customHeight="1">
      <c r="A3220" s="6"/>
      <c r="B3220" s="20"/>
      <c r="C3220" s="36"/>
      <c r="D3220" s="13"/>
      <c r="E3220" s="13"/>
      <c r="F3220" s="13"/>
      <c r="G3220" s="13"/>
      <c r="H3220" s="13"/>
      <c r="I3220" s="15"/>
      <c r="J3220" s="15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</row>
    <row r="3221" ht="22.5" hidden="1" customHeight="1">
      <c r="A3221" s="6"/>
      <c r="B3221" s="20"/>
      <c r="C3221" s="36"/>
      <c r="D3221" s="13"/>
      <c r="E3221" s="13"/>
      <c r="F3221" s="13"/>
      <c r="G3221" s="13"/>
      <c r="H3221" s="13"/>
      <c r="I3221" s="15"/>
      <c r="J3221" s="15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</row>
    <row r="3222" ht="22.5" hidden="1" customHeight="1">
      <c r="A3222" s="6"/>
      <c r="B3222" s="20"/>
      <c r="C3222" s="36"/>
      <c r="D3222" s="13"/>
      <c r="E3222" s="13"/>
      <c r="F3222" s="13"/>
      <c r="G3222" s="13"/>
      <c r="H3222" s="13"/>
      <c r="I3222" s="15"/>
      <c r="J3222" s="15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</row>
    <row r="3223" ht="22.5" hidden="1" customHeight="1">
      <c r="A3223" s="6"/>
      <c r="B3223" s="20"/>
      <c r="C3223" s="36"/>
      <c r="D3223" s="13"/>
      <c r="E3223" s="13"/>
      <c r="F3223" s="13"/>
      <c r="G3223" s="13"/>
      <c r="H3223" s="13"/>
      <c r="I3223" s="15"/>
      <c r="J3223" s="15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</row>
    <row r="3224" ht="22.5" hidden="1" customHeight="1">
      <c r="A3224" s="6"/>
      <c r="B3224" s="20"/>
      <c r="C3224" s="36"/>
      <c r="D3224" s="13"/>
      <c r="E3224" s="13"/>
      <c r="F3224" s="13"/>
      <c r="G3224" s="13"/>
      <c r="H3224" s="13"/>
      <c r="I3224" s="15"/>
      <c r="J3224" s="15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</row>
    <row r="3225" ht="22.5" hidden="1" customHeight="1">
      <c r="A3225" s="6"/>
      <c r="B3225" s="20"/>
      <c r="C3225" s="36"/>
      <c r="D3225" s="13"/>
      <c r="E3225" s="13"/>
      <c r="F3225" s="13"/>
      <c r="G3225" s="13"/>
      <c r="H3225" s="13"/>
      <c r="I3225" s="15"/>
      <c r="J3225" s="15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</row>
    <row r="3226" ht="22.5" hidden="1" customHeight="1">
      <c r="A3226" s="6"/>
      <c r="B3226" s="20"/>
      <c r="C3226" s="36"/>
      <c r="D3226" s="13"/>
      <c r="E3226" s="13"/>
      <c r="F3226" s="13"/>
      <c r="G3226" s="13"/>
      <c r="H3226" s="13"/>
      <c r="I3226" s="15"/>
      <c r="J3226" s="15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</row>
    <row r="3227" ht="22.5" hidden="1" customHeight="1">
      <c r="A3227" s="6"/>
      <c r="B3227" s="20"/>
      <c r="C3227" s="36"/>
      <c r="D3227" s="13"/>
      <c r="E3227" s="13"/>
      <c r="F3227" s="13"/>
      <c r="G3227" s="13"/>
      <c r="H3227" s="13"/>
      <c r="I3227" s="15"/>
      <c r="J3227" s="15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</row>
    <row r="3228" ht="22.5" hidden="1" customHeight="1">
      <c r="A3228" s="6"/>
      <c r="B3228" s="20"/>
      <c r="C3228" s="36"/>
      <c r="D3228" s="13"/>
      <c r="E3228" s="13"/>
      <c r="F3228" s="13"/>
      <c r="G3228" s="13"/>
      <c r="H3228" s="13"/>
      <c r="I3228" s="15"/>
      <c r="J3228" s="15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</row>
    <row r="3229" ht="22.5" hidden="1" customHeight="1">
      <c r="A3229" s="6"/>
      <c r="B3229" s="20"/>
      <c r="C3229" s="36"/>
      <c r="D3229" s="13"/>
      <c r="E3229" s="13"/>
      <c r="F3229" s="13"/>
      <c r="G3229" s="13"/>
      <c r="H3229" s="13"/>
      <c r="I3229" s="15"/>
      <c r="J3229" s="15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</row>
    <row r="3230" ht="22.5" hidden="1" customHeight="1">
      <c r="A3230" s="6"/>
      <c r="B3230" s="20"/>
      <c r="C3230" s="36"/>
      <c r="D3230" s="13"/>
      <c r="E3230" s="13"/>
      <c r="F3230" s="13"/>
      <c r="G3230" s="13"/>
      <c r="H3230" s="13"/>
      <c r="I3230" s="15"/>
      <c r="J3230" s="15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</row>
    <row r="3231" ht="22.5" hidden="1" customHeight="1">
      <c r="A3231" s="6"/>
      <c r="B3231" s="20"/>
      <c r="C3231" s="36"/>
      <c r="D3231" s="13"/>
      <c r="E3231" s="13"/>
      <c r="F3231" s="13"/>
      <c r="G3231" s="13"/>
      <c r="H3231" s="13"/>
      <c r="I3231" s="15"/>
      <c r="J3231" s="15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</row>
    <row r="3232" ht="22.5" hidden="1" customHeight="1">
      <c r="A3232" s="6"/>
      <c r="B3232" s="20"/>
      <c r="C3232" s="36"/>
      <c r="D3232" s="13"/>
      <c r="E3232" s="13"/>
      <c r="F3232" s="13"/>
      <c r="G3232" s="13"/>
      <c r="H3232" s="13"/>
      <c r="I3232" s="15"/>
      <c r="J3232" s="15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</row>
    <row r="3233" ht="22.5" hidden="1" customHeight="1">
      <c r="A3233" s="6"/>
      <c r="B3233" s="20"/>
      <c r="C3233" s="36"/>
      <c r="D3233" s="13"/>
      <c r="E3233" s="13"/>
      <c r="F3233" s="13"/>
      <c r="G3233" s="13"/>
      <c r="H3233" s="13"/>
      <c r="I3233" s="15"/>
      <c r="J3233" s="15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</row>
    <row r="3234" ht="22.5" hidden="1" customHeight="1">
      <c r="A3234" s="6"/>
      <c r="B3234" s="20"/>
      <c r="C3234" s="36"/>
      <c r="D3234" s="13"/>
      <c r="E3234" s="13"/>
      <c r="F3234" s="13"/>
      <c r="G3234" s="13"/>
      <c r="H3234" s="13"/>
      <c r="I3234" s="15"/>
      <c r="J3234" s="15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</row>
    <row r="3235" ht="22.5" hidden="1" customHeight="1">
      <c r="A3235" s="6"/>
      <c r="B3235" s="20"/>
      <c r="C3235" s="36"/>
      <c r="D3235" s="13"/>
      <c r="E3235" s="13"/>
      <c r="F3235" s="13"/>
      <c r="G3235" s="13"/>
      <c r="H3235" s="13"/>
      <c r="I3235" s="15"/>
      <c r="J3235" s="15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</row>
    <row r="3236" ht="22.5" hidden="1" customHeight="1">
      <c r="A3236" s="6"/>
      <c r="B3236" s="20"/>
      <c r="C3236" s="36"/>
      <c r="D3236" s="13"/>
      <c r="E3236" s="13"/>
      <c r="F3236" s="13"/>
      <c r="G3236" s="13"/>
      <c r="H3236" s="13"/>
      <c r="I3236" s="15"/>
      <c r="J3236" s="15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</row>
    <row r="3237" ht="22.5" hidden="1" customHeight="1">
      <c r="A3237" s="6"/>
      <c r="B3237" s="20"/>
      <c r="C3237" s="36"/>
      <c r="D3237" s="13"/>
      <c r="E3237" s="13"/>
      <c r="F3237" s="13"/>
      <c r="G3237" s="13"/>
      <c r="H3237" s="13"/>
      <c r="I3237" s="15"/>
      <c r="J3237" s="15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</row>
    <row r="3238" ht="22.5" hidden="1" customHeight="1">
      <c r="A3238" s="6"/>
      <c r="B3238" s="20"/>
      <c r="C3238" s="36"/>
      <c r="D3238" s="13"/>
      <c r="E3238" s="13"/>
      <c r="F3238" s="13"/>
      <c r="G3238" s="13"/>
      <c r="H3238" s="13"/>
      <c r="I3238" s="15"/>
      <c r="J3238" s="15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</row>
    <row r="3239" ht="22.5" hidden="1" customHeight="1">
      <c r="A3239" s="6"/>
      <c r="B3239" s="20"/>
      <c r="C3239" s="36"/>
      <c r="D3239" s="13"/>
      <c r="E3239" s="13"/>
      <c r="F3239" s="13"/>
      <c r="G3239" s="13"/>
      <c r="H3239" s="13"/>
      <c r="I3239" s="15"/>
      <c r="J3239" s="15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</row>
    <row r="3240" ht="22.5" hidden="1" customHeight="1">
      <c r="A3240" s="6"/>
      <c r="B3240" s="20"/>
      <c r="C3240" s="36"/>
      <c r="D3240" s="13"/>
      <c r="E3240" s="13"/>
      <c r="F3240" s="13"/>
      <c r="G3240" s="13"/>
      <c r="H3240" s="13"/>
      <c r="I3240" s="15"/>
      <c r="J3240" s="15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</row>
    <row r="3241" ht="22.5" hidden="1" customHeight="1">
      <c r="A3241" s="6"/>
      <c r="B3241" s="20"/>
      <c r="C3241" s="36"/>
      <c r="D3241" s="13"/>
      <c r="E3241" s="13"/>
      <c r="F3241" s="13"/>
      <c r="G3241" s="13"/>
      <c r="H3241" s="13"/>
      <c r="I3241" s="15"/>
      <c r="J3241" s="15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</row>
    <row r="3242" ht="22.5" hidden="1" customHeight="1">
      <c r="A3242" s="6"/>
      <c r="B3242" s="20"/>
      <c r="C3242" s="36"/>
      <c r="D3242" s="13"/>
      <c r="E3242" s="13"/>
      <c r="F3242" s="13"/>
      <c r="G3242" s="13"/>
      <c r="H3242" s="13"/>
      <c r="I3242" s="15"/>
      <c r="J3242" s="15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</row>
    <row r="3243" ht="22.5" hidden="1" customHeight="1">
      <c r="A3243" s="6"/>
      <c r="B3243" s="20"/>
      <c r="C3243" s="36"/>
      <c r="D3243" s="13"/>
      <c r="E3243" s="13"/>
      <c r="F3243" s="13"/>
      <c r="G3243" s="13"/>
      <c r="H3243" s="13"/>
      <c r="I3243" s="15"/>
      <c r="J3243" s="15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</row>
    <row r="3244" ht="22.5" hidden="1" customHeight="1">
      <c r="A3244" s="6"/>
      <c r="B3244" s="20"/>
      <c r="C3244" s="36"/>
      <c r="D3244" s="13"/>
      <c r="E3244" s="13"/>
      <c r="F3244" s="13"/>
      <c r="G3244" s="13"/>
      <c r="H3244" s="13"/>
      <c r="I3244" s="15"/>
      <c r="J3244" s="15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</row>
    <row r="3245" ht="22.5" hidden="1" customHeight="1">
      <c r="A3245" s="6"/>
      <c r="B3245" s="20"/>
      <c r="C3245" s="36"/>
      <c r="D3245" s="13"/>
      <c r="E3245" s="13"/>
      <c r="F3245" s="13"/>
      <c r="G3245" s="13"/>
      <c r="H3245" s="13"/>
      <c r="I3245" s="15"/>
      <c r="J3245" s="15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</row>
    <row r="3246" ht="22.5" hidden="1" customHeight="1">
      <c r="A3246" s="6"/>
      <c r="B3246" s="20"/>
      <c r="C3246" s="36"/>
      <c r="D3246" s="13"/>
      <c r="E3246" s="13"/>
      <c r="F3246" s="13"/>
      <c r="G3246" s="13"/>
      <c r="H3246" s="13"/>
      <c r="I3246" s="15"/>
      <c r="J3246" s="15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</row>
    <row r="3247" ht="22.5" hidden="1" customHeight="1">
      <c r="A3247" s="6"/>
      <c r="B3247" s="20"/>
      <c r="C3247" s="36"/>
      <c r="D3247" s="13"/>
      <c r="E3247" s="13"/>
      <c r="F3247" s="13"/>
      <c r="G3247" s="13"/>
      <c r="H3247" s="13"/>
      <c r="I3247" s="15"/>
      <c r="J3247" s="15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</row>
    <row r="3248" ht="22.5" hidden="1" customHeight="1">
      <c r="A3248" s="6"/>
      <c r="B3248" s="20"/>
      <c r="C3248" s="36"/>
      <c r="D3248" s="13"/>
      <c r="E3248" s="13"/>
      <c r="F3248" s="13"/>
      <c r="G3248" s="13"/>
      <c r="H3248" s="13"/>
      <c r="I3248" s="15"/>
      <c r="J3248" s="15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</row>
    <row r="3249" ht="22.5" hidden="1" customHeight="1">
      <c r="A3249" s="6"/>
      <c r="B3249" s="20"/>
      <c r="C3249" s="36"/>
      <c r="D3249" s="13"/>
      <c r="E3249" s="13"/>
      <c r="F3249" s="13"/>
      <c r="G3249" s="13"/>
      <c r="H3249" s="13"/>
      <c r="I3249" s="15"/>
      <c r="J3249" s="15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</row>
    <row r="3250" ht="22.5" hidden="1" customHeight="1">
      <c r="A3250" s="6"/>
      <c r="B3250" s="20"/>
      <c r="C3250" s="36"/>
      <c r="D3250" s="13"/>
      <c r="E3250" s="13"/>
      <c r="F3250" s="13"/>
      <c r="G3250" s="13"/>
      <c r="H3250" s="13"/>
      <c r="I3250" s="15"/>
      <c r="J3250" s="15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</row>
    <row r="3251" ht="22.5" hidden="1" customHeight="1">
      <c r="A3251" s="6"/>
      <c r="B3251" s="20"/>
      <c r="C3251" s="36"/>
      <c r="D3251" s="13"/>
      <c r="E3251" s="13"/>
      <c r="F3251" s="13"/>
      <c r="G3251" s="13"/>
      <c r="H3251" s="13"/>
      <c r="I3251" s="15"/>
      <c r="J3251" s="15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</row>
    <row r="3252" ht="22.5" hidden="1" customHeight="1">
      <c r="A3252" s="6"/>
      <c r="B3252" s="20"/>
      <c r="C3252" s="36"/>
      <c r="D3252" s="13"/>
      <c r="E3252" s="13"/>
      <c r="F3252" s="13"/>
      <c r="G3252" s="13"/>
      <c r="H3252" s="13"/>
      <c r="I3252" s="15"/>
      <c r="J3252" s="15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</row>
    <row r="3253" ht="22.5" hidden="1" customHeight="1">
      <c r="A3253" s="6"/>
      <c r="B3253" s="20"/>
      <c r="C3253" s="36"/>
      <c r="D3253" s="13"/>
      <c r="E3253" s="13"/>
      <c r="F3253" s="13"/>
      <c r="G3253" s="13"/>
      <c r="H3253" s="13"/>
      <c r="I3253" s="15"/>
      <c r="J3253" s="15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</row>
    <row r="3254" ht="22.5" hidden="1" customHeight="1">
      <c r="A3254" s="6"/>
      <c r="B3254" s="20"/>
      <c r="C3254" s="36"/>
      <c r="D3254" s="13"/>
      <c r="E3254" s="13"/>
      <c r="F3254" s="13"/>
      <c r="G3254" s="13"/>
      <c r="H3254" s="13"/>
      <c r="I3254" s="15"/>
      <c r="J3254" s="15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</row>
    <row r="3255" ht="22.5" hidden="1" customHeight="1">
      <c r="A3255" s="6"/>
      <c r="B3255" s="20"/>
      <c r="C3255" s="36"/>
      <c r="D3255" s="13"/>
      <c r="E3255" s="13"/>
      <c r="F3255" s="13"/>
      <c r="G3255" s="13"/>
      <c r="H3255" s="13"/>
      <c r="I3255" s="15"/>
      <c r="J3255" s="15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</row>
    <row r="3256" ht="22.5" hidden="1" customHeight="1">
      <c r="A3256" s="6"/>
      <c r="B3256" s="20"/>
      <c r="C3256" s="36"/>
      <c r="D3256" s="13"/>
      <c r="E3256" s="13"/>
      <c r="F3256" s="13"/>
      <c r="G3256" s="13"/>
      <c r="H3256" s="13"/>
      <c r="I3256" s="15"/>
      <c r="J3256" s="15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</row>
    <row r="3257" ht="22.5" hidden="1" customHeight="1">
      <c r="A3257" s="6"/>
      <c r="B3257" s="20"/>
      <c r="C3257" s="36"/>
      <c r="D3257" s="13"/>
      <c r="E3257" s="13"/>
      <c r="F3257" s="13"/>
      <c r="G3257" s="13"/>
      <c r="H3257" s="13"/>
      <c r="I3257" s="15"/>
      <c r="J3257" s="15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</row>
    <row r="3258" ht="22.5" hidden="1" customHeight="1">
      <c r="A3258" s="6"/>
      <c r="B3258" s="20"/>
      <c r="C3258" s="36"/>
      <c r="D3258" s="13"/>
      <c r="E3258" s="13"/>
      <c r="F3258" s="13"/>
      <c r="G3258" s="13"/>
      <c r="H3258" s="13"/>
      <c r="I3258" s="15"/>
      <c r="J3258" s="15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</row>
    <row r="3259" ht="22.5" hidden="1" customHeight="1">
      <c r="A3259" s="6"/>
      <c r="B3259" s="20"/>
      <c r="C3259" s="36"/>
      <c r="D3259" s="13"/>
      <c r="E3259" s="13"/>
      <c r="F3259" s="13"/>
      <c r="G3259" s="13"/>
      <c r="H3259" s="13"/>
      <c r="I3259" s="15"/>
      <c r="J3259" s="15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</row>
    <row r="3260" ht="22.5" hidden="1" customHeight="1">
      <c r="A3260" s="6"/>
      <c r="B3260" s="20"/>
      <c r="C3260" s="36"/>
      <c r="D3260" s="13"/>
      <c r="E3260" s="13"/>
      <c r="F3260" s="13"/>
      <c r="G3260" s="13"/>
      <c r="H3260" s="13"/>
      <c r="I3260" s="15"/>
      <c r="J3260" s="15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</row>
    <row r="3261" ht="22.5" hidden="1" customHeight="1">
      <c r="A3261" s="6"/>
      <c r="B3261" s="20"/>
      <c r="C3261" s="36"/>
      <c r="D3261" s="13"/>
      <c r="E3261" s="13"/>
      <c r="F3261" s="13"/>
      <c r="G3261" s="13"/>
      <c r="H3261" s="13"/>
      <c r="I3261" s="15"/>
      <c r="J3261" s="15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</row>
    <row r="3262" ht="22.5" hidden="1" customHeight="1">
      <c r="A3262" s="6"/>
      <c r="B3262" s="20"/>
      <c r="C3262" s="36"/>
      <c r="D3262" s="13"/>
      <c r="E3262" s="13"/>
      <c r="F3262" s="13"/>
      <c r="G3262" s="13"/>
      <c r="H3262" s="13"/>
      <c r="I3262" s="15"/>
      <c r="J3262" s="15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</row>
    <row r="3263" ht="22.5" hidden="1" customHeight="1">
      <c r="A3263" s="6"/>
      <c r="B3263" s="20"/>
      <c r="C3263" s="36"/>
      <c r="D3263" s="13"/>
      <c r="E3263" s="13"/>
      <c r="F3263" s="13"/>
      <c r="G3263" s="13"/>
      <c r="H3263" s="13"/>
      <c r="I3263" s="15"/>
      <c r="J3263" s="15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</row>
    <row r="3264" ht="22.5" hidden="1" customHeight="1">
      <c r="A3264" s="6"/>
      <c r="B3264" s="20"/>
      <c r="C3264" s="36"/>
      <c r="D3264" s="13"/>
      <c r="E3264" s="13"/>
      <c r="F3264" s="13"/>
      <c r="G3264" s="13"/>
      <c r="H3264" s="13"/>
      <c r="I3264" s="15"/>
      <c r="J3264" s="15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</row>
    <row r="3265" ht="22.5" hidden="1" customHeight="1">
      <c r="A3265" s="6"/>
      <c r="B3265" s="20"/>
      <c r="C3265" s="36"/>
      <c r="D3265" s="13"/>
      <c r="E3265" s="13"/>
      <c r="F3265" s="13"/>
      <c r="G3265" s="13"/>
      <c r="H3265" s="13"/>
      <c r="I3265" s="15"/>
      <c r="J3265" s="15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</row>
    <row r="3266" ht="22.5" hidden="1" customHeight="1">
      <c r="A3266" s="6"/>
      <c r="B3266" s="20"/>
      <c r="C3266" s="36"/>
      <c r="D3266" s="13"/>
      <c r="E3266" s="13"/>
      <c r="F3266" s="13"/>
      <c r="G3266" s="13"/>
      <c r="H3266" s="13"/>
      <c r="I3266" s="15"/>
      <c r="J3266" s="15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</row>
    <row r="3267" ht="22.5" hidden="1" customHeight="1">
      <c r="A3267" s="6"/>
      <c r="B3267" s="20"/>
      <c r="C3267" s="36"/>
      <c r="D3267" s="13"/>
      <c r="E3267" s="13"/>
      <c r="F3267" s="13"/>
      <c r="G3267" s="13"/>
      <c r="H3267" s="13"/>
      <c r="I3267" s="15"/>
      <c r="J3267" s="15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</row>
    <row r="3268" ht="22.5" hidden="1" customHeight="1">
      <c r="A3268" s="6"/>
      <c r="B3268" s="20"/>
      <c r="C3268" s="36"/>
      <c r="D3268" s="13"/>
      <c r="E3268" s="13"/>
      <c r="F3268" s="13"/>
      <c r="G3268" s="13"/>
      <c r="H3268" s="13"/>
      <c r="I3268" s="15"/>
      <c r="J3268" s="15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</row>
    <row r="3269" ht="22.5" hidden="1" customHeight="1">
      <c r="A3269" s="6"/>
      <c r="B3269" s="20"/>
      <c r="C3269" s="36"/>
      <c r="D3269" s="13"/>
      <c r="E3269" s="13"/>
      <c r="F3269" s="13"/>
      <c r="G3269" s="13"/>
      <c r="H3269" s="13"/>
      <c r="I3269" s="15"/>
      <c r="J3269" s="15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</row>
    <row r="3270" ht="22.5" hidden="1" customHeight="1">
      <c r="A3270" s="6"/>
      <c r="B3270" s="20"/>
      <c r="C3270" s="36"/>
      <c r="D3270" s="13"/>
      <c r="E3270" s="13"/>
      <c r="F3270" s="13"/>
      <c r="G3270" s="13"/>
      <c r="H3270" s="13"/>
      <c r="I3270" s="15"/>
      <c r="J3270" s="15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</row>
    <row r="3271" ht="22.5" hidden="1" customHeight="1">
      <c r="A3271" s="6"/>
      <c r="B3271" s="20"/>
      <c r="C3271" s="36"/>
      <c r="D3271" s="13"/>
      <c r="E3271" s="13"/>
      <c r="F3271" s="13"/>
      <c r="G3271" s="13"/>
      <c r="H3271" s="13"/>
      <c r="I3271" s="15"/>
      <c r="J3271" s="15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</row>
    <row r="3272" ht="22.5" hidden="1" customHeight="1">
      <c r="A3272" s="6"/>
      <c r="B3272" s="20"/>
      <c r="C3272" s="36"/>
      <c r="D3272" s="13"/>
      <c r="E3272" s="13"/>
      <c r="F3272" s="13"/>
      <c r="G3272" s="13"/>
      <c r="H3272" s="13"/>
      <c r="I3272" s="15"/>
      <c r="J3272" s="15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</row>
    <row r="3273" ht="22.5" hidden="1" customHeight="1">
      <c r="A3273" s="6"/>
      <c r="B3273" s="20"/>
      <c r="C3273" s="36"/>
      <c r="D3273" s="13"/>
      <c r="E3273" s="13"/>
      <c r="F3273" s="13"/>
      <c r="G3273" s="13"/>
      <c r="H3273" s="13"/>
      <c r="I3273" s="15"/>
      <c r="J3273" s="15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</row>
    <row r="3274" ht="22.5" hidden="1" customHeight="1">
      <c r="A3274" s="6"/>
      <c r="B3274" s="20"/>
      <c r="C3274" s="36"/>
      <c r="D3274" s="13"/>
      <c r="E3274" s="13"/>
      <c r="F3274" s="13"/>
      <c r="G3274" s="13"/>
      <c r="H3274" s="13"/>
      <c r="I3274" s="15"/>
      <c r="J3274" s="15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</row>
    <row r="3275" ht="22.5" hidden="1" customHeight="1">
      <c r="A3275" s="6"/>
      <c r="B3275" s="20"/>
      <c r="C3275" s="36"/>
      <c r="D3275" s="13"/>
      <c r="E3275" s="13"/>
      <c r="F3275" s="13"/>
      <c r="G3275" s="13"/>
      <c r="H3275" s="13"/>
      <c r="I3275" s="15"/>
      <c r="J3275" s="15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</row>
    <row r="3276" ht="22.5" hidden="1" customHeight="1">
      <c r="A3276" s="6"/>
      <c r="B3276" s="20"/>
      <c r="C3276" s="36"/>
      <c r="D3276" s="13"/>
      <c r="E3276" s="13"/>
      <c r="F3276" s="13"/>
      <c r="G3276" s="13"/>
      <c r="H3276" s="13"/>
      <c r="I3276" s="15"/>
      <c r="J3276" s="15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</row>
    <row r="3277" ht="22.5" hidden="1" customHeight="1">
      <c r="A3277" s="6"/>
      <c r="B3277" s="20"/>
      <c r="C3277" s="36"/>
      <c r="D3277" s="13"/>
      <c r="E3277" s="13"/>
      <c r="F3277" s="13"/>
      <c r="G3277" s="13"/>
      <c r="H3277" s="13"/>
      <c r="I3277" s="15"/>
      <c r="J3277" s="15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</row>
    <row r="3278" ht="22.5" hidden="1" customHeight="1">
      <c r="A3278" s="6"/>
      <c r="B3278" s="20"/>
      <c r="C3278" s="36"/>
      <c r="D3278" s="13"/>
      <c r="E3278" s="13"/>
      <c r="F3278" s="13"/>
      <c r="G3278" s="13"/>
      <c r="H3278" s="13"/>
      <c r="I3278" s="15"/>
      <c r="J3278" s="15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</row>
    <row r="3279" ht="22.5" hidden="1" customHeight="1">
      <c r="A3279" s="6"/>
      <c r="B3279" s="20"/>
      <c r="C3279" s="36"/>
      <c r="D3279" s="13"/>
      <c r="E3279" s="13"/>
      <c r="F3279" s="13"/>
      <c r="G3279" s="13"/>
      <c r="H3279" s="13"/>
      <c r="I3279" s="15"/>
      <c r="J3279" s="15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</row>
    <row r="3280" ht="22.5" hidden="1" customHeight="1">
      <c r="A3280" s="6"/>
      <c r="B3280" s="20"/>
      <c r="C3280" s="36"/>
      <c r="D3280" s="13"/>
      <c r="E3280" s="13"/>
      <c r="F3280" s="13"/>
      <c r="G3280" s="13"/>
      <c r="H3280" s="13"/>
      <c r="I3280" s="15"/>
      <c r="J3280" s="15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</row>
    <row r="3281" ht="22.5" hidden="1" customHeight="1">
      <c r="A3281" s="6"/>
      <c r="B3281" s="20"/>
      <c r="C3281" s="36"/>
      <c r="D3281" s="13"/>
      <c r="E3281" s="13"/>
      <c r="F3281" s="13"/>
      <c r="G3281" s="13"/>
      <c r="H3281" s="13"/>
      <c r="I3281" s="15"/>
      <c r="J3281" s="15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</row>
    <row r="3282" ht="22.5" hidden="1" customHeight="1">
      <c r="A3282" s="6"/>
      <c r="B3282" s="20"/>
      <c r="C3282" s="36"/>
      <c r="D3282" s="13"/>
      <c r="E3282" s="13"/>
      <c r="F3282" s="13"/>
      <c r="G3282" s="13"/>
      <c r="H3282" s="13"/>
      <c r="I3282" s="15"/>
      <c r="J3282" s="15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</row>
    <row r="3283" ht="22.5" hidden="1" customHeight="1">
      <c r="A3283" s="6"/>
      <c r="B3283" s="20"/>
      <c r="C3283" s="36"/>
      <c r="D3283" s="13"/>
      <c r="E3283" s="13"/>
      <c r="F3283" s="13"/>
      <c r="G3283" s="13"/>
      <c r="H3283" s="13"/>
      <c r="I3283" s="15"/>
      <c r="J3283" s="15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</row>
    <row r="3284" ht="22.5" hidden="1" customHeight="1">
      <c r="A3284" s="6"/>
      <c r="B3284" s="20"/>
      <c r="C3284" s="36"/>
      <c r="D3284" s="13"/>
      <c r="E3284" s="13"/>
      <c r="F3284" s="13"/>
      <c r="G3284" s="13"/>
      <c r="H3284" s="13"/>
      <c r="I3284" s="15"/>
      <c r="J3284" s="15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</row>
    <row r="3285" ht="22.5" hidden="1" customHeight="1">
      <c r="A3285" s="6"/>
      <c r="B3285" s="20"/>
      <c r="C3285" s="36"/>
      <c r="D3285" s="13"/>
      <c r="E3285" s="13"/>
      <c r="F3285" s="13"/>
      <c r="G3285" s="13"/>
      <c r="H3285" s="13"/>
      <c r="I3285" s="15"/>
      <c r="J3285" s="15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</row>
    <row r="3286" ht="22.5" hidden="1" customHeight="1">
      <c r="A3286" s="6"/>
      <c r="B3286" s="20"/>
      <c r="C3286" s="36"/>
      <c r="D3286" s="13"/>
      <c r="E3286" s="13"/>
      <c r="F3286" s="13"/>
      <c r="G3286" s="13"/>
      <c r="H3286" s="13"/>
      <c r="I3286" s="15"/>
      <c r="J3286" s="15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</row>
    <row r="3287" ht="22.5" hidden="1" customHeight="1">
      <c r="A3287" s="6"/>
      <c r="B3287" s="20"/>
      <c r="C3287" s="36"/>
      <c r="D3287" s="13"/>
      <c r="E3287" s="13"/>
      <c r="F3287" s="13"/>
      <c r="G3287" s="13"/>
      <c r="H3287" s="13"/>
      <c r="I3287" s="15"/>
      <c r="J3287" s="15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</row>
    <row r="3288" ht="22.5" hidden="1" customHeight="1">
      <c r="A3288" s="6"/>
      <c r="B3288" s="20"/>
      <c r="C3288" s="36"/>
      <c r="D3288" s="13"/>
      <c r="E3288" s="13"/>
      <c r="F3288" s="13"/>
      <c r="G3288" s="13"/>
      <c r="H3288" s="13"/>
      <c r="I3288" s="15"/>
      <c r="J3288" s="15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</row>
    <row r="3289" ht="22.5" hidden="1" customHeight="1">
      <c r="A3289" s="6"/>
      <c r="B3289" s="20"/>
      <c r="C3289" s="36"/>
      <c r="D3289" s="13"/>
      <c r="E3289" s="13"/>
      <c r="F3289" s="13"/>
      <c r="G3289" s="13"/>
      <c r="H3289" s="13"/>
      <c r="I3289" s="15"/>
      <c r="J3289" s="15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</row>
    <row r="3290" ht="22.5" hidden="1" customHeight="1">
      <c r="A3290" s="6"/>
      <c r="B3290" s="20"/>
      <c r="C3290" s="36"/>
      <c r="D3290" s="13"/>
      <c r="E3290" s="13"/>
      <c r="F3290" s="13"/>
      <c r="G3290" s="13"/>
      <c r="H3290" s="13"/>
      <c r="I3290" s="15"/>
      <c r="J3290" s="15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</row>
    <row r="3291" ht="22.5" hidden="1" customHeight="1">
      <c r="A3291" s="6"/>
      <c r="B3291" s="20"/>
      <c r="C3291" s="36"/>
      <c r="D3291" s="13"/>
      <c r="E3291" s="13"/>
      <c r="F3291" s="13"/>
      <c r="G3291" s="13"/>
      <c r="H3291" s="13"/>
      <c r="I3291" s="15"/>
      <c r="J3291" s="15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</row>
    <row r="3292" ht="22.5" hidden="1" customHeight="1">
      <c r="A3292" s="6"/>
      <c r="B3292" s="20"/>
      <c r="C3292" s="36"/>
      <c r="D3292" s="13"/>
      <c r="E3292" s="13"/>
      <c r="F3292" s="13"/>
      <c r="G3292" s="13"/>
      <c r="H3292" s="13"/>
      <c r="I3292" s="15"/>
      <c r="J3292" s="15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</row>
    <row r="3293" ht="22.5" hidden="1" customHeight="1">
      <c r="A3293" s="6"/>
      <c r="B3293" s="20"/>
      <c r="C3293" s="36"/>
      <c r="D3293" s="13"/>
      <c r="E3293" s="13"/>
      <c r="F3293" s="13"/>
      <c r="G3293" s="13"/>
      <c r="H3293" s="13"/>
      <c r="I3293" s="15"/>
      <c r="J3293" s="15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</row>
    <row r="3294" ht="22.5" hidden="1" customHeight="1">
      <c r="A3294" s="6"/>
      <c r="B3294" s="20"/>
      <c r="C3294" s="36"/>
      <c r="D3294" s="13"/>
      <c r="E3294" s="13"/>
      <c r="F3294" s="13"/>
      <c r="G3294" s="13"/>
      <c r="H3294" s="13"/>
      <c r="I3294" s="15"/>
      <c r="J3294" s="15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</row>
    <row r="3295" ht="22.5" hidden="1" customHeight="1">
      <c r="A3295" s="6"/>
      <c r="B3295" s="20"/>
      <c r="C3295" s="36"/>
      <c r="D3295" s="13"/>
      <c r="E3295" s="13"/>
      <c r="F3295" s="13"/>
      <c r="G3295" s="13"/>
      <c r="H3295" s="13"/>
      <c r="I3295" s="15"/>
      <c r="J3295" s="15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</row>
    <row r="3296" ht="22.5" hidden="1" customHeight="1">
      <c r="A3296" s="6"/>
      <c r="B3296" s="20"/>
      <c r="C3296" s="36"/>
      <c r="D3296" s="13"/>
      <c r="E3296" s="13"/>
      <c r="F3296" s="13"/>
      <c r="G3296" s="13"/>
      <c r="H3296" s="13"/>
      <c r="I3296" s="15"/>
      <c r="J3296" s="15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</row>
    <row r="3297" ht="22.5" hidden="1" customHeight="1">
      <c r="A3297" s="6"/>
      <c r="B3297" s="20"/>
      <c r="C3297" s="36"/>
      <c r="D3297" s="13"/>
      <c r="E3297" s="13"/>
      <c r="F3297" s="13"/>
      <c r="G3297" s="13"/>
      <c r="H3297" s="13"/>
      <c r="I3297" s="15"/>
      <c r="J3297" s="15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</row>
    <row r="3298" ht="22.5" hidden="1" customHeight="1">
      <c r="A3298" s="6"/>
      <c r="B3298" s="20"/>
      <c r="C3298" s="36"/>
      <c r="D3298" s="13"/>
      <c r="E3298" s="13"/>
      <c r="F3298" s="13"/>
      <c r="G3298" s="13"/>
      <c r="H3298" s="13"/>
      <c r="I3298" s="15"/>
      <c r="J3298" s="15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</row>
    <row r="3299" ht="22.5" hidden="1" customHeight="1">
      <c r="A3299" s="6"/>
      <c r="B3299" s="20"/>
      <c r="C3299" s="36"/>
      <c r="D3299" s="13"/>
      <c r="E3299" s="13"/>
      <c r="F3299" s="13"/>
      <c r="G3299" s="13"/>
      <c r="H3299" s="13"/>
      <c r="I3299" s="15"/>
      <c r="J3299" s="15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</row>
    <row r="3300" ht="22.5" hidden="1" customHeight="1">
      <c r="A3300" s="6"/>
      <c r="B3300" s="20"/>
      <c r="C3300" s="36"/>
      <c r="D3300" s="13"/>
      <c r="E3300" s="13"/>
      <c r="F3300" s="13"/>
      <c r="G3300" s="13"/>
      <c r="H3300" s="13"/>
      <c r="I3300" s="15"/>
      <c r="J3300" s="15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</row>
    <row r="3301" ht="22.5" hidden="1" customHeight="1">
      <c r="A3301" s="6"/>
      <c r="B3301" s="20"/>
      <c r="C3301" s="36"/>
      <c r="D3301" s="13"/>
      <c r="E3301" s="13"/>
      <c r="F3301" s="13"/>
      <c r="G3301" s="13"/>
      <c r="H3301" s="13"/>
      <c r="I3301" s="15"/>
      <c r="J3301" s="15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</row>
    <row r="3302" ht="22.5" hidden="1" customHeight="1">
      <c r="A3302" s="6"/>
      <c r="B3302" s="20"/>
      <c r="C3302" s="36"/>
      <c r="D3302" s="13"/>
      <c r="E3302" s="13"/>
      <c r="F3302" s="13"/>
      <c r="G3302" s="13"/>
      <c r="H3302" s="13"/>
      <c r="I3302" s="15"/>
      <c r="J3302" s="15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</row>
    <row r="3303" ht="22.5" hidden="1" customHeight="1">
      <c r="A3303" s="6"/>
      <c r="B3303" s="20"/>
      <c r="C3303" s="36"/>
      <c r="D3303" s="13"/>
      <c r="E3303" s="13"/>
      <c r="F3303" s="13"/>
      <c r="G3303" s="13"/>
      <c r="H3303" s="13"/>
      <c r="I3303" s="15"/>
      <c r="J3303" s="15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</row>
    <row r="3304" ht="22.5" hidden="1" customHeight="1">
      <c r="A3304" s="6"/>
      <c r="B3304" s="20"/>
      <c r="C3304" s="36"/>
      <c r="D3304" s="13"/>
      <c r="E3304" s="13"/>
      <c r="F3304" s="13"/>
      <c r="G3304" s="13"/>
      <c r="H3304" s="13"/>
      <c r="I3304" s="15"/>
      <c r="J3304" s="15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</row>
    <row r="3305" ht="22.5" hidden="1" customHeight="1">
      <c r="A3305" s="6"/>
      <c r="B3305" s="20"/>
      <c r="C3305" s="36"/>
      <c r="D3305" s="13"/>
      <c r="E3305" s="13"/>
      <c r="F3305" s="13"/>
      <c r="G3305" s="13"/>
      <c r="H3305" s="13"/>
      <c r="I3305" s="15"/>
      <c r="J3305" s="15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</row>
    <row r="3306" ht="22.5" hidden="1" customHeight="1">
      <c r="A3306" s="6"/>
      <c r="B3306" s="20"/>
      <c r="C3306" s="36"/>
      <c r="D3306" s="13"/>
      <c r="E3306" s="13"/>
      <c r="F3306" s="13"/>
      <c r="G3306" s="13"/>
      <c r="H3306" s="13"/>
      <c r="I3306" s="15"/>
      <c r="J3306" s="15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</row>
    <row r="3307" ht="22.5" hidden="1" customHeight="1">
      <c r="A3307" s="6"/>
      <c r="B3307" s="20"/>
      <c r="C3307" s="36"/>
      <c r="D3307" s="13"/>
      <c r="E3307" s="13"/>
      <c r="F3307" s="13"/>
      <c r="G3307" s="13"/>
      <c r="H3307" s="13"/>
      <c r="I3307" s="15"/>
      <c r="J3307" s="15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</row>
    <row r="3308" ht="22.5" hidden="1" customHeight="1">
      <c r="A3308" s="6"/>
      <c r="B3308" s="20"/>
      <c r="C3308" s="36"/>
      <c r="D3308" s="13"/>
      <c r="E3308" s="13"/>
      <c r="F3308" s="13"/>
      <c r="G3308" s="13"/>
      <c r="H3308" s="13"/>
      <c r="I3308" s="15"/>
      <c r="J3308" s="15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</row>
    <row r="3309" ht="22.5" hidden="1" customHeight="1">
      <c r="A3309" s="6"/>
      <c r="B3309" s="20"/>
      <c r="C3309" s="36"/>
      <c r="D3309" s="13"/>
      <c r="E3309" s="13"/>
      <c r="F3309" s="13"/>
      <c r="G3309" s="13"/>
      <c r="H3309" s="13"/>
      <c r="I3309" s="15"/>
      <c r="J3309" s="15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</row>
    <row r="3310" ht="22.5" hidden="1" customHeight="1">
      <c r="A3310" s="6"/>
      <c r="B3310" s="20"/>
      <c r="C3310" s="36"/>
      <c r="D3310" s="13"/>
      <c r="E3310" s="13"/>
      <c r="F3310" s="13"/>
      <c r="G3310" s="13"/>
      <c r="H3310" s="13"/>
      <c r="I3310" s="15"/>
      <c r="J3310" s="15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</row>
    <row r="3311" ht="22.5" hidden="1" customHeight="1">
      <c r="A3311" s="6"/>
      <c r="B3311" s="20"/>
      <c r="C3311" s="36"/>
      <c r="D3311" s="13"/>
      <c r="E3311" s="13"/>
      <c r="F3311" s="13"/>
      <c r="G3311" s="13"/>
      <c r="H3311" s="13"/>
      <c r="I3311" s="15"/>
      <c r="J3311" s="15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</row>
    <row r="3312" ht="22.5" hidden="1" customHeight="1">
      <c r="A3312" s="6"/>
      <c r="B3312" s="20"/>
      <c r="C3312" s="36"/>
      <c r="D3312" s="13"/>
      <c r="E3312" s="13"/>
      <c r="F3312" s="13"/>
      <c r="G3312" s="13"/>
      <c r="H3312" s="13"/>
      <c r="I3312" s="15"/>
      <c r="J3312" s="15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</row>
    <row r="3313" ht="22.5" hidden="1" customHeight="1">
      <c r="A3313" s="6"/>
      <c r="B3313" s="20"/>
      <c r="C3313" s="36"/>
      <c r="D3313" s="13"/>
      <c r="E3313" s="13"/>
      <c r="F3313" s="13"/>
      <c r="G3313" s="13"/>
      <c r="H3313" s="13"/>
      <c r="I3313" s="15"/>
      <c r="J3313" s="15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</row>
    <row r="3314" ht="22.5" hidden="1" customHeight="1">
      <c r="A3314" s="6"/>
      <c r="B3314" s="20"/>
      <c r="C3314" s="36"/>
      <c r="D3314" s="13"/>
      <c r="E3314" s="13"/>
      <c r="F3314" s="13"/>
      <c r="G3314" s="13"/>
      <c r="H3314" s="13"/>
      <c r="I3314" s="15"/>
      <c r="J3314" s="15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</row>
    <row r="3315" ht="22.5" hidden="1" customHeight="1">
      <c r="A3315" s="6"/>
      <c r="B3315" s="20"/>
      <c r="C3315" s="36"/>
      <c r="D3315" s="13"/>
      <c r="E3315" s="13"/>
      <c r="F3315" s="13"/>
      <c r="G3315" s="13"/>
      <c r="H3315" s="13"/>
      <c r="I3315" s="15"/>
      <c r="J3315" s="15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</row>
    <row r="3316" ht="22.5" hidden="1" customHeight="1">
      <c r="A3316" s="6"/>
      <c r="B3316" s="20"/>
      <c r="C3316" s="36"/>
      <c r="D3316" s="13"/>
      <c r="E3316" s="13"/>
      <c r="F3316" s="13"/>
      <c r="G3316" s="13"/>
      <c r="H3316" s="13"/>
      <c r="I3316" s="15"/>
      <c r="J3316" s="15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</row>
    <row r="3317" ht="22.5" hidden="1" customHeight="1">
      <c r="A3317" s="6"/>
      <c r="B3317" s="20"/>
      <c r="C3317" s="36"/>
      <c r="D3317" s="13"/>
      <c r="E3317" s="13"/>
      <c r="F3317" s="13"/>
      <c r="G3317" s="13"/>
      <c r="H3317" s="13"/>
      <c r="I3317" s="15"/>
      <c r="J3317" s="15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</row>
    <row r="3318" ht="22.5" hidden="1" customHeight="1">
      <c r="A3318" s="6"/>
      <c r="B3318" s="20"/>
      <c r="C3318" s="36"/>
      <c r="D3318" s="13"/>
      <c r="E3318" s="13"/>
      <c r="F3318" s="13"/>
      <c r="G3318" s="13"/>
      <c r="H3318" s="13"/>
      <c r="I3318" s="15"/>
      <c r="J3318" s="15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</row>
    <row r="3319" ht="22.5" hidden="1" customHeight="1">
      <c r="A3319" s="6"/>
      <c r="B3319" s="20"/>
      <c r="C3319" s="36"/>
      <c r="D3319" s="13"/>
      <c r="E3319" s="13"/>
      <c r="F3319" s="13"/>
      <c r="G3319" s="13"/>
      <c r="H3319" s="13"/>
      <c r="I3319" s="15"/>
      <c r="J3319" s="15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</row>
    <row r="3320" ht="22.5" hidden="1" customHeight="1">
      <c r="A3320" s="6"/>
      <c r="B3320" s="20"/>
      <c r="C3320" s="36"/>
      <c r="D3320" s="13"/>
      <c r="E3320" s="13"/>
      <c r="F3320" s="13"/>
      <c r="G3320" s="13"/>
      <c r="H3320" s="13"/>
      <c r="I3320" s="15"/>
      <c r="J3320" s="15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</row>
    <row r="3321" ht="22.5" hidden="1" customHeight="1">
      <c r="A3321" s="6"/>
      <c r="B3321" s="20"/>
      <c r="C3321" s="36"/>
      <c r="D3321" s="13"/>
      <c r="E3321" s="13"/>
      <c r="F3321" s="13"/>
      <c r="G3321" s="13"/>
      <c r="H3321" s="13"/>
      <c r="I3321" s="15"/>
      <c r="J3321" s="15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</row>
    <row r="3322" ht="22.5" hidden="1" customHeight="1">
      <c r="A3322" s="6"/>
      <c r="B3322" s="20"/>
      <c r="C3322" s="36"/>
      <c r="D3322" s="13"/>
      <c r="E3322" s="13"/>
      <c r="F3322" s="13"/>
      <c r="G3322" s="13"/>
      <c r="H3322" s="13"/>
      <c r="I3322" s="15"/>
      <c r="J3322" s="15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</row>
    <row r="3323" ht="22.5" hidden="1" customHeight="1">
      <c r="A3323" s="6"/>
      <c r="B3323" s="20"/>
      <c r="C3323" s="36"/>
      <c r="D3323" s="13"/>
      <c r="E3323" s="13"/>
      <c r="F3323" s="13"/>
      <c r="G3323" s="13"/>
      <c r="H3323" s="13"/>
      <c r="I3323" s="15"/>
      <c r="J3323" s="15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</row>
    <row r="3324" ht="22.5" hidden="1" customHeight="1">
      <c r="A3324" s="6"/>
      <c r="B3324" s="20"/>
      <c r="C3324" s="36"/>
      <c r="D3324" s="13"/>
      <c r="E3324" s="13"/>
      <c r="F3324" s="13"/>
      <c r="G3324" s="13"/>
      <c r="H3324" s="13"/>
      <c r="I3324" s="15"/>
      <c r="J3324" s="15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</row>
    <row r="3325" ht="22.5" hidden="1" customHeight="1">
      <c r="A3325" s="6"/>
      <c r="B3325" s="20"/>
      <c r="C3325" s="36"/>
      <c r="D3325" s="13"/>
      <c r="E3325" s="13"/>
      <c r="F3325" s="13"/>
      <c r="G3325" s="13"/>
      <c r="H3325" s="13"/>
      <c r="I3325" s="15"/>
      <c r="J3325" s="15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</row>
    <row r="3326" ht="22.5" hidden="1" customHeight="1">
      <c r="A3326" s="6"/>
      <c r="B3326" s="20"/>
      <c r="C3326" s="36"/>
      <c r="D3326" s="13"/>
      <c r="E3326" s="13"/>
      <c r="F3326" s="13"/>
      <c r="G3326" s="13"/>
      <c r="H3326" s="13"/>
      <c r="I3326" s="15"/>
      <c r="J3326" s="15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</row>
    <row r="3327" ht="22.5" hidden="1" customHeight="1">
      <c r="A3327" s="6"/>
      <c r="B3327" s="20"/>
      <c r="C3327" s="36"/>
      <c r="D3327" s="13"/>
      <c r="E3327" s="13"/>
      <c r="F3327" s="13"/>
      <c r="G3327" s="13"/>
      <c r="H3327" s="13"/>
      <c r="I3327" s="15"/>
      <c r="J3327" s="15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</row>
    <row r="3328" ht="22.5" hidden="1" customHeight="1">
      <c r="A3328" s="6"/>
      <c r="B3328" s="20"/>
      <c r="C3328" s="36"/>
      <c r="D3328" s="13"/>
      <c r="E3328" s="13"/>
      <c r="F3328" s="13"/>
      <c r="G3328" s="13"/>
      <c r="H3328" s="13"/>
      <c r="I3328" s="15"/>
      <c r="J3328" s="15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</row>
    <row r="3329" ht="22.5" hidden="1" customHeight="1">
      <c r="A3329" s="6"/>
      <c r="B3329" s="20"/>
      <c r="C3329" s="36"/>
      <c r="D3329" s="13"/>
      <c r="E3329" s="13"/>
      <c r="F3329" s="13"/>
      <c r="G3329" s="13"/>
      <c r="H3329" s="13"/>
      <c r="I3329" s="15"/>
      <c r="J3329" s="15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</row>
    <row r="3330" ht="22.5" hidden="1" customHeight="1">
      <c r="A3330" s="6"/>
      <c r="B3330" s="20"/>
      <c r="C3330" s="36"/>
      <c r="D3330" s="13"/>
      <c r="E3330" s="13"/>
      <c r="F3330" s="13"/>
      <c r="G3330" s="13"/>
      <c r="H3330" s="13"/>
      <c r="I3330" s="15"/>
      <c r="J3330" s="15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</row>
    <row r="3331" ht="22.5" hidden="1" customHeight="1">
      <c r="A3331" s="6"/>
      <c r="B3331" s="20"/>
      <c r="C3331" s="36"/>
      <c r="D3331" s="13"/>
      <c r="E3331" s="13"/>
      <c r="F3331" s="13"/>
      <c r="G3331" s="13"/>
      <c r="H3331" s="13"/>
      <c r="I3331" s="15"/>
      <c r="J3331" s="15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</row>
    <row r="3332" ht="22.5" hidden="1" customHeight="1">
      <c r="A3332" s="6"/>
      <c r="B3332" s="20"/>
      <c r="C3332" s="36"/>
      <c r="D3332" s="13"/>
      <c r="E3332" s="13"/>
      <c r="F3332" s="13"/>
      <c r="G3332" s="13"/>
      <c r="H3332" s="13"/>
      <c r="I3332" s="15"/>
      <c r="J3332" s="15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</row>
    <row r="3333" ht="22.5" hidden="1" customHeight="1">
      <c r="A3333" s="6"/>
      <c r="B3333" s="20"/>
      <c r="C3333" s="36"/>
      <c r="D3333" s="13"/>
      <c r="E3333" s="13"/>
      <c r="F3333" s="13"/>
      <c r="G3333" s="13"/>
      <c r="H3333" s="13"/>
      <c r="I3333" s="15"/>
      <c r="J3333" s="15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</row>
    <row r="3334" ht="22.5" hidden="1" customHeight="1">
      <c r="A3334" s="6"/>
      <c r="B3334" s="20"/>
      <c r="C3334" s="36"/>
      <c r="D3334" s="13"/>
      <c r="E3334" s="13"/>
      <c r="F3334" s="13"/>
      <c r="G3334" s="13"/>
      <c r="H3334" s="13"/>
      <c r="I3334" s="15"/>
      <c r="J3334" s="15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</row>
    <row r="3335" ht="22.5" hidden="1" customHeight="1">
      <c r="A3335" s="6"/>
      <c r="B3335" s="20"/>
      <c r="C3335" s="36"/>
      <c r="D3335" s="13"/>
      <c r="E3335" s="13"/>
      <c r="F3335" s="13"/>
      <c r="G3335" s="13"/>
      <c r="H3335" s="13"/>
      <c r="I3335" s="15"/>
      <c r="J3335" s="15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</row>
    <row r="3336" ht="22.5" hidden="1" customHeight="1">
      <c r="A3336" s="6"/>
      <c r="B3336" s="20"/>
      <c r="C3336" s="36"/>
      <c r="D3336" s="13"/>
      <c r="E3336" s="13"/>
      <c r="F3336" s="13"/>
      <c r="G3336" s="13"/>
      <c r="H3336" s="13"/>
      <c r="I3336" s="15"/>
      <c r="J3336" s="15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</row>
    <row r="3337" ht="22.5" hidden="1" customHeight="1">
      <c r="A3337" s="6"/>
      <c r="B3337" s="20"/>
      <c r="C3337" s="36"/>
      <c r="D3337" s="13"/>
      <c r="E3337" s="13"/>
      <c r="F3337" s="13"/>
      <c r="G3337" s="13"/>
      <c r="H3337" s="13"/>
      <c r="I3337" s="15"/>
      <c r="J3337" s="15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</row>
    <row r="3338" ht="22.5" hidden="1" customHeight="1">
      <c r="A3338" s="6"/>
      <c r="B3338" s="20"/>
      <c r="C3338" s="36"/>
      <c r="D3338" s="13"/>
      <c r="E3338" s="13"/>
      <c r="F3338" s="13"/>
      <c r="G3338" s="13"/>
      <c r="H3338" s="13"/>
      <c r="I3338" s="15"/>
      <c r="J3338" s="15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</row>
    <row r="3339" ht="22.5" hidden="1" customHeight="1">
      <c r="A3339" s="6"/>
      <c r="B3339" s="20"/>
      <c r="C3339" s="36"/>
      <c r="D3339" s="13"/>
      <c r="E3339" s="13"/>
      <c r="F3339" s="13"/>
      <c r="G3339" s="13"/>
      <c r="H3339" s="13"/>
      <c r="I3339" s="15"/>
      <c r="J3339" s="15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</row>
    <row r="3340" ht="22.5" hidden="1" customHeight="1">
      <c r="A3340" s="6"/>
      <c r="B3340" s="20"/>
      <c r="C3340" s="36"/>
      <c r="D3340" s="13"/>
      <c r="E3340" s="13"/>
      <c r="F3340" s="13"/>
      <c r="G3340" s="13"/>
      <c r="H3340" s="13"/>
      <c r="I3340" s="15"/>
      <c r="J3340" s="15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</row>
    <row r="3341" ht="22.5" hidden="1" customHeight="1">
      <c r="A3341" s="6"/>
      <c r="B3341" s="20"/>
      <c r="C3341" s="36"/>
      <c r="D3341" s="13"/>
      <c r="E3341" s="13"/>
      <c r="F3341" s="13"/>
      <c r="G3341" s="13"/>
      <c r="H3341" s="13"/>
      <c r="I3341" s="15"/>
      <c r="J3341" s="15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</row>
    <row r="3342" ht="22.5" hidden="1" customHeight="1">
      <c r="A3342" s="6"/>
      <c r="B3342" s="20"/>
      <c r="C3342" s="36"/>
      <c r="D3342" s="13"/>
      <c r="E3342" s="13"/>
      <c r="F3342" s="13"/>
      <c r="G3342" s="13"/>
      <c r="H3342" s="13"/>
      <c r="I3342" s="15"/>
      <c r="J3342" s="15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</row>
    <row r="3343" ht="22.5" hidden="1" customHeight="1">
      <c r="A3343" s="6"/>
      <c r="B3343" s="20"/>
      <c r="C3343" s="36"/>
      <c r="D3343" s="13"/>
      <c r="E3343" s="13"/>
      <c r="F3343" s="13"/>
      <c r="G3343" s="13"/>
      <c r="H3343" s="13"/>
      <c r="I3343" s="15"/>
      <c r="J3343" s="15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</row>
    <row r="3344" ht="22.5" hidden="1" customHeight="1">
      <c r="A3344" s="6"/>
      <c r="B3344" s="20"/>
      <c r="C3344" s="36"/>
      <c r="D3344" s="13"/>
      <c r="E3344" s="13"/>
      <c r="F3344" s="13"/>
      <c r="G3344" s="13"/>
      <c r="H3344" s="13"/>
      <c r="I3344" s="15"/>
      <c r="J3344" s="15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</row>
    <row r="3345" ht="22.5" hidden="1" customHeight="1">
      <c r="A3345" s="6"/>
      <c r="B3345" s="20"/>
      <c r="C3345" s="36"/>
      <c r="D3345" s="13"/>
      <c r="E3345" s="13"/>
      <c r="F3345" s="13"/>
      <c r="G3345" s="13"/>
      <c r="H3345" s="13"/>
      <c r="I3345" s="15"/>
      <c r="J3345" s="15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</row>
    <row r="3346" ht="22.5" hidden="1" customHeight="1">
      <c r="A3346" s="6"/>
      <c r="B3346" s="20"/>
      <c r="C3346" s="36"/>
      <c r="D3346" s="13"/>
      <c r="E3346" s="13"/>
      <c r="F3346" s="13"/>
      <c r="G3346" s="13"/>
      <c r="H3346" s="13"/>
      <c r="I3346" s="15"/>
      <c r="J3346" s="15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</row>
    <row r="3347" ht="22.5" hidden="1" customHeight="1">
      <c r="A3347" s="6"/>
      <c r="B3347" s="20"/>
      <c r="C3347" s="36"/>
      <c r="D3347" s="13"/>
      <c r="E3347" s="13"/>
      <c r="F3347" s="13"/>
      <c r="G3347" s="13"/>
      <c r="H3347" s="13"/>
      <c r="I3347" s="15"/>
      <c r="J3347" s="15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</row>
    <row r="3348" ht="22.5" hidden="1" customHeight="1">
      <c r="A3348" s="6"/>
      <c r="B3348" s="20"/>
      <c r="C3348" s="36"/>
      <c r="D3348" s="13"/>
      <c r="E3348" s="13"/>
      <c r="F3348" s="13"/>
      <c r="G3348" s="13"/>
      <c r="H3348" s="13"/>
      <c r="I3348" s="15"/>
      <c r="J3348" s="15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</row>
    <row r="3349" ht="22.5" hidden="1" customHeight="1">
      <c r="A3349" s="6"/>
      <c r="B3349" s="20"/>
      <c r="C3349" s="36"/>
      <c r="D3349" s="13"/>
      <c r="E3349" s="13"/>
      <c r="F3349" s="13"/>
      <c r="G3349" s="13"/>
      <c r="H3349" s="13"/>
      <c r="I3349" s="15"/>
      <c r="J3349" s="15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</row>
    <row r="3350" ht="22.5" hidden="1" customHeight="1">
      <c r="A3350" s="6"/>
      <c r="B3350" s="20"/>
      <c r="C3350" s="36"/>
      <c r="D3350" s="13"/>
      <c r="E3350" s="13"/>
      <c r="F3350" s="13"/>
      <c r="G3350" s="13"/>
      <c r="H3350" s="13"/>
      <c r="I3350" s="15"/>
      <c r="J3350" s="15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</row>
    <row r="3351" ht="22.5" hidden="1" customHeight="1">
      <c r="A3351" s="6"/>
      <c r="B3351" s="20"/>
      <c r="C3351" s="36"/>
      <c r="D3351" s="13"/>
      <c r="E3351" s="13"/>
      <c r="F3351" s="13"/>
      <c r="G3351" s="13"/>
      <c r="H3351" s="13"/>
      <c r="I3351" s="15"/>
      <c r="J3351" s="15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</row>
    <row r="3352" ht="22.5" hidden="1" customHeight="1">
      <c r="A3352" s="6"/>
      <c r="B3352" s="20"/>
      <c r="C3352" s="36"/>
      <c r="D3352" s="13"/>
      <c r="E3352" s="13"/>
      <c r="F3352" s="13"/>
      <c r="G3352" s="13"/>
      <c r="H3352" s="13"/>
      <c r="I3352" s="15"/>
      <c r="J3352" s="15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</row>
    <row r="3353" ht="22.5" hidden="1" customHeight="1">
      <c r="A3353" s="6"/>
      <c r="B3353" s="20"/>
      <c r="C3353" s="36"/>
      <c r="D3353" s="13"/>
      <c r="E3353" s="13"/>
      <c r="F3353" s="13"/>
      <c r="G3353" s="13"/>
      <c r="H3353" s="13"/>
      <c r="I3353" s="15"/>
      <c r="J3353" s="15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</row>
    <row r="3354" ht="22.5" hidden="1" customHeight="1">
      <c r="A3354" s="6"/>
      <c r="B3354" s="20"/>
      <c r="C3354" s="36"/>
      <c r="D3354" s="13"/>
      <c r="E3354" s="13"/>
      <c r="F3354" s="13"/>
      <c r="G3354" s="13"/>
      <c r="H3354" s="13"/>
      <c r="I3354" s="15"/>
      <c r="J3354" s="15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</row>
    <row r="3355" ht="22.5" hidden="1" customHeight="1">
      <c r="A3355" s="6"/>
      <c r="B3355" s="20"/>
      <c r="C3355" s="36"/>
      <c r="D3355" s="13"/>
      <c r="E3355" s="13"/>
      <c r="F3355" s="13"/>
      <c r="G3355" s="13"/>
      <c r="H3355" s="13"/>
      <c r="I3355" s="15"/>
      <c r="J3355" s="15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</row>
    <row r="3356" ht="22.5" hidden="1" customHeight="1">
      <c r="A3356" s="6"/>
      <c r="B3356" s="20"/>
      <c r="C3356" s="36"/>
      <c r="D3356" s="13"/>
      <c r="E3356" s="13"/>
      <c r="F3356" s="13"/>
      <c r="G3356" s="13"/>
      <c r="H3356" s="13"/>
      <c r="I3356" s="15"/>
      <c r="J3356" s="15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</row>
    <row r="3357" ht="22.5" hidden="1" customHeight="1">
      <c r="A3357" s="6"/>
      <c r="B3357" s="20"/>
      <c r="C3357" s="36"/>
      <c r="D3357" s="13"/>
      <c r="E3357" s="13"/>
      <c r="F3357" s="13"/>
      <c r="G3357" s="13"/>
      <c r="H3357" s="13"/>
      <c r="I3357" s="15"/>
      <c r="J3357" s="15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</row>
    <row r="3358" ht="22.5" hidden="1" customHeight="1">
      <c r="A3358" s="6"/>
      <c r="B3358" s="20"/>
      <c r="C3358" s="36"/>
      <c r="D3358" s="13"/>
      <c r="E3358" s="13"/>
      <c r="F3358" s="13"/>
      <c r="G3358" s="13"/>
      <c r="H3358" s="13"/>
      <c r="I3358" s="15"/>
      <c r="J3358" s="15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</row>
    <row r="3359" ht="22.5" hidden="1" customHeight="1">
      <c r="A3359" s="6"/>
      <c r="B3359" s="20"/>
      <c r="C3359" s="36"/>
      <c r="D3359" s="13"/>
      <c r="E3359" s="13"/>
      <c r="F3359" s="13"/>
      <c r="G3359" s="13"/>
      <c r="H3359" s="13"/>
      <c r="I3359" s="15"/>
      <c r="J3359" s="15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</row>
    <row r="3360" ht="22.5" hidden="1" customHeight="1">
      <c r="A3360" s="6"/>
      <c r="B3360" s="20"/>
      <c r="C3360" s="36"/>
      <c r="D3360" s="13"/>
      <c r="E3360" s="13"/>
      <c r="F3360" s="13"/>
      <c r="G3360" s="13"/>
      <c r="H3360" s="13"/>
      <c r="I3360" s="15"/>
      <c r="J3360" s="15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</row>
    <row r="3361" ht="22.5" hidden="1" customHeight="1">
      <c r="A3361" s="6"/>
      <c r="B3361" s="20"/>
      <c r="C3361" s="36"/>
      <c r="D3361" s="13"/>
      <c r="E3361" s="13"/>
      <c r="F3361" s="13"/>
      <c r="G3361" s="13"/>
      <c r="H3361" s="13"/>
      <c r="I3361" s="15"/>
      <c r="J3361" s="15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</row>
    <row r="3362" ht="22.5" hidden="1" customHeight="1">
      <c r="A3362" s="6"/>
      <c r="B3362" s="20"/>
      <c r="C3362" s="36"/>
      <c r="D3362" s="13"/>
      <c r="E3362" s="13"/>
      <c r="F3362" s="13"/>
      <c r="G3362" s="13"/>
      <c r="H3362" s="13"/>
      <c r="I3362" s="15"/>
      <c r="J3362" s="15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</row>
    <row r="3363" ht="22.5" hidden="1" customHeight="1">
      <c r="A3363" s="6"/>
      <c r="B3363" s="20"/>
      <c r="C3363" s="36"/>
      <c r="D3363" s="13"/>
      <c r="E3363" s="13"/>
      <c r="F3363" s="13"/>
      <c r="G3363" s="13"/>
      <c r="H3363" s="13"/>
      <c r="I3363" s="15"/>
      <c r="J3363" s="15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</row>
    <row r="3364" ht="22.5" hidden="1" customHeight="1">
      <c r="A3364" s="6"/>
      <c r="B3364" s="20"/>
      <c r="C3364" s="36"/>
      <c r="D3364" s="13"/>
      <c r="E3364" s="13"/>
      <c r="F3364" s="13"/>
      <c r="G3364" s="13"/>
      <c r="H3364" s="13"/>
      <c r="I3364" s="15"/>
      <c r="J3364" s="15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</row>
    <row r="3365" ht="22.5" hidden="1" customHeight="1">
      <c r="A3365" s="6"/>
      <c r="B3365" s="20"/>
      <c r="C3365" s="36"/>
      <c r="D3365" s="13"/>
      <c r="E3365" s="13"/>
      <c r="F3365" s="13"/>
      <c r="G3365" s="13"/>
      <c r="H3365" s="13"/>
      <c r="I3365" s="15"/>
      <c r="J3365" s="15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</row>
    <row r="3366" ht="22.5" hidden="1" customHeight="1">
      <c r="A3366" s="6"/>
      <c r="B3366" s="20"/>
      <c r="C3366" s="36"/>
      <c r="D3366" s="13"/>
      <c r="E3366" s="13"/>
      <c r="F3366" s="13"/>
      <c r="G3366" s="13"/>
      <c r="H3366" s="13"/>
      <c r="I3366" s="15"/>
      <c r="J3366" s="15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</row>
    <row r="3367" ht="22.5" hidden="1" customHeight="1">
      <c r="A3367" s="6"/>
      <c r="B3367" s="20"/>
      <c r="C3367" s="36"/>
      <c r="D3367" s="13"/>
      <c r="E3367" s="13"/>
      <c r="F3367" s="13"/>
      <c r="G3367" s="13"/>
      <c r="H3367" s="13"/>
      <c r="I3367" s="15"/>
      <c r="J3367" s="15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</row>
    <row r="3368" ht="22.5" hidden="1" customHeight="1">
      <c r="A3368" s="6"/>
      <c r="B3368" s="20"/>
      <c r="C3368" s="36"/>
      <c r="D3368" s="13"/>
      <c r="E3368" s="13"/>
      <c r="F3368" s="13"/>
      <c r="G3368" s="13"/>
      <c r="H3368" s="13"/>
      <c r="I3368" s="15"/>
      <c r="J3368" s="15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</row>
    <row r="3369" ht="22.5" hidden="1" customHeight="1">
      <c r="A3369" s="6"/>
      <c r="B3369" s="20"/>
      <c r="C3369" s="36"/>
      <c r="D3369" s="13"/>
      <c r="E3369" s="13"/>
      <c r="F3369" s="13"/>
      <c r="G3369" s="13"/>
      <c r="H3369" s="13"/>
      <c r="I3369" s="15"/>
      <c r="J3369" s="15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</row>
    <row r="3370" ht="22.5" hidden="1" customHeight="1">
      <c r="A3370" s="6"/>
      <c r="B3370" s="20"/>
      <c r="C3370" s="36"/>
      <c r="D3370" s="13"/>
      <c r="E3370" s="13"/>
      <c r="F3370" s="13"/>
      <c r="G3370" s="13"/>
      <c r="H3370" s="13"/>
      <c r="I3370" s="15"/>
      <c r="J3370" s="15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</row>
    <row r="3371" ht="22.5" hidden="1" customHeight="1">
      <c r="A3371" s="6"/>
      <c r="B3371" s="20"/>
      <c r="C3371" s="36"/>
      <c r="D3371" s="13"/>
      <c r="E3371" s="13"/>
      <c r="F3371" s="13"/>
      <c r="G3371" s="13"/>
      <c r="H3371" s="13"/>
      <c r="I3371" s="15"/>
      <c r="J3371" s="15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</row>
    <row r="3372" ht="22.5" hidden="1" customHeight="1">
      <c r="A3372" s="6"/>
      <c r="B3372" s="20"/>
      <c r="C3372" s="36"/>
      <c r="D3372" s="13"/>
      <c r="E3372" s="13"/>
      <c r="F3372" s="13"/>
      <c r="G3372" s="13"/>
      <c r="H3372" s="13"/>
      <c r="I3372" s="15"/>
      <c r="J3372" s="15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</row>
    <row r="3373" ht="22.5" hidden="1" customHeight="1">
      <c r="A3373" s="6"/>
      <c r="B3373" s="20"/>
      <c r="C3373" s="36"/>
      <c r="D3373" s="13"/>
      <c r="E3373" s="13"/>
      <c r="F3373" s="13"/>
      <c r="G3373" s="13"/>
      <c r="H3373" s="13"/>
      <c r="I3373" s="15"/>
      <c r="J3373" s="15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</row>
    <row r="3374" ht="22.5" hidden="1" customHeight="1">
      <c r="A3374" s="6"/>
      <c r="B3374" s="20"/>
      <c r="C3374" s="36"/>
      <c r="D3374" s="13"/>
      <c r="E3374" s="13"/>
      <c r="F3374" s="13"/>
      <c r="G3374" s="13"/>
      <c r="H3374" s="13"/>
      <c r="I3374" s="15"/>
      <c r="J3374" s="15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</row>
    <row r="3375" ht="22.5" hidden="1" customHeight="1">
      <c r="A3375" s="6"/>
      <c r="B3375" s="20"/>
      <c r="C3375" s="36"/>
      <c r="D3375" s="13"/>
      <c r="E3375" s="13"/>
      <c r="F3375" s="13"/>
      <c r="G3375" s="13"/>
      <c r="H3375" s="13"/>
      <c r="I3375" s="15"/>
      <c r="J3375" s="15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</row>
    <row r="3376" ht="22.5" hidden="1" customHeight="1">
      <c r="A3376" s="6"/>
      <c r="B3376" s="20"/>
      <c r="C3376" s="36"/>
      <c r="D3376" s="13"/>
      <c r="E3376" s="13"/>
      <c r="F3376" s="13"/>
      <c r="G3376" s="13"/>
      <c r="H3376" s="13"/>
      <c r="I3376" s="15"/>
      <c r="J3376" s="15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</row>
    <row r="3377" ht="22.5" hidden="1" customHeight="1">
      <c r="A3377" s="6"/>
      <c r="B3377" s="20"/>
      <c r="C3377" s="36"/>
      <c r="D3377" s="13"/>
      <c r="E3377" s="13"/>
      <c r="F3377" s="13"/>
      <c r="G3377" s="13"/>
      <c r="H3377" s="13"/>
      <c r="I3377" s="15"/>
      <c r="J3377" s="15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</row>
    <row r="3378" ht="22.5" hidden="1" customHeight="1">
      <c r="A3378" s="6"/>
      <c r="B3378" s="20"/>
      <c r="C3378" s="36"/>
      <c r="D3378" s="13"/>
      <c r="E3378" s="13"/>
      <c r="F3378" s="13"/>
      <c r="G3378" s="13"/>
      <c r="H3378" s="13"/>
      <c r="I3378" s="15"/>
      <c r="J3378" s="15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</row>
    <row r="3379" ht="22.5" hidden="1" customHeight="1">
      <c r="A3379" s="6"/>
      <c r="B3379" s="20"/>
      <c r="C3379" s="36"/>
      <c r="D3379" s="13"/>
      <c r="E3379" s="13"/>
      <c r="F3379" s="13"/>
      <c r="G3379" s="13"/>
      <c r="H3379" s="13"/>
      <c r="I3379" s="15"/>
      <c r="J3379" s="15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</row>
    <row r="3380" ht="22.5" hidden="1" customHeight="1">
      <c r="A3380" s="6"/>
      <c r="B3380" s="20"/>
      <c r="C3380" s="36"/>
      <c r="D3380" s="13"/>
      <c r="E3380" s="13"/>
      <c r="F3380" s="13"/>
      <c r="G3380" s="13"/>
      <c r="H3380" s="13"/>
      <c r="I3380" s="15"/>
      <c r="J3380" s="15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</row>
    <row r="3381" ht="22.5" hidden="1" customHeight="1">
      <c r="A3381" s="6"/>
      <c r="B3381" s="20"/>
      <c r="C3381" s="36"/>
      <c r="D3381" s="13"/>
      <c r="E3381" s="13"/>
      <c r="F3381" s="13"/>
      <c r="G3381" s="13"/>
      <c r="H3381" s="13"/>
      <c r="I3381" s="15"/>
      <c r="J3381" s="15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</row>
    <row r="3382" ht="22.5" hidden="1" customHeight="1">
      <c r="A3382" s="6"/>
      <c r="B3382" s="20"/>
      <c r="C3382" s="36"/>
      <c r="D3382" s="13"/>
      <c r="E3382" s="13"/>
      <c r="F3382" s="13"/>
      <c r="G3382" s="13"/>
      <c r="H3382" s="13"/>
      <c r="I3382" s="15"/>
      <c r="J3382" s="15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</row>
    <row r="3383" ht="22.5" hidden="1" customHeight="1">
      <c r="A3383" s="6"/>
      <c r="B3383" s="20"/>
      <c r="C3383" s="36"/>
      <c r="D3383" s="13"/>
      <c r="E3383" s="13"/>
      <c r="F3383" s="13"/>
      <c r="G3383" s="13"/>
      <c r="H3383" s="13"/>
      <c r="I3383" s="15"/>
      <c r="J3383" s="15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</row>
    <row r="3384" ht="22.5" hidden="1" customHeight="1">
      <c r="A3384" s="6"/>
      <c r="B3384" s="20"/>
      <c r="C3384" s="36"/>
      <c r="D3384" s="13"/>
      <c r="E3384" s="13"/>
      <c r="F3384" s="13"/>
      <c r="G3384" s="13"/>
      <c r="H3384" s="13"/>
      <c r="I3384" s="15"/>
      <c r="J3384" s="15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</row>
    <row r="3385" ht="22.5" hidden="1" customHeight="1">
      <c r="A3385" s="6"/>
      <c r="B3385" s="20"/>
      <c r="C3385" s="36"/>
      <c r="D3385" s="13"/>
      <c r="E3385" s="13"/>
      <c r="F3385" s="13"/>
      <c r="G3385" s="13"/>
      <c r="H3385" s="13"/>
      <c r="I3385" s="15"/>
      <c r="J3385" s="15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</row>
    <row r="3386" ht="22.5" hidden="1" customHeight="1">
      <c r="A3386" s="6"/>
      <c r="B3386" s="20"/>
      <c r="C3386" s="36"/>
      <c r="D3386" s="13"/>
      <c r="E3386" s="13"/>
      <c r="F3386" s="13"/>
      <c r="G3386" s="13"/>
      <c r="H3386" s="13"/>
      <c r="I3386" s="15"/>
      <c r="J3386" s="15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</row>
    <row r="3387" ht="22.5" hidden="1" customHeight="1">
      <c r="A3387" s="6"/>
      <c r="B3387" s="20"/>
      <c r="C3387" s="36"/>
      <c r="D3387" s="13"/>
      <c r="E3387" s="13"/>
      <c r="F3387" s="13"/>
      <c r="G3387" s="13"/>
      <c r="H3387" s="13"/>
      <c r="I3387" s="15"/>
      <c r="J3387" s="15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</row>
    <row r="3388" ht="22.5" hidden="1" customHeight="1">
      <c r="A3388" s="6"/>
      <c r="B3388" s="20"/>
      <c r="C3388" s="36"/>
      <c r="D3388" s="13"/>
      <c r="E3388" s="13"/>
      <c r="F3388" s="13"/>
      <c r="G3388" s="13"/>
      <c r="H3388" s="13"/>
      <c r="I3388" s="15"/>
      <c r="J3388" s="15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</row>
    <row r="3389" ht="22.5" hidden="1" customHeight="1">
      <c r="A3389" s="6"/>
      <c r="B3389" s="20"/>
      <c r="C3389" s="36"/>
      <c r="D3389" s="13"/>
      <c r="E3389" s="13"/>
      <c r="F3389" s="13"/>
      <c r="G3389" s="13"/>
      <c r="H3389" s="13"/>
      <c r="I3389" s="15"/>
      <c r="J3389" s="15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</row>
    <row r="3390" ht="22.5" hidden="1" customHeight="1">
      <c r="A3390" s="6"/>
      <c r="B3390" s="20"/>
      <c r="C3390" s="36"/>
      <c r="D3390" s="13"/>
      <c r="E3390" s="13"/>
      <c r="F3390" s="13"/>
      <c r="G3390" s="13"/>
      <c r="H3390" s="13"/>
      <c r="I3390" s="15"/>
      <c r="J3390" s="15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</row>
    <row r="3391" ht="22.5" hidden="1" customHeight="1">
      <c r="A3391" s="6"/>
      <c r="B3391" s="20"/>
      <c r="C3391" s="36"/>
      <c r="D3391" s="13"/>
      <c r="E3391" s="13"/>
      <c r="F3391" s="13"/>
      <c r="G3391" s="13"/>
      <c r="H3391" s="13"/>
      <c r="I3391" s="15"/>
      <c r="J3391" s="15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</row>
    <row r="3392" ht="22.5" hidden="1" customHeight="1">
      <c r="A3392" s="6"/>
      <c r="B3392" s="20"/>
      <c r="C3392" s="36"/>
      <c r="D3392" s="13"/>
      <c r="E3392" s="13"/>
      <c r="F3392" s="13"/>
      <c r="G3392" s="13"/>
      <c r="H3392" s="13"/>
      <c r="I3392" s="15"/>
      <c r="J3392" s="15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</row>
    <row r="3393" ht="22.5" hidden="1" customHeight="1">
      <c r="A3393" s="6"/>
      <c r="B3393" s="20"/>
      <c r="C3393" s="36"/>
      <c r="D3393" s="13"/>
      <c r="E3393" s="13"/>
      <c r="F3393" s="13"/>
      <c r="G3393" s="13"/>
      <c r="H3393" s="13"/>
      <c r="I3393" s="15"/>
      <c r="J3393" s="15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</row>
    <row r="3394" ht="22.5" hidden="1" customHeight="1">
      <c r="A3394" s="6"/>
      <c r="B3394" s="20"/>
      <c r="C3394" s="36"/>
      <c r="D3394" s="13"/>
      <c r="E3394" s="13"/>
      <c r="F3394" s="13"/>
      <c r="G3394" s="13"/>
      <c r="H3394" s="13"/>
      <c r="I3394" s="15"/>
      <c r="J3394" s="15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</row>
    <row r="3395" ht="22.5" hidden="1" customHeight="1">
      <c r="A3395" s="6"/>
      <c r="B3395" s="20"/>
      <c r="C3395" s="36"/>
      <c r="D3395" s="13"/>
      <c r="E3395" s="13"/>
      <c r="F3395" s="13"/>
      <c r="G3395" s="13"/>
      <c r="H3395" s="13"/>
      <c r="I3395" s="15"/>
      <c r="J3395" s="15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</row>
    <row r="3396" ht="22.5" hidden="1" customHeight="1">
      <c r="A3396" s="6"/>
      <c r="B3396" s="20"/>
      <c r="C3396" s="36"/>
      <c r="D3396" s="13"/>
      <c r="E3396" s="13"/>
      <c r="F3396" s="13"/>
      <c r="G3396" s="13"/>
      <c r="H3396" s="13"/>
      <c r="I3396" s="15"/>
      <c r="J3396" s="15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</row>
    <row r="3397" ht="22.5" hidden="1" customHeight="1">
      <c r="A3397" s="6"/>
      <c r="B3397" s="20"/>
      <c r="C3397" s="36"/>
      <c r="D3397" s="13"/>
      <c r="E3397" s="13"/>
      <c r="F3397" s="13"/>
      <c r="G3397" s="13"/>
      <c r="H3397" s="13"/>
      <c r="I3397" s="15"/>
      <c r="J3397" s="15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</row>
    <row r="3398" ht="22.5" hidden="1" customHeight="1">
      <c r="A3398" s="6"/>
      <c r="B3398" s="20"/>
      <c r="C3398" s="36"/>
      <c r="D3398" s="13"/>
      <c r="E3398" s="13"/>
      <c r="F3398" s="13"/>
      <c r="G3398" s="13"/>
      <c r="H3398" s="13"/>
      <c r="I3398" s="15"/>
      <c r="J3398" s="15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</row>
    <row r="3399" ht="22.5" hidden="1" customHeight="1">
      <c r="A3399" s="6"/>
      <c r="B3399" s="20"/>
      <c r="C3399" s="36"/>
      <c r="D3399" s="13"/>
      <c r="E3399" s="13"/>
      <c r="F3399" s="13"/>
      <c r="G3399" s="13"/>
      <c r="H3399" s="13"/>
      <c r="I3399" s="15"/>
      <c r="J3399" s="15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</row>
    <row r="3400" ht="22.5" hidden="1" customHeight="1">
      <c r="A3400" s="6"/>
      <c r="B3400" s="20"/>
      <c r="C3400" s="36"/>
      <c r="D3400" s="13"/>
      <c r="E3400" s="13"/>
      <c r="F3400" s="13"/>
      <c r="G3400" s="13"/>
      <c r="H3400" s="13"/>
      <c r="I3400" s="15"/>
      <c r="J3400" s="15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</row>
    <row r="3401" ht="22.5" hidden="1" customHeight="1">
      <c r="A3401" s="6"/>
      <c r="B3401" s="20"/>
      <c r="C3401" s="36"/>
      <c r="D3401" s="13"/>
      <c r="E3401" s="13"/>
      <c r="F3401" s="13"/>
      <c r="G3401" s="13"/>
      <c r="H3401" s="13"/>
      <c r="I3401" s="15"/>
      <c r="J3401" s="15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</row>
    <row r="3402" ht="22.5" hidden="1" customHeight="1">
      <c r="A3402" s="6"/>
      <c r="B3402" s="20"/>
      <c r="C3402" s="36"/>
      <c r="D3402" s="13"/>
      <c r="E3402" s="13"/>
      <c r="F3402" s="13"/>
      <c r="G3402" s="13"/>
      <c r="H3402" s="13"/>
      <c r="I3402" s="15"/>
      <c r="J3402" s="15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</row>
    <row r="3403" ht="22.5" hidden="1" customHeight="1">
      <c r="A3403" s="6"/>
      <c r="B3403" s="20"/>
      <c r="C3403" s="36"/>
      <c r="D3403" s="13"/>
      <c r="E3403" s="13"/>
      <c r="F3403" s="13"/>
      <c r="G3403" s="13"/>
      <c r="H3403" s="13"/>
      <c r="I3403" s="15"/>
      <c r="J3403" s="15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</row>
    <row r="3404" ht="22.5" hidden="1" customHeight="1">
      <c r="A3404" s="6"/>
      <c r="B3404" s="20"/>
      <c r="C3404" s="36"/>
      <c r="D3404" s="13"/>
      <c r="E3404" s="13"/>
      <c r="F3404" s="13"/>
      <c r="G3404" s="13"/>
      <c r="H3404" s="13"/>
      <c r="I3404" s="15"/>
      <c r="J3404" s="15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</row>
    <row r="3405" ht="22.5" hidden="1" customHeight="1">
      <c r="A3405" s="6"/>
      <c r="B3405" s="20"/>
      <c r="C3405" s="36"/>
      <c r="D3405" s="13"/>
      <c r="E3405" s="13"/>
      <c r="F3405" s="13"/>
      <c r="G3405" s="13"/>
      <c r="H3405" s="13"/>
      <c r="I3405" s="15"/>
      <c r="J3405" s="15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</row>
    <row r="3406" ht="22.5" hidden="1" customHeight="1">
      <c r="A3406" s="6"/>
      <c r="B3406" s="20"/>
      <c r="C3406" s="36"/>
      <c r="D3406" s="13"/>
      <c r="E3406" s="13"/>
      <c r="F3406" s="13"/>
      <c r="G3406" s="13"/>
      <c r="H3406" s="13"/>
      <c r="I3406" s="15"/>
      <c r="J3406" s="15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</row>
    <row r="3407" ht="22.5" hidden="1" customHeight="1">
      <c r="A3407" s="6"/>
      <c r="B3407" s="20"/>
      <c r="C3407" s="36"/>
      <c r="D3407" s="13"/>
      <c r="E3407" s="13"/>
      <c r="F3407" s="13"/>
      <c r="G3407" s="13"/>
      <c r="H3407" s="13"/>
      <c r="I3407" s="15"/>
      <c r="J3407" s="15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</row>
    <row r="3408" ht="22.5" hidden="1" customHeight="1">
      <c r="A3408" s="6"/>
      <c r="B3408" s="20"/>
      <c r="C3408" s="36"/>
      <c r="D3408" s="13"/>
      <c r="E3408" s="13"/>
      <c r="F3408" s="13"/>
      <c r="G3408" s="13"/>
      <c r="H3408" s="13"/>
      <c r="I3408" s="15"/>
      <c r="J3408" s="15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</row>
    <row r="3409" ht="22.5" hidden="1" customHeight="1">
      <c r="A3409" s="6"/>
      <c r="B3409" s="20"/>
      <c r="C3409" s="36"/>
      <c r="D3409" s="13"/>
      <c r="E3409" s="13"/>
      <c r="F3409" s="13"/>
      <c r="G3409" s="13"/>
      <c r="H3409" s="13"/>
      <c r="I3409" s="15"/>
      <c r="J3409" s="15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</row>
    <row r="3410" ht="22.5" hidden="1" customHeight="1">
      <c r="A3410" s="6"/>
      <c r="B3410" s="20"/>
      <c r="C3410" s="36"/>
      <c r="D3410" s="13"/>
      <c r="E3410" s="13"/>
      <c r="F3410" s="13"/>
      <c r="G3410" s="13"/>
      <c r="H3410" s="13"/>
      <c r="I3410" s="15"/>
      <c r="J3410" s="15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</row>
    <row r="3411" ht="22.5" hidden="1" customHeight="1">
      <c r="A3411" s="6"/>
      <c r="B3411" s="20"/>
      <c r="C3411" s="36"/>
      <c r="D3411" s="13"/>
      <c r="E3411" s="13"/>
      <c r="F3411" s="13"/>
      <c r="G3411" s="13"/>
      <c r="H3411" s="13"/>
      <c r="I3411" s="15"/>
      <c r="J3411" s="15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</row>
    <row r="3412" ht="22.5" hidden="1" customHeight="1">
      <c r="A3412" s="6"/>
      <c r="B3412" s="20"/>
      <c r="C3412" s="36"/>
      <c r="D3412" s="13"/>
      <c r="E3412" s="13"/>
      <c r="F3412" s="13"/>
      <c r="G3412" s="13"/>
      <c r="H3412" s="13"/>
      <c r="I3412" s="15"/>
      <c r="J3412" s="15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</row>
    <row r="3413" ht="22.5" hidden="1" customHeight="1">
      <c r="A3413" s="6"/>
      <c r="B3413" s="20"/>
      <c r="C3413" s="36"/>
      <c r="D3413" s="13"/>
      <c r="E3413" s="13"/>
      <c r="F3413" s="13"/>
      <c r="G3413" s="13"/>
      <c r="H3413" s="13"/>
      <c r="I3413" s="15"/>
      <c r="J3413" s="15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</row>
    <row r="3414" ht="22.5" hidden="1" customHeight="1">
      <c r="A3414" s="6"/>
      <c r="B3414" s="20"/>
      <c r="C3414" s="36"/>
      <c r="D3414" s="13"/>
      <c r="E3414" s="13"/>
      <c r="F3414" s="13"/>
      <c r="G3414" s="13"/>
      <c r="H3414" s="13"/>
      <c r="I3414" s="15"/>
      <c r="J3414" s="15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</row>
    <row r="3415" ht="22.5" hidden="1" customHeight="1">
      <c r="A3415" s="6"/>
      <c r="B3415" s="20"/>
      <c r="C3415" s="36"/>
      <c r="D3415" s="13"/>
      <c r="E3415" s="13"/>
      <c r="F3415" s="13"/>
      <c r="G3415" s="13"/>
      <c r="H3415" s="13"/>
      <c r="I3415" s="15"/>
      <c r="J3415" s="15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</row>
    <row r="3416" ht="22.5" hidden="1" customHeight="1">
      <c r="A3416" s="6"/>
      <c r="B3416" s="20"/>
      <c r="C3416" s="36"/>
      <c r="D3416" s="13"/>
      <c r="E3416" s="13"/>
      <c r="F3416" s="13"/>
      <c r="G3416" s="13"/>
      <c r="H3416" s="13"/>
      <c r="I3416" s="15"/>
      <c r="J3416" s="15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</row>
    <row r="3417" ht="22.5" hidden="1" customHeight="1">
      <c r="A3417" s="6"/>
      <c r="B3417" s="20"/>
      <c r="C3417" s="36"/>
      <c r="D3417" s="13"/>
      <c r="E3417" s="13"/>
      <c r="F3417" s="13"/>
      <c r="G3417" s="13"/>
      <c r="H3417" s="13"/>
      <c r="I3417" s="15"/>
      <c r="J3417" s="15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</row>
    <row r="3418" ht="22.5" hidden="1" customHeight="1">
      <c r="A3418" s="6"/>
      <c r="B3418" s="20"/>
      <c r="C3418" s="36"/>
      <c r="D3418" s="13"/>
      <c r="E3418" s="13"/>
      <c r="F3418" s="13"/>
      <c r="G3418" s="13"/>
      <c r="H3418" s="13"/>
      <c r="I3418" s="15"/>
      <c r="J3418" s="15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</row>
    <row r="3419" ht="22.5" hidden="1" customHeight="1">
      <c r="A3419" s="6"/>
      <c r="B3419" s="20"/>
      <c r="C3419" s="36"/>
      <c r="D3419" s="13"/>
      <c r="E3419" s="13"/>
      <c r="F3419" s="13"/>
      <c r="G3419" s="13"/>
      <c r="H3419" s="13"/>
      <c r="I3419" s="15"/>
      <c r="J3419" s="15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</row>
    <row r="3420" ht="22.5" hidden="1" customHeight="1">
      <c r="A3420" s="6"/>
      <c r="B3420" s="20"/>
      <c r="C3420" s="36"/>
      <c r="D3420" s="13"/>
      <c r="E3420" s="13"/>
      <c r="F3420" s="13"/>
      <c r="G3420" s="13"/>
      <c r="H3420" s="13"/>
      <c r="I3420" s="15"/>
      <c r="J3420" s="15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</row>
    <row r="3421" ht="22.5" hidden="1" customHeight="1">
      <c r="A3421" s="6"/>
      <c r="B3421" s="20"/>
      <c r="C3421" s="36"/>
      <c r="D3421" s="13"/>
      <c r="E3421" s="13"/>
      <c r="F3421" s="13"/>
      <c r="G3421" s="13"/>
      <c r="H3421" s="13"/>
      <c r="I3421" s="15"/>
      <c r="J3421" s="15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</row>
    <row r="3422" ht="22.5" hidden="1" customHeight="1">
      <c r="A3422" s="6"/>
      <c r="B3422" s="20"/>
      <c r="C3422" s="36"/>
      <c r="D3422" s="13"/>
      <c r="E3422" s="13"/>
      <c r="F3422" s="13"/>
      <c r="G3422" s="13"/>
      <c r="H3422" s="13"/>
      <c r="I3422" s="15"/>
      <c r="J3422" s="15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</row>
    <row r="3423" ht="22.5" hidden="1" customHeight="1">
      <c r="A3423" s="6"/>
      <c r="B3423" s="20"/>
      <c r="C3423" s="36"/>
      <c r="D3423" s="13"/>
      <c r="E3423" s="13"/>
      <c r="F3423" s="13"/>
      <c r="G3423" s="13"/>
      <c r="H3423" s="13"/>
      <c r="I3423" s="15"/>
      <c r="J3423" s="15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</row>
    <row r="3424" ht="22.5" hidden="1" customHeight="1">
      <c r="A3424" s="6"/>
      <c r="B3424" s="20"/>
      <c r="C3424" s="36"/>
      <c r="D3424" s="13"/>
      <c r="E3424" s="13"/>
      <c r="F3424" s="13"/>
      <c r="G3424" s="13"/>
      <c r="H3424" s="13"/>
      <c r="I3424" s="15"/>
      <c r="J3424" s="15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</row>
    <row r="3425" ht="22.5" hidden="1" customHeight="1">
      <c r="A3425" s="6"/>
      <c r="B3425" s="20"/>
      <c r="C3425" s="36"/>
      <c r="D3425" s="13"/>
      <c r="E3425" s="13"/>
      <c r="F3425" s="13"/>
      <c r="G3425" s="13"/>
      <c r="H3425" s="13"/>
      <c r="I3425" s="15"/>
      <c r="J3425" s="15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</row>
    <row r="3426" ht="22.5" hidden="1" customHeight="1">
      <c r="A3426" s="6"/>
      <c r="B3426" s="20"/>
      <c r="C3426" s="36"/>
      <c r="D3426" s="13"/>
      <c r="E3426" s="13"/>
      <c r="F3426" s="13"/>
      <c r="G3426" s="13"/>
      <c r="H3426" s="13"/>
      <c r="I3426" s="15"/>
      <c r="J3426" s="15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</row>
    <row r="3427" ht="22.5" hidden="1" customHeight="1">
      <c r="A3427" s="6"/>
      <c r="B3427" s="20"/>
      <c r="C3427" s="36"/>
      <c r="D3427" s="13"/>
      <c r="E3427" s="13"/>
      <c r="F3427" s="13"/>
      <c r="G3427" s="13"/>
      <c r="H3427" s="13"/>
      <c r="I3427" s="15"/>
      <c r="J3427" s="15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</row>
    <row r="3428" ht="22.5" hidden="1" customHeight="1">
      <c r="A3428" s="6"/>
      <c r="B3428" s="20"/>
      <c r="C3428" s="36"/>
      <c r="D3428" s="13"/>
      <c r="E3428" s="13"/>
      <c r="F3428" s="13"/>
      <c r="G3428" s="13"/>
      <c r="H3428" s="13"/>
      <c r="I3428" s="15"/>
      <c r="J3428" s="15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</row>
    <row r="3429" ht="22.5" hidden="1" customHeight="1">
      <c r="A3429" s="6"/>
      <c r="B3429" s="20"/>
      <c r="C3429" s="36"/>
      <c r="D3429" s="13"/>
      <c r="E3429" s="13"/>
      <c r="F3429" s="13"/>
      <c r="G3429" s="13"/>
      <c r="H3429" s="13"/>
      <c r="I3429" s="15"/>
      <c r="J3429" s="15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</row>
    <row r="3430" ht="22.5" hidden="1" customHeight="1">
      <c r="A3430" s="6"/>
      <c r="B3430" s="20"/>
      <c r="C3430" s="36"/>
      <c r="D3430" s="13"/>
      <c r="E3430" s="13"/>
      <c r="F3430" s="13"/>
      <c r="G3430" s="13"/>
      <c r="H3430" s="13"/>
      <c r="I3430" s="15"/>
      <c r="J3430" s="15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</row>
    <row r="3431" ht="22.5" hidden="1" customHeight="1">
      <c r="A3431" s="6"/>
      <c r="B3431" s="20"/>
      <c r="C3431" s="36"/>
      <c r="D3431" s="13"/>
      <c r="E3431" s="13"/>
      <c r="F3431" s="13"/>
      <c r="G3431" s="13"/>
      <c r="H3431" s="13"/>
      <c r="I3431" s="15"/>
      <c r="J3431" s="15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</row>
    <row r="3432" ht="22.5" hidden="1" customHeight="1">
      <c r="A3432" s="6"/>
      <c r="B3432" s="20"/>
      <c r="C3432" s="36"/>
      <c r="D3432" s="13"/>
      <c r="E3432" s="13"/>
      <c r="F3432" s="13"/>
      <c r="G3432" s="13"/>
      <c r="H3432" s="13"/>
      <c r="I3432" s="15"/>
      <c r="J3432" s="15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</row>
    <row r="3433" ht="22.5" hidden="1" customHeight="1">
      <c r="A3433" s="6"/>
      <c r="B3433" s="20"/>
      <c r="C3433" s="36"/>
      <c r="D3433" s="13"/>
      <c r="E3433" s="13"/>
      <c r="F3433" s="13"/>
      <c r="G3433" s="13"/>
      <c r="H3433" s="13"/>
      <c r="I3433" s="15"/>
      <c r="J3433" s="15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</row>
    <row r="3434" ht="22.5" hidden="1" customHeight="1">
      <c r="A3434" s="6"/>
      <c r="B3434" s="20"/>
      <c r="C3434" s="36"/>
      <c r="D3434" s="13"/>
      <c r="E3434" s="13"/>
      <c r="F3434" s="13"/>
      <c r="G3434" s="13"/>
      <c r="H3434" s="13"/>
      <c r="I3434" s="15"/>
      <c r="J3434" s="15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</row>
    <row r="3435" ht="22.5" hidden="1" customHeight="1">
      <c r="A3435" s="6"/>
      <c r="B3435" s="20"/>
      <c r="C3435" s="36"/>
      <c r="D3435" s="13"/>
      <c r="E3435" s="13"/>
      <c r="F3435" s="13"/>
      <c r="G3435" s="13"/>
      <c r="H3435" s="13"/>
      <c r="I3435" s="15"/>
      <c r="J3435" s="15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</row>
    <row r="3436" ht="22.5" hidden="1" customHeight="1">
      <c r="A3436" s="6"/>
      <c r="B3436" s="20"/>
      <c r="C3436" s="36"/>
      <c r="D3436" s="13"/>
      <c r="E3436" s="13"/>
      <c r="F3436" s="13"/>
      <c r="G3436" s="13"/>
      <c r="H3436" s="13"/>
      <c r="I3436" s="15"/>
      <c r="J3436" s="15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</row>
    <row r="3437" ht="22.5" hidden="1" customHeight="1">
      <c r="A3437" s="6"/>
      <c r="B3437" s="20"/>
      <c r="C3437" s="36"/>
      <c r="D3437" s="13"/>
      <c r="E3437" s="13"/>
      <c r="F3437" s="13"/>
      <c r="G3437" s="13"/>
      <c r="H3437" s="13"/>
      <c r="I3437" s="15"/>
      <c r="J3437" s="15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</row>
    <row r="3438" ht="22.5" hidden="1" customHeight="1">
      <c r="A3438" s="6"/>
      <c r="B3438" s="20"/>
      <c r="C3438" s="36"/>
      <c r="D3438" s="13"/>
      <c r="E3438" s="13"/>
      <c r="F3438" s="13"/>
      <c r="G3438" s="13"/>
      <c r="H3438" s="13"/>
      <c r="I3438" s="15"/>
      <c r="J3438" s="15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</row>
    <row r="3439" ht="22.5" hidden="1" customHeight="1">
      <c r="A3439" s="6"/>
      <c r="B3439" s="20"/>
      <c r="C3439" s="36"/>
      <c r="D3439" s="13"/>
      <c r="E3439" s="13"/>
      <c r="F3439" s="13"/>
      <c r="G3439" s="13"/>
      <c r="H3439" s="13"/>
      <c r="I3439" s="15"/>
      <c r="J3439" s="15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</row>
    <row r="3440" ht="22.5" hidden="1" customHeight="1">
      <c r="A3440" s="6"/>
      <c r="B3440" s="20"/>
      <c r="C3440" s="36"/>
      <c r="D3440" s="13"/>
      <c r="E3440" s="13"/>
      <c r="F3440" s="13"/>
      <c r="G3440" s="13"/>
      <c r="H3440" s="13"/>
      <c r="I3440" s="15"/>
      <c r="J3440" s="15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</row>
    <row r="3441" ht="22.5" hidden="1" customHeight="1">
      <c r="A3441" s="6"/>
      <c r="B3441" s="20"/>
      <c r="C3441" s="36"/>
      <c r="D3441" s="13"/>
      <c r="E3441" s="13"/>
      <c r="F3441" s="13"/>
      <c r="G3441" s="13"/>
      <c r="H3441" s="13"/>
      <c r="I3441" s="15"/>
      <c r="J3441" s="15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</row>
    <row r="3442" ht="22.5" hidden="1" customHeight="1">
      <c r="A3442" s="6"/>
      <c r="B3442" s="20"/>
      <c r="C3442" s="36"/>
      <c r="D3442" s="13"/>
      <c r="E3442" s="13"/>
      <c r="F3442" s="13"/>
      <c r="G3442" s="13"/>
      <c r="H3442" s="13"/>
      <c r="I3442" s="15"/>
      <c r="J3442" s="15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</row>
    <row r="3443" ht="22.5" hidden="1" customHeight="1">
      <c r="A3443" s="6"/>
      <c r="B3443" s="20"/>
      <c r="C3443" s="36"/>
      <c r="D3443" s="13"/>
      <c r="E3443" s="13"/>
      <c r="F3443" s="13"/>
      <c r="G3443" s="13"/>
      <c r="H3443" s="13"/>
      <c r="I3443" s="15"/>
      <c r="J3443" s="15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</row>
    <row r="3444" ht="22.5" hidden="1" customHeight="1">
      <c r="A3444" s="6"/>
      <c r="B3444" s="20"/>
      <c r="C3444" s="36"/>
      <c r="D3444" s="13"/>
      <c r="E3444" s="13"/>
      <c r="F3444" s="13"/>
      <c r="G3444" s="13"/>
      <c r="H3444" s="13"/>
      <c r="I3444" s="15"/>
      <c r="J3444" s="15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</row>
    <row r="3445" ht="22.5" hidden="1" customHeight="1">
      <c r="A3445" s="6"/>
      <c r="B3445" s="20"/>
      <c r="C3445" s="36"/>
      <c r="D3445" s="13"/>
      <c r="E3445" s="13"/>
      <c r="F3445" s="13"/>
      <c r="G3445" s="13"/>
      <c r="H3445" s="13"/>
      <c r="I3445" s="15"/>
      <c r="J3445" s="15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</row>
    <row r="3446" ht="22.5" hidden="1" customHeight="1">
      <c r="A3446" s="6"/>
      <c r="B3446" s="20"/>
      <c r="C3446" s="36"/>
      <c r="D3446" s="13"/>
      <c r="E3446" s="13"/>
      <c r="F3446" s="13"/>
      <c r="G3446" s="13"/>
      <c r="H3446" s="13"/>
      <c r="I3446" s="15"/>
      <c r="J3446" s="15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</row>
    <row r="3447" ht="22.5" hidden="1" customHeight="1">
      <c r="A3447" s="6"/>
      <c r="B3447" s="20"/>
      <c r="C3447" s="36"/>
      <c r="D3447" s="13"/>
      <c r="E3447" s="13"/>
      <c r="F3447" s="13"/>
      <c r="G3447" s="13"/>
      <c r="H3447" s="13"/>
      <c r="I3447" s="15"/>
      <c r="J3447" s="15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</row>
    <row r="3448" ht="22.5" hidden="1" customHeight="1">
      <c r="A3448" s="6"/>
      <c r="B3448" s="20"/>
      <c r="C3448" s="36"/>
      <c r="D3448" s="13"/>
      <c r="E3448" s="13"/>
      <c r="F3448" s="13"/>
      <c r="G3448" s="13"/>
      <c r="H3448" s="13"/>
      <c r="I3448" s="15"/>
      <c r="J3448" s="15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</row>
    <row r="3449" ht="22.5" hidden="1" customHeight="1">
      <c r="A3449" s="6"/>
      <c r="B3449" s="20"/>
      <c r="C3449" s="36"/>
      <c r="D3449" s="13"/>
      <c r="E3449" s="13"/>
      <c r="F3449" s="13"/>
      <c r="G3449" s="13"/>
      <c r="H3449" s="13"/>
      <c r="I3449" s="15"/>
      <c r="J3449" s="15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</row>
    <row r="3450" ht="22.5" hidden="1" customHeight="1">
      <c r="A3450" s="6"/>
      <c r="B3450" s="20"/>
      <c r="C3450" s="36"/>
      <c r="D3450" s="13"/>
      <c r="E3450" s="13"/>
      <c r="F3450" s="13"/>
      <c r="G3450" s="13"/>
      <c r="H3450" s="13"/>
      <c r="I3450" s="15"/>
      <c r="J3450" s="15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</row>
    <row r="3451" ht="22.5" hidden="1" customHeight="1">
      <c r="A3451" s="6"/>
      <c r="B3451" s="20"/>
      <c r="C3451" s="36"/>
      <c r="D3451" s="13"/>
      <c r="E3451" s="13"/>
      <c r="F3451" s="13"/>
      <c r="G3451" s="13"/>
      <c r="H3451" s="13"/>
      <c r="I3451" s="15"/>
      <c r="J3451" s="15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</row>
    <row r="3452" ht="22.5" hidden="1" customHeight="1">
      <c r="A3452" s="6"/>
      <c r="B3452" s="20"/>
      <c r="C3452" s="36"/>
      <c r="D3452" s="13"/>
      <c r="E3452" s="13"/>
      <c r="F3452" s="13"/>
      <c r="G3452" s="13"/>
      <c r="H3452" s="13"/>
      <c r="I3452" s="15"/>
      <c r="J3452" s="15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</row>
    <row r="3453" ht="22.5" hidden="1" customHeight="1">
      <c r="A3453" s="6"/>
      <c r="B3453" s="20"/>
      <c r="C3453" s="36"/>
      <c r="D3453" s="13"/>
      <c r="E3453" s="13"/>
      <c r="F3453" s="13"/>
      <c r="G3453" s="13"/>
      <c r="H3453" s="13"/>
      <c r="I3453" s="15"/>
      <c r="J3453" s="15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</row>
    <row r="3454" ht="22.5" hidden="1" customHeight="1">
      <c r="A3454" s="6"/>
      <c r="B3454" s="20"/>
      <c r="C3454" s="36"/>
      <c r="D3454" s="13"/>
      <c r="E3454" s="13"/>
      <c r="F3454" s="13"/>
      <c r="G3454" s="13"/>
      <c r="H3454" s="13"/>
      <c r="I3454" s="15"/>
      <c r="J3454" s="15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</row>
    <row r="3455" ht="22.5" hidden="1" customHeight="1">
      <c r="A3455" s="6"/>
      <c r="B3455" s="20"/>
      <c r="C3455" s="36"/>
      <c r="D3455" s="13"/>
      <c r="E3455" s="13"/>
      <c r="F3455" s="13"/>
      <c r="G3455" s="13"/>
      <c r="H3455" s="13"/>
      <c r="I3455" s="15"/>
      <c r="J3455" s="15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</row>
    <row r="3456" ht="22.5" hidden="1" customHeight="1">
      <c r="A3456" s="6"/>
      <c r="B3456" s="20"/>
      <c r="C3456" s="36"/>
      <c r="D3456" s="13"/>
      <c r="E3456" s="13"/>
      <c r="F3456" s="13"/>
      <c r="G3456" s="13"/>
      <c r="H3456" s="13"/>
      <c r="I3456" s="15"/>
      <c r="J3456" s="15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</row>
    <row r="3457" ht="22.5" hidden="1" customHeight="1">
      <c r="A3457" s="6"/>
      <c r="B3457" s="20"/>
      <c r="C3457" s="36"/>
      <c r="D3457" s="13"/>
      <c r="E3457" s="13"/>
      <c r="F3457" s="13"/>
      <c r="G3457" s="13"/>
      <c r="H3457" s="13"/>
      <c r="I3457" s="15"/>
      <c r="J3457" s="15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</row>
    <row r="3458" ht="22.5" hidden="1" customHeight="1">
      <c r="A3458" s="6"/>
      <c r="B3458" s="20"/>
      <c r="C3458" s="36"/>
      <c r="D3458" s="13"/>
      <c r="E3458" s="13"/>
      <c r="F3458" s="13"/>
      <c r="G3458" s="13"/>
      <c r="H3458" s="13"/>
      <c r="I3458" s="15"/>
      <c r="J3458" s="15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</row>
    <row r="3459" ht="22.5" hidden="1" customHeight="1">
      <c r="A3459" s="6"/>
      <c r="B3459" s="20"/>
      <c r="C3459" s="36"/>
      <c r="D3459" s="13"/>
      <c r="E3459" s="13"/>
      <c r="F3459" s="13"/>
      <c r="G3459" s="13"/>
      <c r="H3459" s="13"/>
      <c r="I3459" s="15"/>
      <c r="J3459" s="15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</row>
    <row r="3460" ht="22.5" hidden="1" customHeight="1">
      <c r="A3460" s="6"/>
      <c r="B3460" s="20"/>
      <c r="C3460" s="36"/>
      <c r="D3460" s="13"/>
      <c r="E3460" s="13"/>
      <c r="F3460" s="13"/>
      <c r="G3460" s="13"/>
      <c r="H3460" s="13"/>
      <c r="I3460" s="15"/>
      <c r="J3460" s="15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</row>
    <row r="3461" ht="22.5" hidden="1" customHeight="1">
      <c r="A3461" s="6"/>
      <c r="B3461" s="20"/>
      <c r="C3461" s="36"/>
      <c r="D3461" s="13"/>
      <c r="E3461" s="13"/>
      <c r="F3461" s="13"/>
      <c r="G3461" s="13"/>
      <c r="H3461" s="13"/>
      <c r="I3461" s="15"/>
      <c r="J3461" s="15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</row>
    <row r="3462" ht="22.5" hidden="1" customHeight="1">
      <c r="A3462" s="6"/>
      <c r="B3462" s="20"/>
      <c r="C3462" s="36"/>
      <c r="D3462" s="13"/>
      <c r="E3462" s="13"/>
      <c r="F3462" s="13"/>
      <c r="G3462" s="13"/>
      <c r="H3462" s="13"/>
      <c r="I3462" s="15"/>
      <c r="J3462" s="15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</row>
    <row r="3463" ht="22.5" hidden="1" customHeight="1">
      <c r="A3463" s="6"/>
      <c r="B3463" s="20"/>
      <c r="C3463" s="36"/>
      <c r="D3463" s="13"/>
      <c r="E3463" s="13"/>
      <c r="F3463" s="13"/>
      <c r="G3463" s="13"/>
      <c r="H3463" s="13"/>
      <c r="I3463" s="15"/>
      <c r="J3463" s="15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</row>
    <row r="3464" ht="22.5" hidden="1" customHeight="1">
      <c r="A3464" s="6"/>
      <c r="B3464" s="20"/>
      <c r="C3464" s="36"/>
      <c r="D3464" s="13"/>
      <c r="E3464" s="13"/>
      <c r="F3464" s="13"/>
      <c r="G3464" s="13"/>
      <c r="H3464" s="13"/>
      <c r="I3464" s="15"/>
      <c r="J3464" s="15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</row>
    <row r="3465" ht="22.5" hidden="1" customHeight="1">
      <c r="A3465" s="6"/>
      <c r="B3465" s="20"/>
      <c r="C3465" s="36"/>
      <c r="D3465" s="13"/>
      <c r="E3465" s="13"/>
      <c r="F3465" s="13"/>
      <c r="G3465" s="13"/>
      <c r="H3465" s="13"/>
      <c r="I3465" s="15"/>
      <c r="J3465" s="15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</row>
    <row r="3466" ht="22.5" hidden="1" customHeight="1">
      <c r="A3466" s="6"/>
      <c r="B3466" s="20"/>
      <c r="C3466" s="36"/>
      <c r="D3466" s="13"/>
      <c r="E3466" s="13"/>
      <c r="F3466" s="13"/>
      <c r="G3466" s="13"/>
      <c r="H3466" s="13"/>
      <c r="I3466" s="15"/>
      <c r="J3466" s="15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</row>
    <row r="3467" ht="22.5" hidden="1" customHeight="1">
      <c r="A3467" s="6"/>
      <c r="B3467" s="20"/>
      <c r="C3467" s="36"/>
      <c r="D3467" s="13"/>
      <c r="E3467" s="13"/>
      <c r="F3467" s="13"/>
      <c r="G3467" s="13"/>
      <c r="H3467" s="13"/>
      <c r="I3467" s="15"/>
      <c r="J3467" s="15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</row>
    <row r="3468" ht="22.5" hidden="1" customHeight="1">
      <c r="A3468" s="6"/>
      <c r="B3468" s="20"/>
      <c r="C3468" s="36"/>
      <c r="D3468" s="13"/>
      <c r="E3468" s="13"/>
      <c r="F3468" s="13"/>
      <c r="G3468" s="13"/>
      <c r="H3468" s="13"/>
      <c r="I3468" s="15"/>
      <c r="J3468" s="15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</row>
    <row r="3469" ht="22.5" hidden="1" customHeight="1">
      <c r="A3469" s="6"/>
      <c r="B3469" s="20"/>
      <c r="C3469" s="36"/>
      <c r="D3469" s="13"/>
      <c r="E3469" s="13"/>
      <c r="F3469" s="13"/>
      <c r="G3469" s="13"/>
      <c r="H3469" s="13"/>
      <c r="I3469" s="15"/>
      <c r="J3469" s="15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</row>
    <row r="3470" ht="22.5" hidden="1" customHeight="1">
      <c r="A3470" s="6"/>
      <c r="B3470" s="20"/>
      <c r="C3470" s="36"/>
      <c r="D3470" s="13"/>
      <c r="E3470" s="13"/>
      <c r="F3470" s="13"/>
      <c r="G3470" s="13"/>
      <c r="H3470" s="13"/>
      <c r="I3470" s="15"/>
      <c r="J3470" s="15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</row>
    <row r="3471" ht="22.5" hidden="1" customHeight="1">
      <c r="A3471" s="6"/>
      <c r="B3471" s="20"/>
      <c r="C3471" s="36"/>
      <c r="D3471" s="13"/>
      <c r="E3471" s="13"/>
      <c r="F3471" s="13"/>
      <c r="G3471" s="13"/>
      <c r="H3471" s="13"/>
      <c r="I3471" s="15"/>
      <c r="J3471" s="15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</row>
    <row r="3472" ht="22.5" hidden="1" customHeight="1">
      <c r="A3472" s="6"/>
      <c r="B3472" s="20"/>
      <c r="C3472" s="36"/>
      <c r="D3472" s="13"/>
      <c r="E3472" s="13"/>
      <c r="F3472" s="13"/>
      <c r="G3472" s="13"/>
      <c r="H3472" s="13"/>
      <c r="I3472" s="15"/>
      <c r="J3472" s="15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</row>
    <row r="3473" ht="22.5" hidden="1" customHeight="1">
      <c r="A3473" s="6"/>
      <c r="B3473" s="20"/>
      <c r="C3473" s="36"/>
      <c r="D3473" s="13"/>
      <c r="E3473" s="13"/>
      <c r="F3473" s="13"/>
      <c r="G3473" s="13"/>
      <c r="H3473" s="13"/>
      <c r="I3473" s="15"/>
      <c r="J3473" s="15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</row>
    <row r="3474" ht="22.5" hidden="1" customHeight="1">
      <c r="A3474" s="6"/>
      <c r="B3474" s="20"/>
      <c r="C3474" s="36"/>
      <c r="D3474" s="13"/>
      <c r="E3474" s="13"/>
      <c r="F3474" s="13"/>
      <c r="G3474" s="13"/>
      <c r="H3474" s="13"/>
      <c r="I3474" s="15"/>
      <c r="J3474" s="15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</row>
    <row r="3475" ht="22.5" hidden="1" customHeight="1">
      <c r="A3475" s="6"/>
      <c r="B3475" s="20"/>
      <c r="C3475" s="36"/>
      <c r="D3475" s="13"/>
      <c r="E3475" s="13"/>
      <c r="F3475" s="13"/>
      <c r="G3475" s="13"/>
      <c r="H3475" s="13"/>
      <c r="I3475" s="15"/>
      <c r="J3475" s="15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</row>
    <row r="3476" ht="22.5" hidden="1" customHeight="1">
      <c r="A3476" s="6"/>
      <c r="B3476" s="20"/>
      <c r="C3476" s="36"/>
      <c r="D3476" s="13"/>
      <c r="E3476" s="13"/>
      <c r="F3476" s="13"/>
      <c r="G3476" s="13"/>
      <c r="H3476" s="13"/>
      <c r="I3476" s="15"/>
      <c r="J3476" s="15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</row>
    <row r="3477" ht="22.5" hidden="1" customHeight="1">
      <c r="A3477" s="6"/>
      <c r="B3477" s="20"/>
      <c r="C3477" s="36"/>
      <c r="D3477" s="13"/>
      <c r="E3477" s="13"/>
      <c r="F3477" s="13"/>
      <c r="G3477" s="13"/>
      <c r="H3477" s="13"/>
      <c r="I3477" s="15"/>
      <c r="J3477" s="15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</row>
    <row r="3478" ht="22.5" hidden="1" customHeight="1">
      <c r="A3478" s="6"/>
      <c r="B3478" s="20"/>
      <c r="C3478" s="36"/>
      <c r="D3478" s="13"/>
      <c r="E3478" s="13"/>
      <c r="F3478" s="13"/>
      <c r="G3478" s="13"/>
      <c r="H3478" s="13"/>
      <c r="I3478" s="15"/>
      <c r="J3478" s="15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</row>
    <row r="3479" ht="22.5" hidden="1" customHeight="1">
      <c r="A3479" s="6"/>
      <c r="B3479" s="20"/>
      <c r="C3479" s="36"/>
      <c r="D3479" s="13"/>
      <c r="E3479" s="13"/>
      <c r="F3479" s="13"/>
      <c r="G3479" s="13"/>
      <c r="H3479" s="13"/>
      <c r="I3479" s="15"/>
      <c r="J3479" s="15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</row>
    <row r="3480" ht="22.5" hidden="1" customHeight="1">
      <c r="A3480" s="6"/>
      <c r="B3480" s="20"/>
      <c r="C3480" s="36"/>
      <c r="D3480" s="13"/>
      <c r="E3480" s="13"/>
      <c r="F3480" s="13"/>
      <c r="G3480" s="13"/>
      <c r="H3480" s="13"/>
      <c r="I3480" s="15"/>
      <c r="J3480" s="15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</row>
    <row r="3481" ht="22.5" hidden="1" customHeight="1">
      <c r="A3481" s="6"/>
      <c r="B3481" s="20"/>
      <c r="C3481" s="36"/>
      <c r="D3481" s="13"/>
      <c r="E3481" s="13"/>
      <c r="F3481" s="13"/>
      <c r="G3481" s="13"/>
      <c r="H3481" s="13"/>
      <c r="I3481" s="15"/>
      <c r="J3481" s="15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</row>
    <row r="3482" ht="22.5" hidden="1" customHeight="1">
      <c r="A3482" s="6"/>
      <c r="B3482" s="20"/>
      <c r="C3482" s="36"/>
      <c r="D3482" s="13"/>
      <c r="E3482" s="13"/>
      <c r="F3482" s="13"/>
      <c r="G3482" s="13"/>
      <c r="H3482" s="13"/>
      <c r="I3482" s="15"/>
      <c r="J3482" s="15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</row>
    <row r="3483" ht="22.5" hidden="1" customHeight="1">
      <c r="A3483" s="6"/>
      <c r="B3483" s="20"/>
      <c r="C3483" s="36"/>
      <c r="D3483" s="13"/>
      <c r="E3483" s="13"/>
      <c r="F3483" s="13"/>
      <c r="G3483" s="13"/>
      <c r="H3483" s="13"/>
      <c r="I3483" s="15"/>
      <c r="J3483" s="15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</row>
    <row r="3484" ht="22.5" hidden="1" customHeight="1">
      <c r="A3484" s="6"/>
      <c r="B3484" s="20"/>
      <c r="C3484" s="36"/>
      <c r="D3484" s="13"/>
      <c r="E3484" s="13"/>
      <c r="F3484" s="13"/>
      <c r="G3484" s="13"/>
      <c r="H3484" s="13"/>
      <c r="I3484" s="15"/>
      <c r="J3484" s="15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</row>
    <row r="3485" ht="22.5" hidden="1" customHeight="1">
      <c r="A3485" s="6"/>
      <c r="B3485" s="20"/>
      <c r="C3485" s="36"/>
      <c r="D3485" s="13"/>
      <c r="E3485" s="13"/>
      <c r="F3485" s="13"/>
      <c r="G3485" s="13"/>
      <c r="H3485" s="13"/>
      <c r="I3485" s="15"/>
      <c r="J3485" s="15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</row>
    <row r="3486" ht="22.5" hidden="1" customHeight="1">
      <c r="A3486" s="6"/>
      <c r="B3486" s="20"/>
      <c r="C3486" s="36"/>
      <c r="D3486" s="13"/>
      <c r="E3486" s="13"/>
      <c r="F3486" s="13"/>
      <c r="G3486" s="13"/>
      <c r="H3486" s="13"/>
      <c r="I3486" s="15"/>
      <c r="J3486" s="15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</row>
    <row r="3487" ht="22.5" hidden="1" customHeight="1">
      <c r="A3487" s="6"/>
      <c r="B3487" s="20"/>
      <c r="C3487" s="36"/>
      <c r="D3487" s="13"/>
      <c r="E3487" s="13"/>
      <c r="F3487" s="13"/>
      <c r="G3487" s="13"/>
      <c r="H3487" s="13"/>
      <c r="I3487" s="15"/>
      <c r="J3487" s="15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</row>
    <row r="3488" ht="22.5" hidden="1" customHeight="1">
      <c r="A3488" s="6"/>
      <c r="B3488" s="20"/>
      <c r="C3488" s="36"/>
      <c r="D3488" s="13"/>
      <c r="E3488" s="13"/>
      <c r="F3488" s="13"/>
      <c r="G3488" s="13"/>
      <c r="H3488" s="13"/>
      <c r="I3488" s="15"/>
      <c r="J3488" s="15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</row>
    <row r="3489" ht="22.5" hidden="1" customHeight="1">
      <c r="A3489" s="6"/>
      <c r="B3489" s="20"/>
      <c r="C3489" s="36"/>
      <c r="D3489" s="13"/>
      <c r="E3489" s="13"/>
      <c r="F3489" s="13"/>
      <c r="G3489" s="13"/>
      <c r="H3489" s="13"/>
      <c r="I3489" s="15"/>
      <c r="J3489" s="15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</row>
    <row r="3490" ht="22.5" hidden="1" customHeight="1">
      <c r="A3490" s="6"/>
      <c r="B3490" s="20"/>
      <c r="C3490" s="36"/>
      <c r="D3490" s="13"/>
      <c r="E3490" s="13"/>
      <c r="F3490" s="13"/>
      <c r="G3490" s="13"/>
      <c r="H3490" s="13"/>
      <c r="I3490" s="15"/>
      <c r="J3490" s="15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</row>
    <row r="3491" ht="22.5" hidden="1" customHeight="1">
      <c r="A3491" s="6"/>
      <c r="B3491" s="20"/>
      <c r="C3491" s="36"/>
      <c r="D3491" s="13"/>
      <c r="E3491" s="13"/>
      <c r="F3491" s="13"/>
      <c r="G3491" s="13"/>
      <c r="H3491" s="13"/>
      <c r="I3491" s="15"/>
      <c r="J3491" s="15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</row>
    <row r="3492" ht="22.5" hidden="1" customHeight="1">
      <c r="A3492" s="6"/>
      <c r="B3492" s="20"/>
      <c r="C3492" s="36"/>
      <c r="D3492" s="13"/>
      <c r="E3492" s="13"/>
      <c r="F3492" s="13"/>
      <c r="G3492" s="13"/>
      <c r="H3492" s="13"/>
      <c r="I3492" s="15"/>
      <c r="J3492" s="15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</row>
    <row r="3493" ht="22.5" hidden="1" customHeight="1">
      <c r="A3493" s="6"/>
      <c r="B3493" s="20"/>
      <c r="C3493" s="36"/>
      <c r="D3493" s="13"/>
      <c r="E3493" s="13"/>
      <c r="F3493" s="13"/>
      <c r="G3493" s="13"/>
      <c r="H3493" s="13"/>
      <c r="I3493" s="15"/>
      <c r="J3493" s="15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</row>
    <row r="3494" ht="22.5" hidden="1" customHeight="1">
      <c r="A3494" s="6"/>
      <c r="B3494" s="20"/>
      <c r="C3494" s="36"/>
      <c r="D3494" s="13"/>
      <c r="E3494" s="13"/>
      <c r="F3494" s="13"/>
      <c r="G3494" s="13"/>
      <c r="H3494" s="13"/>
      <c r="I3494" s="15"/>
      <c r="J3494" s="15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</row>
    <row r="3495" ht="22.5" hidden="1" customHeight="1">
      <c r="A3495" s="6"/>
      <c r="B3495" s="20"/>
      <c r="C3495" s="36"/>
      <c r="D3495" s="13"/>
      <c r="E3495" s="13"/>
      <c r="F3495" s="13"/>
      <c r="G3495" s="13"/>
      <c r="H3495" s="13"/>
      <c r="I3495" s="15"/>
      <c r="J3495" s="15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</row>
    <row r="3496" ht="22.5" hidden="1" customHeight="1">
      <c r="A3496" s="6"/>
      <c r="B3496" s="20"/>
      <c r="C3496" s="36"/>
      <c r="D3496" s="13"/>
      <c r="E3496" s="13"/>
      <c r="F3496" s="13"/>
      <c r="G3496" s="13"/>
      <c r="H3496" s="13"/>
      <c r="I3496" s="15"/>
      <c r="J3496" s="15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</row>
    <row r="3497" ht="22.5" hidden="1" customHeight="1">
      <c r="A3497" s="6"/>
      <c r="B3497" s="20"/>
      <c r="C3497" s="36"/>
      <c r="D3497" s="13"/>
      <c r="E3497" s="13"/>
      <c r="F3497" s="13"/>
      <c r="G3497" s="13"/>
      <c r="H3497" s="13"/>
      <c r="I3497" s="15"/>
      <c r="J3497" s="15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</row>
    <row r="3498" ht="22.5" hidden="1" customHeight="1">
      <c r="A3498" s="6"/>
      <c r="B3498" s="20"/>
      <c r="C3498" s="36"/>
      <c r="D3498" s="13"/>
      <c r="E3498" s="13"/>
      <c r="F3498" s="13"/>
      <c r="G3498" s="13"/>
      <c r="H3498" s="13"/>
      <c r="I3498" s="15"/>
      <c r="J3498" s="15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</row>
    <row r="3499" ht="22.5" hidden="1" customHeight="1">
      <c r="A3499" s="6"/>
      <c r="B3499" s="20"/>
      <c r="C3499" s="36"/>
      <c r="D3499" s="13"/>
      <c r="E3499" s="13"/>
      <c r="F3499" s="13"/>
      <c r="G3499" s="13"/>
      <c r="H3499" s="13"/>
      <c r="I3499" s="15"/>
      <c r="J3499" s="15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</row>
    <row r="3500" ht="22.5" hidden="1" customHeight="1">
      <c r="A3500" s="6"/>
      <c r="B3500" s="20"/>
      <c r="C3500" s="36"/>
      <c r="D3500" s="13"/>
      <c r="E3500" s="13"/>
      <c r="F3500" s="13"/>
      <c r="G3500" s="13"/>
      <c r="H3500" s="13"/>
      <c r="I3500" s="15"/>
      <c r="J3500" s="15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</row>
    <row r="3501" ht="22.5" hidden="1" customHeight="1">
      <c r="A3501" s="6"/>
      <c r="B3501" s="20"/>
      <c r="C3501" s="36"/>
      <c r="D3501" s="13"/>
      <c r="E3501" s="13"/>
      <c r="F3501" s="13"/>
      <c r="G3501" s="13"/>
      <c r="H3501" s="13"/>
      <c r="I3501" s="15"/>
      <c r="J3501" s="15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</row>
    <row r="3502" ht="22.5" hidden="1" customHeight="1">
      <c r="A3502" s="6"/>
      <c r="B3502" s="20"/>
      <c r="C3502" s="36"/>
      <c r="D3502" s="13"/>
      <c r="E3502" s="13"/>
      <c r="F3502" s="13"/>
      <c r="G3502" s="13"/>
      <c r="H3502" s="13"/>
      <c r="I3502" s="15"/>
      <c r="J3502" s="15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</row>
    <row r="3503" ht="22.5" hidden="1" customHeight="1">
      <c r="A3503" s="6"/>
      <c r="B3503" s="20"/>
      <c r="C3503" s="36"/>
      <c r="D3503" s="13"/>
      <c r="E3503" s="13"/>
      <c r="F3503" s="13"/>
      <c r="G3503" s="13"/>
      <c r="H3503" s="13"/>
      <c r="I3503" s="15"/>
      <c r="J3503" s="15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</row>
    <row r="3504" ht="22.5" hidden="1" customHeight="1">
      <c r="A3504" s="6"/>
      <c r="B3504" s="20"/>
      <c r="C3504" s="36"/>
      <c r="D3504" s="13"/>
      <c r="E3504" s="13"/>
      <c r="F3504" s="13"/>
      <c r="G3504" s="13"/>
      <c r="H3504" s="13"/>
      <c r="I3504" s="15"/>
      <c r="J3504" s="15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</row>
    <row r="3505" ht="22.5" hidden="1" customHeight="1">
      <c r="A3505" s="6"/>
      <c r="B3505" s="20"/>
      <c r="C3505" s="36"/>
      <c r="D3505" s="13"/>
      <c r="E3505" s="13"/>
      <c r="F3505" s="13"/>
      <c r="G3505" s="13"/>
      <c r="H3505" s="13"/>
      <c r="I3505" s="15"/>
      <c r="J3505" s="15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</row>
    <row r="3506" ht="22.5" hidden="1" customHeight="1">
      <c r="A3506" s="6"/>
      <c r="B3506" s="20"/>
      <c r="C3506" s="36"/>
      <c r="D3506" s="13"/>
      <c r="E3506" s="13"/>
      <c r="F3506" s="13"/>
      <c r="G3506" s="13"/>
      <c r="H3506" s="13"/>
      <c r="I3506" s="15"/>
      <c r="J3506" s="15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</row>
    <row r="3507" ht="22.5" hidden="1" customHeight="1">
      <c r="A3507" s="6"/>
      <c r="B3507" s="20"/>
      <c r="C3507" s="36"/>
      <c r="D3507" s="13"/>
      <c r="E3507" s="13"/>
      <c r="F3507" s="13"/>
      <c r="G3507" s="13"/>
      <c r="H3507" s="13"/>
      <c r="I3507" s="15"/>
      <c r="J3507" s="15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</row>
    <row r="3508" ht="22.5" hidden="1" customHeight="1">
      <c r="A3508" s="6"/>
      <c r="B3508" s="20"/>
      <c r="C3508" s="36"/>
      <c r="D3508" s="13"/>
      <c r="E3508" s="13"/>
      <c r="F3508" s="13"/>
      <c r="G3508" s="13"/>
      <c r="H3508" s="13"/>
      <c r="I3508" s="15"/>
      <c r="J3508" s="15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</row>
    <row r="3509" ht="22.5" hidden="1" customHeight="1">
      <c r="A3509" s="6"/>
      <c r="B3509" s="20"/>
      <c r="C3509" s="36"/>
      <c r="D3509" s="13"/>
      <c r="E3509" s="13"/>
      <c r="F3509" s="13"/>
      <c r="G3509" s="13"/>
      <c r="H3509" s="13"/>
      <c r="I3509" s="15"/>
      <c r="J3509" s="15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</row>
    <row r="3510" ht="22.5" hidden="1" customHeight="1">
      <c r="A3510" s="6"/>
      <c r="B3510" s="20"/>
      <c r="C3510" s="36"/>
      <c r="D3510" s="13"/>
      <c r="E3510" s="13"/>
      <c r="F3510" s="13"/>
      <c r="G3510" s="13"/>
      <c r="H3510" s="13"/>
      <c r="I3510" s="15"/>
      <c r="J3510" s="15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</row>
    <row r="3511" ht="22.5" hidden="1" customHeight="1">
      <c r="A3511" s="6"/>
      <c r="B3511" s="20"/>
      <c r="C3511" s="36"/>
      <c r="D3511" s="13"/>
      <c r="E3511" s="13"/>
      <c r="F3511" s="13"/>
      <c r="G3511" s="13"/>
      <c r="H3511" s="13"/>
      <c r="I3511" s="15"/>
      <c r="J3511" s="15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</row>
    <row r="3512" ht="22.5" hidden="1" customHeight="1">
      <c r="A3512" s="6"/>
      <c r="B3512" s="20"/>
      <c r="C3512" s="36"/>
      <c r="D3512" s="13"/>
      <c r="E3512" s="13"/>
      <c r="F3512" s="13"/>
      <c r="G3512" s="13"/>
      <c r="H3512" s="13"/>
      <c r="I3512" s="15"/>
      <c r="J3512" s="15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</row>
    <row r="3513" ht="22.5" hidden="1" customHeight="1">
      <c r="A3513" s="6"/>
      <c r="B3513" s="20"/>
      <c r="C3513" s="36"/>
      <c r="D3513" s="13"/>
      <c r="E3513" s="13"/>
      <c r="F3513" s="13"/>
      <c r="G3513" s="13"/>
      <c r="H3513" s="13"/>
      <c r="I3513" s="15"/>
      <c r="J3513" s="15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</row>
    <row r="3514" ht="22.5" hidden="1" customHeight="1">
      <c r="A3514" s="6"/>
      <c r="B3514" s="20"/>
      <c r="C3514" s="36"/>
      <c r="D3514" s="13"/>
      <c r="E3514" s="13"/>
      <c r="F3514" s="13"/>
      <c r="G3514" s="13"/>
      <c r="H3514" s="13"/>
      <c r="I3514" s="15"/>
      <c r="J3514" s="15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</row>
    <row r="3515" ht="22.5" hidden="1" customHeight="1">
      <c r="A3515" s="6"/>
      <c r="B3515" s="20"/>
      <c r="C3515" s="36"/>
      <c r="D3515" s="13"/>
      <c r="E3515" s="13"/>
      <c r="F3515" s="13"/>
      <c r="G3515" s="13"/>
      <c r="H3515" s="13"/>
      <c r="I3515" s="15"/>
      <c r="J3515" s="15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</row>
    <row r="3516" ht="22.5" hidden="1" customHeight="1">
      <c r="A3516" s="6"/>
      <c r="B3516" s="20"/>
      <c r="C3516" s="36"/>
      <c r="D3516" s="13"/>
      <c r="E3516" s="13"/>
      <c r="F3516" s="13"/>
      <c r="G3516" s="13"/>
      <c r="H3516" s="13"/>
      <c r="I3516" s="15"/>
      <c r="J3516" s="15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</row>
    <row r="3517" ht="22.5" hidden="1" customHeight="1">
      <c r="A3517" s="6"/>
      <c r="B3517" s="20"/>
      <c r="C3517" s="36"/>
      <c r="D3517" s="13"/>
      <c r="E3517" s="13"/>
      <c r="F3517" s="13"/>
      <c r="G3517" s="13"/>
      <c r="H3517" s="13"/>
      <c r="I3517" s="15"/>
      <c r="J3517" s="15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</row>
    <row r="3518" ht="22.5" hidden="1" customHeight="1">
      <c r="A3518" s="6"/>
      <c r="B3518" s="20"/>
      <c r="C3518" s="36"/>
      <c r="D3518" s="13"/>
      <c r="E3518" s="13"/>
      <c r="F3518" s="13"/>
      <c r="G3518" s="13"/>
      <c r="H3518" s="13"/>
      <c r="I3518" s="15"/>
      <c r="J3518" s="15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</row>
    <row r="3519" ht="22.5" hidden="1" customHeight="1">
      <c r="A3519" s="6"/>
      <c r="B3519" s="20"/>
      <c r="C3519" s="36"/>
      <c r="D3519" s="13"/>
      <c r="E3519" s="13"/>
      <c r="F3519" s="13"/>
      <c r="G3519" s="13"/>
      <c r="H3519" s="13"/>
      <c r="I3519" s="15"/>
      <c r="J3519" s="15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</row>
    <row r="3520" ht="22.5" hidden="1" customHeight="1">
      <c r="A3520" s="6"/>
      <c r="B3520" s="20"/>
      <c r="C3520" s="36"/>
      <c r="D3520" s="13"/>
      <c r="E3520" s="13"/>
      <c r="F3520" s="13"/>
      <c r="G3520" s="13"/>
      <c r="H3520" s="13"/>
      <c r="I3520" s="15"/>
      <c r="J3520" s="15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</row>
    <row r="3521" ht="22.5" hidden="1" customHeight="1">
      <c r="A3521" s="6"/>
      <c r="B3521" s="20"/>
      <c r="C3521" s="36"/>
      <c r="D3521" s="13"/>
      <c r="E3521" s="13"/>
      <c r="F3521" s="13"/>
      <c r="G3521" s="13"/>
      <c r="H3521" s="13"/>
      <c r="I3521" s="15"/>
      <c r="J3521" s="15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</row>
    <row r="3522" ht="22.5" hidden="1" customHeight="1">
      <c r="A3522" s="6"/>
      <c r="B3522" s="20"/>
      <c r="C3522" s="36"/>
      <c r="D3522" s="13"/>
      <c r="E3522" s="13"/>
      <c r="F3522" s="13"/>
      <c r="G3522" s="13"/>
      <c r="H3522" s="13"/>
      <c r="I3522" s="15"/>
      <c r="J3522" s="15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</row>
    <row r="3523" ht="22.5" hidden="1" customHeight="1">
      <c r="A3523" s="6"/>
      <c r="B3523" s="20"/>
      <c r="C3523" s="36"/>
      <c r="D3523" s="13"/>
      <c r="E3523" s="13"/>
      <c r="F3523" s="13"/>
      <c r="G3523" s="13"/>
      <c r="H3523" s="13"/>
      <c r="I3523" s="15"/>
      <c r="J3523" s="15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</row>
    <row r="3524" ht="22.5" hidden="1" customHeight="1">
      <c r="A3524" s="6"/>
      <c r="B3524" s="20"/>
      <c r="C3524" s="36"/>
      <c r="D3524" s="13"/>
      <c r="E3524" s="13"/>
      <c r="F3524" s="13"/>
      <c r="G3524" s="13"/>
      <c r="H3524" s="13"/>
      <c r="I3524" s="15"/>
      <c r="J3524" s="15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</row>
    <row r="3525" ht="22.5" hidden="1" customHeight="1">
      <c r="A3525" s="6"/>
      <c r="B3525" s="20"/>
      <c r="C3525" s="36"/>
      <c r="D3525" s="13"/>
      <c r="E3525" s="13"/>
      <c r="F3525" s="13"/>
      <c r="G3525" s="13"/>
      <c r="H3525" s="13"/>
      <c r="I3525" s="15"/>
      <c r="J3525" s="15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</row>
    <row r="3526" ht="22.5" hidden="1" customHeight="1">
      <c r="A3526" s="6"/>
      <c r="B3526" s="20"/>
      <c r="C3526" s="36"/>
      <c r="D3526" s="13"/>
      <c r="E3526" s="13"/>
      <c r="F3526" s="13"/>
      <c r="G3526" s="13"/>
      <c r="H3526" s="13"/>
      <c r="I3526" s="15"/>
      <c r="J3526" s="15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</row>
    <row r="3527" ht="22.5" hidden="1" customHeight="1">
      <c r="A3527" s="6"/>
      <c r="B3527" s="20"/>
      <c r="C3527" s="36"/>
      <c r="D3527" s="13"/>
      <c r="E3527" s="13"/>
      <c r="F3527" s="13"/>
      <c r="G3527" s="13"/>
      <c r="H3527" s="13"/>
      <c r="I3527" s="15"/>
      <c r="J3527" s="15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</row>
    <row r="3528" ht="22.5" hidden="1" customHeight="1">
      <c r="A3528" s="6"/>
      <c r="B3528" s="20"/>
      <c r="C3528" s="36"/>
      <c r="D3528" s="13"/>
      <c r="E3528" s="13"/>
      <c r="F3528" s="13"/>
      <c r="G3528" s="13"/>
      <c r="H3528" s="13"/>
      <c r="I3528" s="15"/>
      <c r="J3528" s="15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</row>
    <row r="3529" ht="22.5" hidden="1" customHeight="1">
      <c r="A3529" s="6"/>
      <c r="B3529" s="20"/>
      <c r="C3529" s="36"/>
      <c r="D3529" s="13"/>
      <c r="E3529" s="13"/>
      <c r="F3529" s="13"/>
      <c r="G3529" s="13"/>
      <c r="H3529" s="13"/>
      <c r="I3529" s="15"/>
      <c r="J3529" s="15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</row>
    <row r="3530" ht="22.5" hidden="1" customHeight="1">
      <c r="A3530" s="6"/>
      <c r="B3530" s="20"/>
      <c r="C3530" s="36"/>
      <c r="D3530" s="13"/>
      <c r="E3530" s="13"/>
      <c r="F3530" s="13"/>
      <c r="G3530" s="13"/>
      <c r="H3530" s="13"/>
      <c r="I3530" s="15"/>
      <c r="J3530" s="15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</row>
    <row r="3531" ht="22.5" hidden="1" customHeight="1">
      <c r="A3531" s="6"/>
      <c r="B3531" s="20"/>
      <c r="C3531" s="36"/>
      <c r="D3531" s="13"/>
      <c r="E3531" s="13"/>
      <c r="F3531" s="13"/>
      <c r="G3531" s="13"/>
      <c r="H3531" s="13"/>
      <c r="I3531" s="15"/>
      <c r="J3531" s="15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</row>
    <row r="3532" ht="22.5" hidden="1" customHeight="1">
      <c r="A3532" s="6"/>
      <c r="B3532" s="20"/>
      <c r="C3532" s="36"/>
      <c r="D3532" s="13"/>
      <c r="E3532" s="13"/>
      <c r="F3532" s="13"/>
      <c r="G3532" s="13"/>
      <c r="H3532" s="13"/>
      <c r="I3532" s="15"/>
      <c r="J3532" s="15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</row>
    <row r="3533" ht="22.5" hidden="1" customHeight="1">
      <c r="A3533" s="6"/>
      <c r="B3533" s="20"/>
      <c r="C3533" s="36"/>
      <c r="D3533" s="13"/>
      <c r="E3533" s="13"/>
      <c r="F3533" s="13"/>
      <c r="G3533" s="13"/>
      <c r="H3533" s="13"/>
      <c r="I3533" s="15"/>
      <c r="J3533" s="15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</row>
    <row r="3534" ht="22.5" hidden="1" customHeight="1">
      <c r="A3534" s="6"/>
      <c r="B3534" s="20"/>
      <c r="C3534" s="36"/>
      <c r="D3534" s="13"/>
      <c r="E3534" s="13"/>
      <c r="F3534" s="13"/>
      <c r="G3534" s="13"/>
      <c r="H3534" s="13"/>
      <c r="I3534" s="15"/>
      <c r="J3534" s="15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</row>
    <row r="3535" ht="22.5" hidden="1" customHeight="1">
      <c r="A3535" s="6"/>
      <c r="B3535" s="20"/>
      <c r="C3535" s="36"/>
      <c r="D3535" s="13"/>
      <c r="E3535" s="13"/>
      <c r="F3535" s="13"/>
      <c r="G3535" s="13"/>
      <c r="H3535" s="13"/>
      <c r="I3535" s="15"/>
      <c r="J3535" s="15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</row>
    <row r="3536" ht="22.5" hidden="1" customHeight="1">
      <c r="A3536" s="6"/>
      <c r="B3536" s="20"/>
      <c r="C3536" s="36"/>
      <c r="D3536" s="13"/>
      <c r="E3536" s="13"/>
      <c r="F3536" s="13"/>
      <c r="G3536" s="13"/>
      <c r="H3536" s="13"/>
      <c r="I3536" s="15"/>
      <c r="J3536" s="15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</row>
    <row r="3537" ht="22.5" hidden="1" customHeight="1">
      <c r="A3537" s="6"/>
      <c r="B3537" s="20"/>
      <c r="C3537" s="36"/>
      <c r="D3537" s="13"/>
      <c r="E3537" s="13"/>
      <c r="F3537" s="13"/>
      <c r="G3537" s="13"/>
      <c r="H3537" s="13"/>
      <c r="I3537" s="15"/>
      <c r="J3537" s="15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</row>
    <row r="3538" ht="22.5" hidden="1" customHeight="1">
      <c r="A3538" s="6"/>
      <c r="B3538" s="20"/>
      <c r="C3538" s="36"/>
      <c r="D3538" s="13"/>
      <c r="E3538" s="13"/>
      <c r="F3538" s="13"/>
      <c r="G3538" s="13"/>
      <c r="H3538" s="13"/>
      <c r="I3538" s="15"/>
      <c r="J3538" s="15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</row>
    <row r="3539" ht="22.5" hidden="1" customHeight="1">
      <c r="A3539" s="6"/>
      <c r="B3539" s="20"/>
      <c r="C3539" s="36"/>
      <c r="D3539" s="13"/>
      <c r="E3539" s="13"/>
      <c r="F3539" s="13"/>
      <c r="G3539" s="13"/>
      <c r="H3539" s="13"/>
      <c r="I3539" s="15"/>
      <c r="J3539" s="15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</row>
    <row r="3540" ht="22.5" hidden="1" customHeight="1">
      <c r="A3540" s="6"/>
      <c r="B3540" s="20"/>
      <c r="C3540" s="36"/>
      <c r="D3540" s="13"/>
      <c r="E3540" s="13"/>
      <c r="F3540" s="13"/>
      <c r="G3540" s="13"/>
      <c r="H3540" s="13"/>
      <c r="I3540" s="15"/>
      <c r="J3540" s="15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</row>
    <row r="3541" ht="22.5" hidden="1" customHeight="1">
      <c r="A3541" s="6"/>
      <c r="B3541" s="20"/>
      <c r="C3541" s="36"/>
      <c r="D3541" s="13"/>
      <c r="E3541" s="13"/>
      <c r="F3541" s="13"/>
      <c r="G3541" s="13"/>
      <c r="H3541" s="13"/>
      <c r="I3541" s="15"/>
      <c r="J3541" s="15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</row>
    <row r="3542" ht="22.5" hidden="1" customHeight="1">
      <c r="A3542" s="6"/>
      <c r="B3542" s="20"/>
      <c r="C3542" s="36"/>
      <c r="D3542" s="13"/>
      <c r="E3542" s="13"/>
      <c r="F3542" s="13"/>
      <c r="G3542" s="13"/>
      <c r="H3542" s="13"/>
      <c r="I3542" s="15"/>
      <c r="J3542" s="15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</row>
    <row r="3543" ht="22.5" hidden="1" customHeight="1">
      <c r="A3543" s="6"/>
      <c r="B3543" s="20"/>
      <c r="C3543" s="36"/>
      <c r="D3543" s="13"/>
      <c r="E3543" s="13"/>
      <c r="F3543" s="13"/>
      <c r="G3543" s="13"/>
      <c r="H3543" s="13"/>
      <c r="I3543" s="15"/>
      <c r="J3543" s="15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</row>
    <row r="3544" ht="22.5" hidden="1" customHeight="1">
      <c r="A3544" s="6"/>
      <c r="B3544" s="20"/>
      <c r="C3544" s="36"/>
      <c r="D3544" s="13"/>
      <c r="E3544" s="13"/>
      <c r="F3544" s="13"/>
      <c r="G3544" s="13"/>
      <c r="H3544" s="13"/>
      <c r="I3544" s="15"/>
      <c r="J3544" s="15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</row>
    <row r="3545" ht="22.5" hidden="1" customHeight="1">
      <c r="A3545" s="6"/>
      <c r="B3545" s="20"/>
      <c r="C3545" s="36"/>
      <c r="D3545" s="13"/>
      <c r="E3545" s="13"/>
      <c r="F3545" s="13"/>
      <c r="G3545" s="13"/>
      <c r="H3545" s="13"/>
      <c r="I3545" s="15"/>
      <c r="J3545" s="15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</row>
    <row r="3546" ht="22.5" hidden="1" customHeight="1">
      <c r="A3546" s="6"/>
      <c r="B3546" s="20"/>
      <c r="C3546" s="36"/>
      <c r="D3546" s="13"/>
      <c r="E3546" s="13"/>
      <c r="F3546" s="13"/>
      <c r="G3546" s="13"/>
      <c r="H3546" s="13"/>
      <c r="I3546" s="15"/>
      <c r="J3546" s="15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</row>
    <row r="3547" ht="22.5" hidden="1" customHeight="1">
      <c r="A3547" s="6"/>
      <c r="B3547" s="20"/>
      <c r="C3547" s="36"/>
      <c r="D3547" s="13"/>
      <c r="E3547" s="13"/>
      <c r="F3547" s="13"/>
      <c r="G3547" s="13"/>
      <c r="H3547" s="13"/>
      <c r="I3547" s="15"/>
      <c r="J3547" s="15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</row>
    <row r="3548" ht="22.5" hidden="1" customHeight="1">
      <c r="A3548" s="6"/>
      <c r="B3548" s="20"/>
      <c r="C3548" s="36"/>
      <c r="D3548" s="13"/>
      <c r="E3548" s="13"/>
      <c r="F3548" s="13"/>
      <c r="G3548" s="13"/>
      <c r="H3548" s="13"/>
      <c r="I3548" s="15"/>
      <c r="J3548" s="15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</row>
    <row r="3549" ht="22.5" hidden="1" customHeight="1">
      <c r="A3549" s="6"/>
      <c r="B3549" s="20"/>
      <c r="C3549" s="36"/>
      <c r="D3549" s="13"/>
      <c r="E3549" s="13"/>
      <c r="F3549" s="13"/>
      <c r="G3549" s="13"/>
      <c r="H3549" s="13"/>
      <c r="I3549" s="15"/>
      <c r="J3549" s="15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</row>
    <row r="3550" ht="22.5" hidden="1" customHeight="1">
      <c r="A3550" s="6"/>
      <c r="B3550" s="20"/>
      <c r="C3550" s="36"/>
      <c r="D3550" s="13"/>
      <c r="E3550" s="13"/>
      <c r="F3550" s="13"/>
      <c r="G3550" s="13"/>
      <c r="H3550" s="13"/>
      <c r="I3550" s="15"/>
      <c r="J3550" s="15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</row>
    <row r="3551" ht="22.5" hidden="1" customHeight="1">
      <c r="A3551" s="6"/>
      <c r="B3551" s="20"/>
      <c r="C3551" s="36"/>
      <c r="D3551" s="13"/>
      <c r="E3551" s="13"/>
      <c r="F3551" s="13"/>
      <c r="G3551" s="13"/>
      <c r="H3551" s="13"/>
      <c r="I3551" s="15"/>
      <c r="J3551" s="15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</row>
    <row r="3552" ht="22.5" hidden="1" customHeight="1">
      <c r="A3552" s="6"/>
      <c r="B3552" s="20"/>
      <c r="C3552" s="36"/>
      <c r="D3552" s="13"/>
      <c r="E3552" s="13"/>
      <c r="F3552" s="13"/>
      <c r="G3552" s="13"/>
      <c r="H3552" s="13"/>
      <c r="I3552" s="15"/>
      <c r="J3552" s="15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</row>
    <row r="3553" ht="22.5" hidden="1" customHeight="1">
      <c r="A3553" s="6"/>
      <c r="B3553" s="20"/>
      <c r="C3553" s="36"/>
      <c r="D3553" s="13"/>
      <c r="E3553" s="13"/>
      <c r="F3553" s="13"/>
      <c r="G3553" s="13"/>
      <c r="H3553" s="13"/>
      <c r="I3553" s="15"/>
      <c r="J3553" s="15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</row>
    <row r="3554" ht="22.5" hidden="1" customHeight="1">
      <c r="A3554" s="6"/>
      <c r="B3554" s="20"/>
      <c r="C3554" s="36"/>
      <c r="D3554" s="13"/>
      <c r="E3554" s="13"/>
      <c r="F3554" s="13"/>
      <c r="G3554" s="13"/>
      <c r="H3554" s="13"/>
      <c r="I3554" s="15"/>
      <c r="J3554" s="15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</row>
    <row r="3555" ht="22.5" hidden="1" customHeight="1">
      <c r="A3555" s="6"/>
      <c r="B3555" s="20"/>
      <c r="C3555" s="36"/>
      <c r="D3555" s="13"/>
      <c r="E3555" s="13"/>
      <c r="F3555" s="13"/>
      <c r="G3555" s="13"/>
      <c r="H3555" s="13"/>
      <c r="I3555" s="15"/>
      <c r="J3555" s="15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</row>
    <row r="3556" ht="22.5" hidden="1" customHeight="1">
      <c r="A3556" s="6"/>
      <c r="B3556" s="20"/>
      <c r="C3556" s="36"/>
      <c r="D3556" s="13"/>
      <c r="E3556" s="13"/>
      <c r="F3556" s="13"/>
      <c r="G3556" s="13"/>
      <c r="H3556" s="13"/>
      <c r="I3556" s="15"/>
      <c r="J3556" s="15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</row>
    <row r="3557" ht="22.5" hidden="1" customHeight="1">
      <c r="A3557" s="6"/>
      <c r="B3557" s="20"/>
      <c r="C3557" s="36"/>
      <c r="D3557" s="13"/>
      <c r="E3557" s="13"/>
      <c r="F3557" s="13"/>
      <c r="G3557" s="13"/>
      <c r="H3557" s="13"/>
      <c r="I3557" s="15"/>
      <c r="J3557" s="15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</row>
    <row r="3558" ht="22.5" hidden="1" customHeight="1">
      <c r="A3558" s="6"/>
      <c r="B3558" s="20"/>
      <c r="C3558" s="36"/>
      <c r="D3558" s="13"/>
      <c r="E3558" s="13"/>
      <c r="F3558" s="13"/>
      <c r="G3558" s="13"/>
      <c r="H3558" s="13"/>
      <c r="I3558" s="15"/>
      <c r="J3558" s="15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</row>
    <row r="3559" ht="22.5" hidden="1" customHeight="1">
      <c r="A3559" s="6"/>
      <c r="B3559" s="20"/>
      <c r="C3559" s="36"/>
      <c r="D3559" s="13"/>
      <c r="E3559" s="13"/>
      <c r="F3559" s="13"/>
      <c r="G3559" s="13"/>
      <c r="H3559" s="13"/>
      <c r="I3559" s="15"/>
      <c r="J3559" s="15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</row>
    <row r="3560" ht="22.5" hidden="1" customHeight="1">
      <c r="A3560" s="6"/>
      <c r="B3560" s="20"/>
      <c r="C3560" s="36"/>
      <c r="D3560" s="13"/>
      <c r="E3560" s="13"/>
      <c r="F3560" s="13"/>
      <c r="G3560" s="13"/>
      <c r="H3560" s="13"/>
      <c r="I3560" s="15"/>
      <c r="J3560" s="15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</row>
    <row r="3561" ht="22.5" hidden="1" customHeight="1">
      <c r="A3561" s="6"/>
      <c r="B3561" s="20"/>
      <c r="C3561" s="36"/>
      <c r="D3561" s="13"/>
      <c r="E3561" s="13"/>
      <c r="F3561" s="13"/>
      <c r="G3561" s="13"/>
      <c r="H3561" s="13"/>
      <c r="I3561" s="15"/>
      <c r="J3561" s="15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</row>
    <row r="3562" ht="22.5" hidden="1" customHeight="1">
      <c r="A3562" s="6"/>
      <c r="B3562" s="20"/>
      <c r="C3562" s="36"/>
      <c r="D3562" s="13"/>
      <c r="E3562" s="13"/>
      <c r="F3562" s="13"/>
      <c r="G3562" s="13"/>
      <c r="H3562" s="13"/>
      <c r="I3562" s="15"/>
      <c r="J3562" s="15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</row>
    <row r="3563" ht="22.5" hidden="1" customHeight="1">
      <c r="A3563" s="6"/>
      <c r="B3563" s="20"/>
      <c r="C3563" s="36"/>
      <c r="D3563" s="13"/>
      <c r="E3563" s="13"/>
      <c r="F3563" s="13"/>
      <c r="G3563" s="13"/>
      <c r="H3563" s="13"/>
      <c r="I3563" s="15"/>
      <c r="J3563" s="15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</row>
    <row r="3564" ht="22.5" hidden="1" customHeight="1">
      <c r="A3564" s="6"/>
      <c r="B3564" s="20"/>
      <c r="C3564" s="36"/>
      <c r="D3564" s="13"/>
      <c r="E3564" s="13"/>
      <c r="F3564" s="13"/>
      <c r="G3564" s="13"/>
      <c r="H3564" s="13"/>
      <c r="I3564" s="15"/>
      <c r="J3564" s="15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</row>
    <row r="3565" ht="22.5" hidden="1" customHeight="1">
      <c r="A3565" s="6"/>
      <c r="B3565" s="20"/>
      <c r="C3565" s="36"/>
      <c r="D3565" s="13"/>
      <c r="E3565" s="13"/>
      <c r="F3565" s="13"/>
      <c r="G3565" s="13"/>
      <c r="H3565" s="13"/>
      <c r="I3565" s="15"/>
      <c r="J3565" s="15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</row>
    <row r="3566" ht="22.5" hidden="1" customHeight="1">
      <c r="A3566" s="6"/>
      <c r="B3566" s="20"/>
      <c r="C3566" s="36"/>
      <c r="D3566" s="13"/>
      <c r="E3566" s="13"/>
      <c r="F3566" s="13"/>
      <c r="G3566" s="13"/>
      <c r="H3566" s="13"/>
      <c r="I3566" s="15"/>
      <c r="J3566" s="15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</row>
    <row r="3567" ht="22.5" hidden="1" customHeight="1">
      <c r="A3567" s="6"/>
      <c r="B3567" s="20"/>
      <c r="C3567" s="36"/>
      <c r="D3567" s="13"/>
      <c r="E3567" s="13"/>
      <c r="F3567" s="13"/>
      <c r="G3567" s="13"/>
      <c r="H3567" s="13"/>
      <c r="I3567" s="15"/>
      <c r="J3567" s="15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</row>
    <row r="3568" ht="22.5" hidden="1" customHeight="1">
      <c r="A3568" s="6"/>
      <c r="B3568" s="20"/>
      <c r="C3568" s="36"/>
      <c r="D3568" s="13"/>
      <c r="E3568" s="13"/>
      <c r="F3568" s="13"/>
      <c r="G3568" s="13"/>
      <c r="H3568" s="13"/>
      <c r="I3568" s="15"/>
      <c r="J3568" s="15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</row>
    <row r="3569" ht="22.5" hidden="1" customHeight="1">
      <c r="A3569" s="6"/>
      <c r="B3569" s="20"/>
      <c r="C3569" s="36"/>
      <c r="D3569" s="13"/>
      <c r="E3569" s="13"/>
      <c r="F3569" s="13"/>
      <c r="G3569" s="13"/>
      <c r="H3569" s="13"/>
      <c r="I3569" s="15"/>
      <c r="J3569" s="15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</row>
    <row r="3570" ht="22.5" hidden="1" customHeight="1">
      <c r="A3570" s="6"/>
      <c r="B3570" s="20"/>
      <c r="C3570" s="36"/>
      <c r="D3570" s="13"/>
      <c r="E3570" s="13"/>
      <c r="F3570" s="13"/>
      <c r="G3570" s="13"/>
      <c r="H3570" s="13"/>
      <c r="I3570" s="15"/>
      <c r="J3570" s="15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</row>
    <row r="3571" ht="22.5" hidden="1" customHeight="1">
      <c r="A3571" s="6"/>
      <c r="B3571" s="20"/>
      <c r="C3571" s="36"/>
      <c r="D3571" s="13"/>
      <c r="E3571" s="13"/>
      <c r="F3571" s="13"/>
      <c r="G3571" s="13"/>
      <c r="H3571" s="13"/>
      <c r="I3571" s="15"/>
      <c r="J3571" s="15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</row>
    <row r="3572" ht="22.5" hidden="1" customHeight="1">
      <c r="A3572" s="6"/>
      <c r="B3572" s="20"/>
      <c r="C3572" s="36"/>
      <c r="D3572" s="13"/>
      <c r="E3572" s="13"/>
      <c r="F3572" s="13"/>
      <c r="G3572" s="13"/>
      <c r="H3572" s="13"/>
      <c r="I3572" s="15"/>
      <c r="J3572" s="15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</row>
    <row r="3573" ht="22.5" hidden="1" customHeight="1">
      <c r="A3573" s="6"/>
      <c r="B3573" s="20"/>
      <c r="C3573" s="36"/>
      <c r="D3573" s="13"/>
      <c r="E3573" s="13"/>
      <c r="F3573" s="13"/>
      <c r="G3573" s="13"/>
      <c r="H3573" s="13"/>
      <c r="I3573" s="15"/>
      <c r="J3573" s="15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</row>
    <row r="3574" ht="22.5" hidden="1" customHeight="1">
      <c r="A3574" s="6"/>
      <c r="B3574" s="20"/>
      <c r="C3574" s="36"/>
      <c r="D3574" s="13"/>
      <c r="E3574" s="13"/>
      <c r="F3574" s="13"/>
      <c r="G3574" s="13"/>
      <c r="H3574" s="13"/>
      <c r="I3574" s="15"/>
      <c r="J3574" s="15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</row>
    <row r="3575" ht="22.5" hidden="1" customHeight="1">
      <c r="A3575" s="6"/>
      <c r="B3575" s="20"/>
      <c r="C3575" s="36"/>
      <c r="D3575" s="13"/>
      <c r="E3575" s="13"/>
      <c r="F3575" s="13"/>
      <c r="G3575" s="13"/>
      <c r="H3575" s="13"/>
      <c r="I3575" s="15"/>
      <c r="J3575" s="15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</row>
    <row r="3576" ht="22.5" hidden="1" customHeight="1">
      <c r="A3576" s="6"/>
      <c r="B3576" s="20"/>
      <c r="C3576" s="36"/>
      <c r="D3576" s="13"/>
      <c r="E3576" s="13"/>
      <c r="F3576" s="13"/>
      <c r="G3576" s="13"/>
      <c r="H3576" s="13"/>
      <c r="I3576" s="15"/>
      <c r="J3576" s="15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</row>
    <row r="3577" ht="22.5" hidden="1" customHeight="1">
      <c r="A3577" s="6"/>
      <c r="B3577" s="20"/>
      <c r="C3577" s="36"/>
      <c r="D3577" s="13"/>
      <c r="E3577" s="13"/>
      <c r="F3577" s="13"/>
      <c r="G3577" s="13"/>
      <c r="H3577" s="13"/>
      <c r="I3577" s="15"/>
      <c r="J3577" s="15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</row>
    <row r="3578" ht="22.5" hidden="1" customHeight="1">
      <c r="A3578" s="6"/>
      <c r="B3578" s="20"/>
      <c r="C3578" s="36"/>
      <c r="D3578" s="13"/>
      <c r="E3578" s="13"/>
      <c r="F3578" s="13"/>
      <c r="G3578" s="13"/>
      <c r="H3578" s="13"/>
      <c r="I3578" s="15"/>
      <c r="J3578" s="15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</row>
    <row r="3579" ht="22.5" hidden="1" customHeight="1">
      <c r="A3579" s="6"/>
      <c r="B3579" s="20"/>
      <c r="C3579" s="36"/>
      <c r="D3579" s="13"/>
      <c r="E3579" s="13"/>
      <c r="F3579" s="13"/>
      <c r="G3579" s="13"/>
      <c r="H3579" s="13"/>
      <c r="I3579" s="15"/>
      <c r="J3579" s="15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</row>
    <row r="3580" ht="22.5" hidden="1" customHeight="1">
      <c r="A3580" s="6"/>
      <c r="B3580" s="20"/>
      <c r="C3580" s="36"/>
      <c r="D3580" s="13"/>
      <c r="E3580" s="13"/>
      <c r="F3580" s="13"/>
      <c r="G3580" s="13"/>
      <c r="H3580" s="13"/>
      <c r="I3580" s="15"/>
      <c r="J3580" s="15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</row>
    <row r="3581" ht="22.5" hidden="1" customHeight="1">
      <c r="A3581" s="6"/>
      <c r="B3581" s="20"/>
      <c r="C3581" s="36"/>
      <c r="D3581" s="13"/>
      <c r="E3581" s="13"/>
      <c r="F3581" s="13"/>
      <c r="G3581" s="13"/>
      <c r="H3581" s="13"/>
      <c r="I3581" s="15"/>
      <c r="J3581" s="15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</row>
    <row r="3582" ht="22.5" hidden="1" customHeight="1">
      <c r="A3582" s="6"/>
      <c r="B3582" s="20"/>
      <c r="C3582" s="36"/>
      <c r="D3582" s="13"/>
      <c r="E3582" s="13"/>
      <c r="F3582" s="13"/>
      <c r="G3582" s="13"/>
      <c r="H3582" s="13"/>
      <c r="I3582" s="15"/>
      <c r="J3582" s="15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</row>
    <row r="3583" ht="22.5" hidden="1" customHeight="1">
      <c r="A3583" s="6"/>
      <c r="B3583" s="20"/>
      <c r="C3583" s="36"/>
      <c r="D3583" s="13"/>
      <c r="E3583" s="13"/>
      <c r="F3583" s="13"/>
      <c r="G3583" s="13"/>
      <c r="H3583" s="13"/>
      <c r="I3583" s="15"/>
      <c r="J3583" s="15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</row>
    <row r="3584" ht="22.5" hidden="1" customHeight="1">
      <c r="A3584" s="6"/>
      <c r="B3584" s="20"/>
      <c r="C3584" s="36"/>
      <c r="D3584" s="13"/>
      <c r="E3584" s="13"/>
      <c r="F3584" s="13"/>
      <c r="G3584" s="13"/>
      <c r="H3584" s="13"/>
      <c r="I3584" s="15"/>
      <c r="J3584" s="15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</row>
    <row r="3585" ht="22.5" hidden="1" customHeight="1">
      <c r="A3585" s="6"/>
      <c r="B3585" s="20"/>
      <c r="C3585" s="36"/>
      <c r="D3585" s="13"/>
      <c r="E3585" s="13"/>
      <c r="F3585" s="13"/>
      <c r="G3585" s="13"/>
      <c r="H3585" s="13"/>
      <c r="I3585" s="15"/>
      <c r="J3585" s="15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</row>
    <row r="3586" ht="22.5" hidden="1" customHeight="1">
      <c r="A3586" s="6"/>
      <c r="B3586" s="20"/>
      <c r="C3586" s="36"/>
      <c r="D3586" s="13"/>
      <c r="E3586" s="13"/>
      <c r="F3586" s="13"/>
      <c r="G3586" s="13"/>
      <c r="H3586" s="13"/>
      <c r="I3586" s="15"/>
      <c r="J3586" s="15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</row>
    <row r="3587" ht="22.5" hidden="1" customHeight="1">
      <c r="A3587" s="6"/>
      <c r="B3587" s="20"/>
      <c r="C3587" s="36"/>
      <c r="D3587" s="13"/>
      <c r="E3587" s="13"/>
      <c r="F3587" s="13"/>
      <c r="G3587" s="13"/>
      <c r="H3587" s="13"/>
      <c r="I3587" s="15"/>
      <c r="J3587" s="15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</row>
    <row r="3588" ht="22.5" hidden="1" customHeight="1">
      <c r="A3588" s="6"/>
      <c r="B3588" s="20"/>
      <c r="C3588" s="36"/>
      <c r="D3588" s="13"/>
      <c r="E3588" s="13"/>
      <c r="F3588" s="13"/>
      <c r="G3588" s="13"/>
      <c r="H3588" s="13"/>
      <c r="I3588" s="15"/>
      <c r="J3588" s="15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</row>
    <row r="3589" ht="22.5" hidden="1" customHeight="1">
      <c r="A3589" s="6"/>
      <c r="B3589" s="20"/>
      <c r="C3589" s="36"/>
      <c r="D3589" s="13"/>
      <c r="E3589" s="13"/>
      <c r="F3589" s="13"/>
      <c r="G3589" s="13"/>
      <c r="H3589" s="13"/>
      <c r="I3589" s="15"/>
      <c r="J3589" s="15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</row>
    <row r="3590" ht="22.5" hidden="1" customHeight="1">
      <c r="A3590" s="6"/>
      <c r="B3590" s="20"/>
      <c r="C3590" s="36"/>
      <c r="D3590" s="13"/>
      <c r="E3590" s="13"/>
      <c r="F3590" s="13"/>
      <c r="G3590" s="13"/>
      <c r="H3590" s="13"/>
      <c r="I3590" s="15"/>
      <c r="J3590" s="15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</row>
    <row r="3591" ht="22.5" hidden="1" customHeight="1">
      <c r="A3591" s="6"/>
      <c r="B3591" s="20"/>
      <c r="C3591" s="36"/>
      <c r="D3591" s="13"/>
      <c r="E3591" s="13"/>
      <c r="F3591" s="13"/>
      <c r="G3591" s="13"/>
      <c r="H3591" s="13"/>
      <c r="I3591" s="15"/>
      <c r="J3591" s="15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</row>
    <row r="3592" ht="22.5" hidden="1" customHeight="1">
      <c r="A3592" s="6"/>
      <c r="B3592" s="20"/>
      <c r="C3592" s="36"/>
      <c r="D3592" s="13"/>
      <c r="E3592" s="13"/>
      <c r="F3592" s="13"/>
      <c r="G3592" s="13"/>
      <c r="H3592" s="13"/>
      <c r="I3592" s="15"/>
      <c r="J3592" s="15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</row>
    <row r="3593" ht="22.5" hidden="1" customHeight="1">
      <c r="A3593" s="6"/>
      <c r="B3593" s="20"/>
      <c r="C3593" s="36"/>
      <c r="D3593" s="13"/>
      <c r="E3593" s="13"/>
      <c r="F3593" s="13"/>
      <c r="G3593" s="13"/>
      <c r="H3593" s="13"/>
      <c r="I3593" s="15"/>
      <c r="J3593" s="15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</row>
    <row r="3594" ht="22.5" hidden="1" customHeight="1">
      <c r="A3594" s="6"/>
      <c r="B3594" s="20"/>
      <c r="C3594" s="36"/>
      <c r="D3594" s="13"/>
      <c r="E3594" s="13"/>
      <c r="F3594" s="13"/>
      <c r="G3594" s="13"/>
      <c r="H3594" s="13"/>
      <c r="I3594" s="15"/>
      <c r="J3594" s="15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</row>
    <row r="3595" ht="22.5" hidden="1" customHeight="1">
      <c r="A3595" s="6"/>
      <c r="B3595" s="20"/>
      <c r="C3595" s="36"/>
      <c r="D3595" s="13"/>
      <c r="E3595" s="13"/>
      <c r="F3595" s="13"/>
      <c r="G3595" s="13"/>
      <c r="H3595" s="13"/>
      <c r="I3595" s="15"/>
      <c r="J3595" s="15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</row>
    <row r="3596" ht="22.5" hidden="1" customHeight="1">
      <c r="A3596" s="6"/>
      <c r="B3596" s="20"/>
      <c r="C3596" s="36"/>
      <c r="D3596" s="13"/>
      <c r="E3596" s="13"/>
      <c r="F3596" s="13"/>
      <c r="G3596" s="13"/>
      <c r="H3596" s="13"/>
      <c r="I3596" s="15"/>
      <c r="J3596" s="15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</row>
    <row r="3597" ht="22.5" hidden="1" customHeight="1">
      <c r="A3597" s="6"/>
      <c r="B3597" s="20"/>
      <c r="C3597" s="36"/>
      <c r="D3597" s="13"/>
      <c r="E3597" s="13"/>
      <c r="F3597" s="13"/>
      <c r="G3597" s="13"/>
      <c r="H3597" s="13"/>
      <c r="I3597" s="15"/>
      <c r="J3597" s="15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</row>
    <row r="3598" ht="22.5" hidden="1" customHeight="1">
      <c r="A3598" s="6"/>
      <c r="B3598" s="20"/>
      <c r="C3598" s="36"/>
      <c r="D3598" s="13"/>
      <c r="E3598" s="13"/>
      <c r="F3598" s="13"/>
      <c r="G3598" s="13"/>
      <c r="H3598" s="13"/>
      <c r="I3598" s="15"/>
      <c r="J3598" s="15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</row>
    <row r="3599" ht="22.5" hidden="1" customHeight="1">
      <c r="A3599" s="6"/>
      <c r="B3599" s="20"/>
      <c r="C3599" s="36"/>
      <c r="D3599" s="13"/>
      <c r="E3599" s="13"/>
      <c r="F3599" s="13"/>
      <c r="G3599" s="13"/>
      <c r="H3599" s="13"/>
      <c r="I3599" s="15"/>
      <c r="J3599" s="15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</row>
    <row r="3600" ht="22.5" hidden="1" customHeight="1">
      <c r="A3600" s="6"/>
      <c r="B3600" s="20"/>
      <c r="C3600" s="36"/>
      <c r="D3600" s="13"/>
      <c r="E3600" s="13"/>
      <c r="F3600" s="13"/>
      <c r="G3600" s="13"/>
      <c r="H3600" s="13"/>
      <c r="I3600" s="15"/>
      <c r="J3600" s="15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</row>
    <row r="3601" ht="22.5" hidden="1" customHeight="1">
      <c r="A3601" s="6"/>
      <c r="B3601" s="20"/>
      <c r="C3601" s="36"/>
      <c r="D3601" s="13"/>
      <c r="E3601" s="13"/>
      <c r="F3601" s="13"/>
      <c r="G3601" s="13"/>
      <c r="H3601" s="13"/>
      <c r="I3601" s="15"/>
      <c r="J3601" s="15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</row>
    <row r="3602" ht="22.5" hidden="1" customHeight="1">
      <c r="A3602" s="6"/>
      <c r="B3602" s="20"/>
      <c r="C3602" s="36"/>
      <c r="D3602" s="13"/>
      <c r="E3602" s="13"/>
      <c r="F3602" s="13"/>
      <c r="G3602" s="13"/>
      <c r="H3602" s="13"/>
      <c r="I3602" s="15"/>
      <c r="J3602" s="15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</row>
    <row r="3603" ht="22.5" hidden="1" customHeight="1">
      <c r="A3603" s="6"/>
      <c r="B3603" s="20"/>
      <c r="C3603" s="36"/>
      <c r="D3603" s="13"/>
      <c r="E3603" s="13"/>
      <c r="F3603" s="13"/>
      <c r="G3603" s="13"/>
      <c r="H3603" s="13"/>
      <c r="I3603" s="15"/>
      <c r="J3603" s="15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</row>
    <row r="3604" ht="22.5" hidden="1" customHeight="1">
      <c r="A3604" s="6"/>
      <c r="B3604" s="20"/>
      <c r="C3604" s="36"/>
      <c r="D3604" s="13"/>
      <c r="E3604" s="13"/>
      <c r="F3604" s="13"/>
      <c r="G3604" s="13"/>
      <c r="H3604" s="13"/>
      <c r="I3604" s="15"/>
      <c r="J3604" s="15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</row>
    <row r="3605" ht="22.5" hidden="1" customHeight="1">
      <c r="A3605" s="6"/>
      <c r="B3605" s="20"/>
      <c r="C3605" s="36"/>
      <c r="D3605" s="13"/>
      <c r="E3605" s="13"/>
      <c r="F3605" s="13"/>
      <c r="G3605" s="13"/>
      <c r="H3605" s="13"/>
      <c r="I3605" s="15"/>
      <c r="J3605" s="15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</row>
    <row r="3606" ht="22.5" hidden="1" customHeight="1">
      <c r="A3606" s="6"/>
      <c r="B3606" s="20"/>
      <c r="C3606" s="36"/>
      <c r="D3606" s="13"/>
      <c r="E3606" s="13"/>
      <c r="F3606" s="13"/>
      <c r="G3606" s="13"/>
      <c r="H3606" s="13"/>
      <c r="I3606" s="15"/>
      <c r="J3606" s="15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</row>
    <row r="3607" ht="22.5" hidden="1" customHeight="1">
      <c r="A3607" s="6"/>
      <c r="B3607" s="20"/>
      <c r="C3607" s="36"/>
      <c r="D3607" s="13"/>
      <c r="E3607" s="13"/>
      <c r="F3607" s="13"/>
      <c r="G3607" s="13"/>
      <c r="H3607" s="13"/>
      <c r="I3607" s="15"/>
      <c r="J3607" s="15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</row>
    <row r="3608" ht="22.5" hidden="1" customHeight="1">
      <c r="A3608" s="6"/>
      <c r="B3608" s="20"/>
      <c r="C3608" s="36"/>
      <c r="D3608" s="13"/>
      <c r="E3608" s="13"/>
      <c r="F3608" s="13"/>
      <c r="G3608" s="13"/>
      <c r="H3608" s="13"/>
      <c r="I3608" s="15"/>
      <c r="J3608" s="15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</row>
    <row r="3609" ht="22.5" hidden="1" customHeight="1">
      <c r="A3609" s="6"/>
      <c r="B3609" s="20"/>
      <c r="C3609" s="36"/>
      <c r="D3609" s="13"/>
      <c r="E3609" s="13"/>
      <c r="F3609" s="13"/>
      <c r="G3609" s="13"/>
      <c r="H3609" s="13"/>
      <c r="I3609" s="15"/>
      <c r="J3609" s="15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</row>
    <row r="3610" ht="22.5" hidden="1" customHeight="1">
      <c r="A3610" s="6"/>
      <c r="B3610" s="20"/>
      <c r="C3610" s="36"/>
      <c r="D3610" s="13"/>
      <c r="E3610" s="13"/>
      <c r="F3610" s="13"/>
      <c r="G3610" s="13"/>
      <c r="H3610" s="13"/>
      <c r="I3610" s="15"/>
      <c r="J3610" s="15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</row>
    <row r="3611" ht="22.5" hidden="1" customHeight="1">
      <c r="A3611" s="6"/>
      <c r="B3611" s="20"/>
      <c r="C3611" s="36"/>
      <c r="D3611" s="13"/>
      <c r="E3611" s="13"/>
      <c r="F3611" s="13"/>
      <c r="G3611" s="13"/>
      <c r="H3611" s="13"/>
      <c r="I3611" s="15"/>
      <c r="J3611" s="15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</row>
    <row r="3612" ht="22.5" hidden="1" customHeight="1">
      <c r="A3612" s="6"/>
      <c r="B3612" s="20"/>
      <c r="C3612" s="36"/>
      <c r="D3612" s="13"/>
      <c r="E3612" s="13"/>
      <c r="F3612" s="13"/>
      <c r="G3612" s="13"/>
      <c r="H3612" s="13"/>
      <c r="I3612" s="15"/>
      <c r="J3612" s="15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</row>
    <row r="3613" ht="22.5" hidden="1" customHeight="1">
      <c r="A3613" s="6"/>
      <c r="B3613" s="20"/>
      <c r="C3613" s="36"/>
      <c r="D3613" s="13"/>
      <c r="E3613" s="13"/>
      <c r="F3613" s="13"/>
      <c r="G3613" s="13"/>
      <c r="H3613" s="13"/>
      <c r="I3613" s="15"/>
      <c r="J3613" s="15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</row>
    <row r="3614" ht="22.5" hidden="1" customHeight="1">
      <c r="A3614" s="6"/>
      <c r="B3614" s="20"/>
      <c r="C3614" s="36"/>
      <c r="D3614" s="13"/>
      <c r="E3614" s="13"/>
      <c r="F3614" s="13"/>
      <c r="G3614" s="13"/>
      <c r="H3614" s="13"/>
      <c r="I3614" s="15"/>
      <c r="J3614" s="15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</row>
    <row r="3615" ht="22.5" hidden="1" customHeight="1">
      <c r="A3615" s="6"/>
      <c r="B3615" s="20"/>
      <c r="C3615" s="36"/>
      <c r="D3615" s="13"/>
      <c r="E3615" s="13"/>
      <c r="F3615" s="13"/>
      <c r="G3615" s="13"/>
      <c r="H3615" s="13"/>
      <c r="I3615" s="15"/>
      <c r="J3615" s="15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</row>
    <row r="3616" ht="22.5" hidden="1" customHeight="1">
      <c r="A3616" s="6"/>
      <c r="B3616" s="20"/>
      <c r="C3616" s="36"/>
      <c r="D3616" s="13"/>
      <c r="E3616" s="13"/>
      <c r="F3616" s="13"/>
      <c r="G3616" s="13"/>
      <c r="H3616" s="13"/>
      <c r="I3616" s="15"/>
      <c r="J3616" s="15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</row>
    <row r="3617" ht="22.5" hidden="1" customHeight="1">
      <c r="A3617" s="6"/>
      <c r="B3617" s="20"/>
      <c r="C3617" s="36"/>
      <c r="D3617" s="13"/>
      <c r="E3617" s="13"/>
      <c r="F3617" s="13"/>
      <c r="G3617" s="13"/>
      <c r="H3617" s="13"/>
      <c r="I3617" s="15"/>
      <c r="J3617" s="15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</row>
    <row r="3618" ht="22.5" hidden="1" customHeight="1">
      <c r="A3618" s="6"/>
      <c r="B3618" s="20"/>
      <c r="C3618" s="36"/>
      <c r="D3618" s="13"/>
      <c r="E3618" s="13"/>
      <c r="F3618" s="13"/>
      <c r="G3618" s="13"/>
      <c r="H3618" s="13"/>
      <c r="I3618" s="15"/>
      <c r="J3618" s="15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</row>
    <row r="3619" ht="22.5" hidden="1" customHeight="1">
      <c r="A3619" s="6"/>
      <c r="B3619" s="20"/>
      <c r="C3619" s="36"/>
      <c r="D3619" s="13"/>
      <c r="E3619" s="13"/>
      <c r="F3619" s="13"/>
      <c r="G3619" s="13"/>
      <c r="H3619" s="13"/>
      <c r="I3619" s="15"/>
      <c r="J3619" s="15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</row>
    <row r="3620" ht="22.5" hidden="1" customHeight="1">
      <c r="A3620" s="6"/>
      <c r="B3620" s="20"/>
      <c r="C3620" s="36"/>
      <c r="D3620" s="13"/>
      <c r="E3620" s="13"/>
      <c r="F3620" s="13"/>
      <c r="G3620" s="13"/>
      <c r="H3620" s="13"/>
      <c r="I3620" s="15"/>
      <c r="J3620" s="15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</row>
    <row r="3621" ht="22.5" hidden="1" customHeight="1">
      <c r="A3621" s="6"/>
      <c r="B3621" s="20"/>
      <c r="C3621" s="36"/>
      <c r="D3621" s="13"/>
      <c r="E3621" s="13"/>
      <c r="F3621" s="13"/>
      <c r="G3621" s="13"/>
      <c r="H3621" s="13"/>
      <c r="I3621" s="15"/>
      <c r="J3621" s="15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</row>
    <row r="3622" ht="22.5" hidden="1" customHeight="1">
      <c r="A3622" s="6"/>
      <c r="B3622" s="20"/>
      <c r="C3622" s="36"/>
      <c r="D3622" s="13"/>
      <c r="E3622" s="13"/>
      <c r="F3622" s="13"/>
      <c r="G3622" s="13"/>
      <c r="H3622" s="13"/>
      <c r="I3622" s="15"/>
      <c r="J3622" s="15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</row>
    <row r="3623" ht="22.5" hidden="1" customHeight="1">
      <c r="A3623" s="6"/>
      <c r="B3623" s="20"/>
      <c r="C3623" s="36"/>
      <c r="D3623" s="13"/>
      <c r="E3623" s="13"/>
      <c r="F3623" s="13"/>
      <c r="G3623" s="13"/>
      <c r="H3623" s="13"/>
      <c r="I3623" s="15"/>
      <c r="J3623" s="15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</row>
    <row r="3624" ht="22.5" hidden="1" customHeight="1">
      <c r="A3624" s="6"/>
      <c r="B3624" s="20"/>
      <c r="C3624" s="36"/>
      <c r="D3624" s="13"/>
      <c r="E3624" s="13"/>
      <c r="F3624" s="13"/>
      <c r="G3624" s="13"/>
      <c r="H3624" s="13"/>
      <c r="I3624" s="15"/>
      <c r="J3624" s="15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</row>
    <row r="3625" ht="22.5" hidden="1" customHeight="1">
      <c r="A3625" s="6"/>
      <c r="B3625" s="20"/>
      <c r="C3625" s="36"/>
      <c r="D3625" s="13"/>
      <c r="E3625" s="13"/>
      <c r="F3625" s="13"/>
      <c r="G3625" s="13"/>
      <c r="H3625" s="13"/>
      <c r="I3625" s="15"/>
      <c r="J3625" s="15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</row>
    <row r="3626" ht="22.5" hidden="1" customHeight="1">
      <c r="A3626" s="6"/>
      <c r="B3626" s="20"/>
      <c r="C3626" s="36"/>
      <c r="D3626" s="13"/>
      <c r="E3626" s="13"/>
      <c r="F3626" s="13"/>
      <c r="G3626" s="13"/>
      <c r="H3626" s="13"/>
      <c r="I3626" s="15"/>
      <c r="J3626" s="15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</row>
    <row r="3627" ht="22.5" hidden="1" customHeight="1">
      <c r="A3627" s="6"/>
      <c r="B3627" s="20"/>
      <c r="C3627" s="36"/>
      <c r="D3627" s="13"/>
      <c r="E3627" s="13"/>
      <c r="F3627" s="13"/>
      <c r="G3627" s="13"/>
      <c r="H3627" s="13"/>
      <c r="I3627" s="15"/>
      <c r="J3627" s="15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</row>
    <row r="3628" ht="22.5" hidden="1" customHeight="1">
      <c r="A3628" s="6"/>
      <c r="B3628" s="20"/>
      <c r="C3628" s="36"/>
      <c r="D3628" s="13"/>
      <c r="E3628" s="13"/>
      <c r="F3628" s="13"/>
      <c r="G3628" s="13"/>
      <c r="H3628" s="13"/>
      <c r="I3628" s="15"/>
      <c r="J3628" s="15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</row>
    <row r="3629" ht="22.5" hidden="1" customHeight="1">
      <c r="A3629" s="6"/>
      <c r="B3629" s="20"/>
      <c r="C3629" s="36"/>
      <c r="D3629" s="13"/>
      <c r="E3629" s="13"/>
      <c r="F3629" s="13"/>
      <c r="G3629" s="13"/>
      <c r="H3629" s="13"/>
      <c r="I3629" s="15"/>
      <c r="J3629" s="15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</row>
    <row r="3630" ht="22.5" hidden="1" customHeight="1">
      <c r="A3630" s="6"/>
      <c r="B3630" s="20"/>
      <c r="C3630" s="36"/>
      <c r="D3630" s="13"/>
      <c r="E3630" s="13"/>
      <c r="F3630" s="13"/>
      <c r="G3630" s="13"/>
      <c r="H3630" s="13"/>
      <c r="I3630" s="15"/>
      <c r="J3630" s="15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</row>
    <row r="3631" ht="22.5" hidden="1" customHeight="1">
      <c r="A3631" s="6"/>
      <c r="B3631" s="20"/>
      <c r="C3631" s="36"/>
      <c r="D3631" s="13"/>
      <c r="E3631" s="13"/>
      <c r="F3631" s="13"/>
      <c r="G3631" s="13"/>
      <c r="H3631" s="13"/>
      <c r="I3631" s="15"/>
      <c r="J3631" s="15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</row>
    <row r="3632" ht="22.5" hidden="1" customHeight="1">
      <c r="A3632" s="6"/>
      <c r="B3632" s="20"/>
      <c r="C3632" s="36"/>
      <c r="D3632" s="13"/>
      <c r="E3632" s="13"/>
      <c r="F3632" s="13"/>
      <c r="G3632" s="13"/>
      <c r="H3632" s="13"/>
      <c r="I3632" s="15"/>
      <c r="J3632" s="15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</row>
    <row r="3633" ht="22.5" hidden="1" customHeight="1">
      <c r="A3633" s="6"/>
      <c r="B3633" s="20"/>
      <c r="C3633" s="36"/>
      <c r="D3633" s="13"/>
      <c r="E3633" s="13"/>
      <c r="F3633" s="13"/>
      <c r="G3633" s="13"/>
      <c r="H3633" s="13"/>
      <c r="I3633" s="15"/>
      <c r="J3633" s="15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</row>
    <row r="3634" ht="22.5" hidden="1" customHeight="1">
      <c r="A3634" s="6"/>
      <c r="B3634" s="20"/>
      <c r="C3634" s="36"/>
      <c r="D3634" s="13"/>
      <c r="E3634" s="13"/>
      <c r="F3634" s="13"/>
      <c r="G3634" s="13"/>
      <c r="H3634" s="13"/>
      <c r="I3634" s="15"/>
      <c r="J3634" s="15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</row>
    <row r="3635" ht="22.5" hidden="1" customHeight="1">
      <c r="A3635" s="6"/>
      <c r="B3635" s="20"/>
      <c r="C3635" s="36"/>
      <c r="D3635" s="13"/>
      <c r="E3635" s="13"/>
      <c r="F3635" s="13"/>
      <c r="G3635" s="13"/>
      <c r="H3635" s="13"/>
      <c r="I3635" s="15"/>
      <c r="J3635" s="15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</row>
    <row r="3636" ht="22.5" hidden="1" customHeight="1">
      <c r="A3636" s="6"/>
      <c r="B3636" s="20"/>
      <c r="C3636" s="36"/>
      <c r="D3636" s="13"/>
      <c r="E3636" s="13"/>
      <c r="F3636" s="13"/>
      <c r="G3636" s="13"/>
      <c r="H3636" s="13"/>
      <c r="I3636" s="15"/>
      <c r="J3636" s="15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</row>
    <row r="3637" ht="22.5" hidden="1" customHeight="1">
      <c r="A3637" s="6"/>
      <c r="B3637" s="20"/>
      <c r="C3637" s="36"/>
      <c r="D3637" s="13"/>
      <c r="E3637" s="13"/>
      <c r="F3637" s="13"/>
      <c r="G3637" s="13"/>
      <c r="H3637" s="13"/>
      <c r="I3637" s="15"/>
      <c r="J3637" s="15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</row>
    <row r="3638" ht="22.5" hidden="1" customHeight="1">
      <c r="A3638" s="6"/>
      <c r="B3638" s="20"/>
      <c r="C3638" s="36"/>
      <c r="D3638" s="13"/>
      <c r="E3638" s="13"/>
      <c r="F3638" s="13"/>
      <c r="G3638" s="13"/>
      <c r="H3638" s="13"/>
      <c r="I3638" s="15"/>
      <c r="J3638" s="15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</row>
    <row r="3639" ht="22.5" hidden="1" customHeight="1">
      <c r="A3639" s="6"/>
      <c r="B3639" s="20"/>
      <c r="C3639" s="36"/>
      <c r="D3639" s="13"/>
      <c r="E3639" s="13"/>
      <c r="F3639" s="13"/>
      <c r="G3639" s="13"/>
      <c r="H3639" s="13"/>
      <c r="I3639" s="15"/>
      <c r="J3639" s="15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</row>
    <row r="3640" ht="22.5" hidden="1" customHeight="1">
      <c r="A3640" s="6"/>
      <c r="B3640" s="20"/>
      <c r="C3640" s="36"/>
      <c r="D3640" s="13"/>
      <c r="E3640" s="13"/>
      <c r="F3640" s="13"/>
      <c r="G3640" s="13"/>
      <c r="H3640" s="13"/>
      <c r="I3640" s="15"/>
      <c r="J3640" s="15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</row>
    <row r="3641" ht="22.5" hidden="1" customHeight="1">
      <c r="A3641" s="6"/>
      <c r="B3641" s="20"/>
      <c r="C3641" s="36"/>
      <c r="D3641" s="13"/>
      <c r="E3641" s="13"/>
      <c r="F3641" s="13"/>
      <c r="G3641" s="13"/>
      <c r="H3641" s="13"/>
      <c r="I3641" s="15"/>
      <c r="J3641" s="15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</row>
    <row r="3642" ht="22.5" hidden="1" customHeight="1">
      <c r="A3642" s="6"/>
      <c r="B3642" s="20"/>
      <c r="C3642" s="36"/>
      <c r="D3642" s="13"/>
      <c r="E3642" s="13"/>
      <c r="F3642" s="13"/>
      <c r="G3642" s="13"/>
      <c r="H3642" s="13"/>
      <c r="I3642" s="15"/>
      <c r="J3642" s="15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</row>
    <row r="3643" ht="22.5" hidden="1" customHeight="1">
      <c r="A3643" s="6"/>
      <c r="B3643" s="20"/>
      <c r="C3643" s="36"/>
      <c r="D3643" s="13"/>
      <c r="E3643" s="13"/>
      <c r="F3643" s="13"/>
      <c r="G3643" s="13"/>
      <c r="H3643" s="13"/>
      <c r="I3643" s="15"/>
      <c r="J3643" s="15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</row>
    <row r="3644" ht="22.5" hidden="1" customHeight="1">
      <c r="A3644" s="6"/>
      <c r="B3644" s="20"/>
      <c r="C3644" s="36"/>
      <c r="D3644" s="13"/>
      <c r="E3644" s="13"/>
      <c r="F3644" s="13"/>
      <c r="G3644" s="13"/>
      <c r="H3644" s="13"/>
      <c r="I3644" s="15"/>
      <c r="J3644" s="15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</row>
    <row r="3645" ht="22.5" hidden="1" customHeight="1">
      <c r="A3645" s="6"/>
      <c r="B3645" s="20"/>
      <c r="C3645" s="36"/>
      <c r="D3645" s="13"/>
      <c r="E3645" s="13"/>
      <c r="F3645" s="13"/>
      <c r="G3645" s="13"/>
      <c r="H3645" s="13"/>
      <c r="I3645" s="15"/>
      <c r="J3645" s="15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</row>
    <row r="3646" ht="22.5" hidden="1" customHeight="1">
      <c r="A3646" s="6"/>
      <c r="B3646" s="20"/>
      <c r="C3646" s="36"/>
      <c r="D3646" s="13"/>
      <c r="E3646" s="13"/>
      <c r="F3646" s="13"/>
      <c r="G3646" s="13"/>
      <c r="H3646" s="13"/>
      <c r="I3646" s="15"/>
      <c r="J3646" s="15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</row>
    <row r="3647" ht="22.5" hidden="1" customHeight="1">
      <c r="A3647" s="6"/>
      <c r="B3647" s="20"/>
      <c r="C3647" s="36"/>
      <c r="D3647" s="13"/>
      <c r="E3647" s="13"/>
      <c r="F3647" s="13"/>
      <c r="G3647" s="13"/>
      <c r="H3647" s="13"/>
      <c r="I3647" s="15"/>
      <c r="J3647" s="15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</row>
    <row r="3648" ht="22.5" hidden="1" customHeight="1">
      <c r="A3648" s="6"/>
      <c r="B3648" s="20"/>
      <c r="C3648" s="36"/>
      <c r="D3648" s="13"/>
      <c r="E3648" s="13"/>
      <c r="F3648" s="13"/>
      <c r="G3648" s="13"/>
      <c r="H3648" s="13"/>
      <c r="I3648" s="15"/>
      <c r="J3648" s="15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</row>
    <row r="3649" ht="22.5" hidden="1" customHeight="1">
      <c r="A3649" s="6"/>
      <c r="B3649" s="20"/>
      <c r="C3649" s="36"/>
      <c r="D3649" s="13"/>
      <c r="E3649" s="13"/>
      <c r="F3649" s="13"/>
      <c r="G3649" s="13"/>
      <c r="H3649" s="13"/>
      <c r="I3649" s="15"/>
      <c r="J3649" s="15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</row>
    <row r="3650" ht="22.5" hidden="1" customHeight="1">
      <c r="A3650" s="6"/>
      <c r="B3650" s="20"/>
      <c r="C3650" s="36"/>
      <c r="D3650" s="13"/>
      <c r="E3650" s="13"/>
      <c r="F3650" s="13"/>
      <c r="G3650" s="13"/>
      <c r="H3650" s="13"/>
      <c r="I3650" s="15"/>
      <c r="J3650" s="15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</row>
    <row r="3651" ht="22.5" hidden="1" customHeight="1">
      <c r="A3651" s="6"/>
      <c r="B3651" s="20"/>
      <c r="C3651" s="36"/>
      <c r="D3651" s="13"/>
      <c r="E3651" s="13"/>
      <c r="F3651" s="13"/>
      <c r="G3651" s="13"/>
      <c r="H3651" s="13"/>
      <c r="I3651" s="15"/>
      <c r="J3651" s="15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</row>
    <row r="3652" ht="22.5" hidden="1" customHeight="1">
      <c r="A3652" s="6"/>
      <c r="B3652" s="20"/>
      <c r="C3652" s="36"/>
      <c r="D3652" s="13"/>
      <c r="E3652" s="13"/>
      <c r="F3652" s="13"/>
      <c r="G3652" s="13"/>
      <c r="H3652" s="13"/>
      <c r="I3652" s="15"/>
      <c r="J3652" s="15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</row>
    <row r="3653" ht="22.5" hidden="1" customHeight="1">
      <c r="A3653" s="6"/>
      <c r="B3653" s="20"/>
      <c r="C3653" s="36"/>
      <c r="D3653" s="13"/>
      <c r="E3653" s="13"/>
      <c r="F3653" s="13"/>
      <c r="G3653" s="13"/>
      <c r="H3653" s="13"/>
      <c r="I3653" s="15"/>
      <c r="J3653" s="15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</row>
    <row r="3654" ht="22.5" hidden="1" customHeight="1">
      <c r="A3654" s="6"/>
      <c r="B3654" s="20"/>
      <c r="C3654" s="36"/>
      <c r="D3654" s="13"/>
      <c r="E3654" s="13"/>
      <c r="F3654" s="13"/>
      <c r="G3654" s="13"/>
      <c r="H3654" s="13"/>
      <c r="I3654" s="15"/>
      <c r="J3654" s="15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</row>
    <row r="3655" ht="22.5" hidden="1" customHeight="1">
      <c r="A3655" s="6"/>
      <c r="B3655" s="20"/>
      <c r="C3655" s="36"/>
      <c r="D3655" s="13"/>
      <c r="E3655" s="13"/>
      <c r="F3655" s="13"/>
      <c r="G3655" s="13"/>
      <c r="H3655" s="13"/>
      <c r="I3655" s="15"/>
      <c r="J3655" s="15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</row>
    <row r="3656" ht="22.5" hidden="1" customHeight="1">
      <c r="A3656" s="6"/>
      <c r="B3656" s="20"/>
      <c r="C3656" s="36"/>
      <c r="D3656" s="13"/>
      <c r="E3656" s="13"/>
      <c r="F3656" s="13"/>
      <c r="G3656" s="13"/>
      <c r="H3656" s="13"/>
      <c r="I3656" s="15"/>
      <c r="J3656" s="15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</row>
    <row r="3657" ht="22.5" hidden="1" customHeight="1">
      <c r="A3657" s="6"/>
      <c r="B3657" s="20"/>
      <c r="C3657" s="36"/>
      <c r="D3657" s="13"/>
      <c r="E3657" s="13"/>
      <c r="F3657" s="13"/>
      <c r="G3657" s="13"/>
      <c r="H3657" s="13"/>
      <c r="I3657" s="15"/>
      <c r="J3657" s="15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</row>
    <row r="3658" ht="22.5" hidden="1" customHeight="1">
      <c r="A3658" s="6"/>
      <c r="B3658" s="20"/>
      <c r="C3658" s="36"/>
      <c r="D3658" s="13"/>
      <c r="E3658" s="13"/>
      <c r="F3658" s="13"/>
      <c r="G3658" s="13"/>
      <c r="H3658" s="13"/>
      <c r="I3658" s="15"/>
      <c r="J3658" s="15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</row>
    <row r="3659" ht="22.5" hidden="1" customHeight="1">
      <c r="A3659" s="6"/>
      <c r="B3659" s="20"/>
      <c r="C3659" s="36"/>
      <c r="D3659" s="13"/>
      <c r="E3659" s="13"/>
      <c r="F3659" s="13"/>
      <c r="G3659" s="13"/>
      <c r="H3659" s="13"/>
      <c r="I3659" s="15"/>
      <c r="J3659" s="15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</row>
    <row r="3660" ht="22.5" hidden="1" customHeight="1">
      <c r="A3660" s="6"/>
      <c r="B3660" s="20"/>
      <c r="C3660" s="36"/>
      <c r="D3660" s="13"/>
      <c r="E3660" s="13"/>
      <c r="F3660" s="13"/>
      <c r="G3660" s="13"/>
      <c r="H3660" s="13"/>
      <c r="I3660" s="15"/>
      <c r="J3660" s="15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</row>
    <row r="3661" ht="22.5" hidden="1" customHeight="1">
      <c r="A3661" s="6"/>
      <c r="B3661" s="20"/>
      <c r="C3661" s="36"/>
      <c r="D3661" s="13"/>
      <c r="E3661" s="13"/>
      <c r="F3661" s="13"/>
      <c r="G3661" s="13"/>
      <c r="H3661" s="13"/>
      <c r="I3661" s="15"/>
      <c r="J3661" s="15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</row>
    <row r="3662" ht="22.5" hidden="1" customHeight="1">
      <c r="A3662" s="6"/>
      <c r="B3662" s="20"/>
      <c r="C3662" s="36"/>
      <c r="D3662" s="13"/>
      <c r="E3662" s="13"/>
      <c r="F3662" s="13"/>
      <c r="G3662" s="13"/>
      <c r="H3662" s="13"/>
      <c r="I3662" s="15"/>
      <c r="J3662" s="15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</row>
    <row r="3663" ht="22.5" hidden="1" customHeight="1">
      <c r="A3663" s="6"/>
      <c r="B3663" s="20"/>
      <c r="C3663" s="36"/>
      <c r="D3663" s="13"/>
      <c r="E3663" s="13"/>
      <c r="F3663" s="13"/>
      <c r="G3663" s="13"/>
      <c r="H3663" s="13"/>
      <c r="I3663" s="15"/>
      <c r="J3663" s="15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</row>
    <row r="3664" ht="22.5" hidden="1" customHeight="1">
      <c r="A3664" s="6"/>
      <c r="B3664" s="20"/>
      <c r="C3664" s="36"/>
      <c r="D3664" s="13"/>
      <c r="E3664" s="13"/>
      <c r="F3664" s="13"/>
      <c r="G3664" s="13"/>
      <c r="H3664" s="13"/>
      <c r="I3664" s="15"/>
      <c r="J3664" s="15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</row>
    <row r="3665" ht="22.5" hidden="1" customHeight="1">
      <c r="A3665" s="6"/>
      <c r="B3665" s="20"/>
      <c r="C3665" s="36"/>
      <c r="D3665" s="13"/>
      <c r="E3665" s="13"/>
      <c r="F3665" s="13"/>
      <c r="G3665" s="13"/>
      <c r="H3665" s="13"/>
      <c r="I3665" s="15"/>
      <c r="J3665" s="15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</row>
    <row r="3666" ht="22.5" hidden="1" customHeight="1">
      <c r="A3666" s="6"/>
      <c r="B3666" s="20"/>
      <c r="C3666" s="36"/>
      <c r="D3666" s="13"/>
      <c r="E3666" s="13"/>
      <c r="F3666" s="13"/>
      <c r="G3666" s="13"/>
      <c r="H3666" s="13"/>
      <c r="I3666" s="15"/>
      <c r="J3666" s="15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</row>
    <row r="3667" ht="22.5" hidden="1" customHeight="1">
      <c r="A3667" s="6"/>
      <c r="B3667" s="20"/>
      <c r="C3667" s="36"/>
      <c r="D3667" s="13"/>
      <c r="E3667" s="13"/>
      <c r="F3667" s="13"/>
      <c r="G3667" s="13"/>
      <c r="H3667" s="13"/>
      <c r="I3667" s="15"/>
      <c r="J3667" s="15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</row>
    <row r="3668" ht="22.5" hidden="1" customHeight="1">
      <c r="A3668" s="6"/>
      <c r="B3668" s="20"/>
      <c r="C3668" s="36"/>
      <c r="D3668" s="13"/>
      <c r="E3668" s="13"/>
      <c r="F3668" s="13"/>
      <c r="G3668" s="13"/>
      <c r="H3668" s="13"/>
      <c r="I3668" s="15"/>
      <c r="J3668" s="15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</row>
    <row r="3669" ht="22.5" hidden="1" customHeight="1">
      <c r="A3669" s="6"/>
      <c r="B3669" s="20"/>
      <c r="C3669" s="36"/>
      <c r="D3669" s="13"/>
      <c r="E3669" s="13"/>
      <c r="F3669" s="13"/>
      <c r="G3669" s="13"/>
      <c r="H3669" s="13"/>
      <c r="I3669" s="15"/>
      <c r="J3669" s="15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</row>
    <row r="3670" ht="22.5" hidden="1" customHeight="1">
      <c r="A3670" s="6"/>
      <c r="B3670" s="20"/>
      <c r="C3670" s="36"/>
      <c r="D3670" s="13"/>
      <c r="E3670" s="13"/>
      <c r="F3670" s="13"/>
      <c r="G3670" s="13"/>
      <c r="H3670" s="13"/>
      <c r="I3670" s="15"/>
      <c r="J3670" s="15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</row>
    <row r="3671" ht="22.5" hidden="1" customHeight="1">
      <c r="A3671" s="6"/>
      <c r="B3671" s="20"/>
      <c r="C3671" s="36"/>
      <c r="D3671" s="13"/>
      <c r="E3671" s="13"/>
      <c r="F3671" s="13"/>
      <c r="G3671" s="13"/>
      <c r="H3671" s="13"/>
      <c r="I3671" s="15"/>
      <c r="J3671" s="15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</row>
    <row r="3672" ht="22.5" hidden="1" customHeight="1">
      <c r="A3672" s="6"/>
      <c r="B3672" s="20"/>
      <c r="C3672" s="36"/>
      <c r="D3672" s="13"/>
      <c r="E3672" s="13"/>
      <c r="F3672" s="13"/>
      <c r="G3672" s="13"/>
      <c r="H3672" s="13"/>
      <c r="I3672" s="15"/>
      <c r="J3672" s="15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</row>
    <row r="3673" ht="22.5" hidden="1" customHeight="1">
      <c r="A3673" s="6"/>
      <c r="B3673" s="20"/>
      <c r="C3673" s="36"/>
      <c r="D3673" s="13"/>
      <c r="E3673" s="13"/>
      <c r="F3673" s="13"/>
      <c r="G3673" s="13"/>
      <c r="H3673" s="13"/>
      <c r="I3673" s="15"/>
      <c r="J3673" s="15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</row>
    <row r="3674" ht="22.5" hidden="1" customHeight="1">
      <c r="A3674" s="6"/>
      <c r="B3674" s="20"/>
      <c r="C3674" s="36"/>
      <c r="D3674" s="13"/>
      <c r="E3674" s="13"/>
      <c r="F3674" s="13"/>
      <c r="G3674" s="13"/>
      <c r="H3674" s="13"/>
      <c r="I3674" s="15"/>
      <c r="J3674" s="15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</row>
    <row r="3675" ht="22.5" hidden="1" customHeight="1">
      <c r="A3675" s="6"/>
      <c r="B3675" s="20"/>
      <c r="C3675" s="36"/>
      <c r="D3675" s="13"/>
      <c r="E3675" s="13"/>
      <c r="F3675" s="13"/>
      <c r="G3675" s="13"/>
      <c r="H3675" s="13"/>
      <c r="I3675" s="15"/>
      <c r="J3675" s="15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</row>
    <row r="3676" ht="22.5" hidden="1" customHeight="1">
      <c r="A3676" s="6"/>
      <c r="B3676" s="20"/>
      <c r="C3676" s="36"/>
      <c r="D3676" s="13"/>
      <c r="E3676" s="13"/>
      <c r="F3676" s="13"/>
      <c r="G3676" s="13"/>
      <c r="H3676" s="13"/>
      <c r="I3676" s="15"/>
      <c r="J3676" s="15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</row>
    <row r="3677" ht="22.5" hidden="1" customHeight="1">
      <c r="A3677" s="6"/>
      <c r="B3677" s="20"/>
      <c r="C3677" s="36"/>
      <c r="D3677" s="13"/>
      <c r="E3677" s="13"/>
      <c r="F3677" s="13"/>
      <c r="G3677" s="13"/>
      <c r="H3677" s="13"/>
      <c r="I3677" s="15"/>
      <c r="J3677" s="15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</row>
    <row r="3678" ht="22.5" hidden="1" customHeight="1">
      <c r="A3678" s="6"/>
      <c r="B3678" s="20"/>
      <c r="C3678" s="36"/>
      <c r="D3678" s="13"/>
      <c r="E3678" s="13"/>
      <c r="F3678" s="13"/>
      <c r="G3678" s="13"/>
      <c r="H3678" s="13"/>
      <c r="I3678" s="15"/>
      <c r="J3678" s="15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</row>
    <row r="3679" ht="22.5" hidden="1" customHeight="1">
      <c r="A3679" s="6"/>
      <c r="B3679" s="20"/>
      <c r="C3679" s="36"/>
      <c r="D3679" s="13"/>
      <c r="E3679" s="13"/>
      <c r="F3679" s="13"/>
      <c r="G3679" s="13"/>
      <c r="H3679" s="13"/>
      <c r="I3679" s="15"/>
      <c r="J3679" s="15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</row>
    <row r="3680" ht="22.5" hidden="1" customHeight="1">
      <c r="A3680" s="6"/>
      <c r="B3680" s="20"/>
      <c r="C3680" s="36"/>
      <c r="D3680" s="13"/>
      <c r="E3680" s="13"/>
      <c r="F3680" s="13"/>
      <c r="G3680" s="13"/>
      <c r="H3680" s="13"/>
      <c r="I3680" s="15"/>
      <c r="J3680" s="15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</row>
    <row r="3681" ht="22.5" hidden="1" customHeight="1">
      <c r="A3681" s="6"/>
      <c r="B3681" s="20"/>
      <c r="C3681" s="36"/>
      <c r="D3681" s="13"/>
      <c r="E3681" s="13"/>
      <c r="F3681" s="13"/>
      <c r="G3681" s="13"/>
      <c r="H3681" s="13"/>
      <c r="I3681" s="15"/>
      <c r="J3681" s="15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</row>
    <row r="3682" ht="22.5" hidden="1" customHeight="1">
      <c r="A3682" s="6"/>
      <c r="B3682" s="20"/>
      <c r="C3682" s="36"/>
      <c r="D3682" s="13"/>
      <c r="E3682" s="13"/>
      <c r="F3682" s="13"/>
      <c r="G3682" s="13"/>
      <c r="H3682" s="13"/>
      <c r="I3682" s="15"/>
      <c r="J3682" s="15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</row>
    <row r="3683" ht="22.5" hidden="1" customHeight="1">
      <c r="A3683" s="6"/>
      <c r="B3683" s="20"/>
      <c r="C3683" s="36"/>
      <c r="D3683" s="13"/>
      <c r="E3683" s="13"/>
      <c r="F3683" s="13"/>
      <c r="G3683" s="13"/>
      <c r="H3683" s="13"/>
      <c r="I3683" s="15"/>
      <c r="J3683" s="15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</row>
    <row r="3684" ht="22.5" hidden="1" customHeight="1">
      <c r="A3684" s="6"/>
      <c r="B3684" s="20"/>
      <c r="C3684" s="36"/>
      <c r="D3684" s="13"/>
      <c r="E3684" s="13"/>
      <c r="F3684" s="13"/>
      <c r="G3684" s="13"/>
      <c r="H3684" s="13"/>
      <c r="I3684" s="15"/>
      <c r="J3684" s="15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</row>
    <row r="3685" ht="22.5" hidden="1" customHeight="1">
      <c r="A3685" s="6"/>
      <c r="B3685" s="20"/>
      <c r="C3685" s="36"/>
      <c r="D3685" s="13"/>
      <c r="E3685" s="13"/>
      <c r="F3685" s="13"/>
      <c r="G3685" s="13"/>
      <c r="H3685" s="13"/>
      <c r="I3685" s="15"/>
      <c r="J3685" s="15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</row>
    <row r="3686" ht="22.5" hidden="1" customHeight="1">
      <c r="A3686" s="6"/>
      <c r="B3686" s="20"/>
      <c r="C3686" s="36"/>
      <c r="D3686" s="13"/>
      <c r="E3686" s="13"/>
      <c r="F3686" s="13"/>
      <c r="G3686" s="13"/>
      <c r="H3686" s="13"/>
      <c r="I3686" s="15"/>
      <c r="J3686" s="15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</row>
    <row r="3687" ht="22.5" hidden="1" customHeight="1">
      <c r="A3687" s="6"/>
      <c r="B3687" s="20"/>
      <c r="C3687" s="36"/>
      <c r="D3687" s="13"/>
      <c r="E3687" s="13"/>
      <c r="F3687" s="13"/>
      <c r="G3687" s="13"/>
      <c r="H3687" s="13"/>
      <c r="I3687" s="15"/>
      <c r="J3687" s="15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</row>
    <row r="3688" ht="22.5" hidden="1" customHeight="1">
      <c r="A3688" s="6"/>
      <c r="B3688" s="20"/>
      <c r="C3688" s="36"/>
      <c r="D3688" s="13"/>
      <c r="E3688" s="13"/>
      <c r="F3688" s="13"/>
      <c r="G3688" s="13"/>
      <c r="H3688" s="13"/>
      <c r="I3688" s="15"/>
      <c r="J3688" s="15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</row>
    <row r="3689" ht="22.5" hidden="1" customHeight="1">
      <c r="A3689" s="6"/>
      <c r="B3689" s="20"/>
      <c r="C3689" s="36"/>
      <c r="D3689" s="13"/>
      <c r="E3689" s="13"/>
      <c r="F3689" s="13"/>
      <c r="G3689" s="13"/>
      <c r="H3689" s="13"/>
      <c r="I3689" s="15"/>
      <c r="J3689" s="15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</row>
    <row r="3690" ht="22.5" hidden="1" customHeight="1">
      <c r="A3690" s="6"/>
      <c r="B3690" s="20"/>
      <c r="C3690" s="36"/>
      <c r="D3690" s="13"/>
      <c r="E3690" s="13"/>
      <c r="F3690" s="13"/>
      <c r="G3690" s="13"/>
      <c r="H3690" s="13"/>
      <c r="I3690" s="15"/>
      <c r="J3690" s="15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</row>
    <row r="3691" ht="22.5" hidden="1" customHeight="1">
      <c r="A3691" s="6"/>
      <c r="B3691" s="20"/>
      <c r="C3691" s="36"/>
      <c r="D3691" s="13"/>
      <c r="E3691" s="13"/>
      <c r="F3691" s="13"/>
      <c r="G3691" s="13"/>
      <c r="H3691" s="13"/>
      <c r="I3691" s="15"/>
      <c r="J3691" s="15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</row>
    <row r="3692" ht="22.5" hidden="1" customHeight="1">
      <c r="A3692" s="6"/>
      <c r="B3692" s="20"/>
      <c r="C3692" s="36"/>
      <c r="D3692" s="13"/>
      <c r="E3692" s="13"/>
      <c r="F3692" s="13"/>
      <c r="G3692" s="13"/>
      <c r="H3692" s="13"/>
      <c r="I3692" s="15"/>
      <c r="J3692" s="15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</row>
    <row r="3693" ht="22.5" hidden="1" customHeight="1">
      <c r="A3693" s="6"/>
      <c r="B3693" s="20"/>
      <c r="C3693" s="36"/>
      <c r="D3693" s="13"/>
      <c r="E3693" s="13"/>
      <c r="F3693" s="13"/>
      <c r="G3693" s="13"/>
      <c r="H3693" s="13"/>
      <c r="I3693" s="15"/>
      <c r="J3693" s="15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</row>
    <row r="3694" ht="22.5" hidden="1" customHeight="1">
      <c r="A3694" s="6"/>
      <c r="B3694" s="20"/>
      <c r="C3694" s="36"/>
      <c r="D3694" s="13"/>
      <c r="E3694" s="13"/>
      <c r="F3694" s="13"/>
      <c r="G3694" s="13"/>
      <c r="H3694" s="13"/>
      <c r="I3694" s="15"/>
      <c r="J3694" s="15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</row>
    <row r="3695" ht="22.5" hidden="1" customHeight="1">
      <c r="A3695" s="6"/>
      <c r="B3695" s="20"/>
      <c r="C3695" s="36"/>
      <c r="D3695" s="13"/>
      <c r="E3695" s="13"/>
      <c r="F3695" s="13"/>
      <c r="G3695" s="13"/>
      <c r="H3695" s="13"/>
      <c r="I3695" s="15"/>
      <c r="J3695" s="15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</row>
    <row r="3696" ht="22.5" hidden="1" customHeight="1">
      <c r="A3696" s="6"/>
      <c r="B3696" s="20"/>
      <c r="C3696" s="36"/>
      <c r="D3696" s="13"/>
      <c r="E3696" s="13"/>
      <c r="F3696" s="13"/>
      <c r="G3696" s="13"/>
      <c r="H3696" s="13"/>
      <c r="I3696" s="15"/>
      <c r="J3696" s="15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</row>
    <row r="3697" ht="22.5" hidden="1" customHeight="1">
      <c r="A3697" s="6"/>
      <c r="B3697" s="20"/>
      <c r="C3697" s="36"/>
      <c r="D3697" s="13"/>
      <c r="E3697" s="13"/>
      <c r="F3697" s="13"/>
      <c r="G3697" s="13"/>
      <c r="H3697" s="13"/>
      <c r="I3697" s="15"/>
      <c r="J3697" s="15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</row>
    <row r="3698" ht="22.5" hidden="1" customHeight="1">
      <c r="A3698" s="6"/>
      <c r="B3698" s="20"/>
      <c r="C3698" s="36"/>
      <c r="D3698" s="13"/>
      <c r="E3698" s="13"/>
      <c r="F3698" s="13"/>
      <c r="G3698" s="13"/>
      <c r="H3698" s="13"/>
      <c r="I3698" s="15"/>
      <c r="J3698" s="15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</row>
    <row r="3699" ht="22.5" hidden="1" customHeight="1">
      <c r="A3699" s="6"/>
      <c r="B3699" s="20"/>
      <c r="C3699" s="36"/>
      <c r="D3699" s="13"/>
      <c r="E3699" s="13"/>
      <c r="F3699" s="13"/>
      <c r="G3699" s="13"/>
      <c r="H3699" s="13"/>
      <c r="I3699" s="15"/>
      <c r="J3699" s="15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</row>
    <row r="3700" ht="22.5" hidden="1" customHeight="1">
      <c r="A3700" s="6"/>
      <c r="B3700" s="20"/>
      <c r="C3700" s="36"/>
      <c r="D3700" s="13"/>
      <c r="E3700" s="13"/>
      <c r="F3700" s="13"/>
      <c r="G3700" s="13"/>
      <c r="H3700" s="13"/>
      <c r="I3700" s="15"/>
      <c r="J3700" s="15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</row>
    <row r="3701" ht="22.5" hidden="1" customHeight="1">
      <c r="A3701" s="6"/>
      <c r="B3701" s="20"/>
      <c r="C3701" s="36"/>
      <c r="D3701" s="13"/>
      <c r="E3701" s="13"/>
      <c r="F3701" s="13"/>
      <c r="G3701" s="13"/>
      <c r="H3701" s="13"/>
      <c r="I3701" s="15"/>
      <c r="J3701" s="15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</row>
    <row r="3702" ht="22.5" hidden="1" customHeight="1">
      <c r="A3702" s="6"/>
      <c r="B3702" s="20"/>
      <c r="C3702" s="36"/>
      <c r="D3702" s="13"/>
      <c r="E3702" s="13"/>
      <c r="F3702" s="13"/>
      <c r="G3702" s="13"/>
      <c r="H3702" s="13"/>
      <c r="I3702" s="15"/>
      <c r="J3702" s="15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</row>
    <row r="3703" ht="22.5" hidden="1" customHeight="1">
      <c r="A3703" s="6"/>
      <c r="B3703" s="20"/>
      <c r="C3703" s="36"/>
      <c r="D3703" s="13"/>
      <c r="E3703" s="13"/>
      <c r="F3703" s="13"/>
      <c r="G3703" s="13"/>
      <c r="H3703" s="13"/>
      <c r="I3703" s="15"/>
      <c r="J3703" s="15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</row>
    <row r="3704" ht="22.5" hidden="1" customHeight="1">
      <c r="A3704" s="6"/>
      <c r="B3704" s="20"/>
      <c r="C3704" s="36"/>
      <c r="D3704" s="13"/>
      <c r="E3704" s="13"/>
      <c r="F3704" s="13"/>
      <c r="G3704" s="13"/>
      <c r="H3704" s="13"/>
      <c r="I3704" s="15"/>
      <c r="J3704" s="15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</row>
    <row r="3705" ht="22.5" hidden="1" customHeight="1">
      <c r="A3705" s="6"/>
      <c r="B3705" s="20"/>
      <c r="C3705" s="36"/>
      <c r="D3705" s="13"/>
      <c r="E3705" s="13"/>
      <c r="F3705" s="13"/>
      <c r="G3705" s="13"/>
      <c r="H3705" s="13"/>
      <c r="I3705" s="15"/>
      <c r="J3705" s="15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</row>
    <row r="3706" ht="22.5" hidden="1" customHeight="1">
      <c r="A3706" s="6"/>
      <c r="B3706" s="20"/>
      <c r="C3706" s="36"/>
      <c r="D3706" s="13"/>
      <c r="E3706" s="13"/>
      <c r="F3706" s="13"/>
      <c r="G3706" s="13"/>
      <c r="H3706" s="13"/>
      <c r="I3706" s="15"/>
      <c r="J3706" s="15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</row>
    <row r="3707" ht="22.5" hidden="1" customHeight="1">
      <c r="A3707" s="6"/>
      <c r="B3707" s="20"/>
      <c r="C3707" s="36"/>
      <c r="D3707" s="13"/>
      <c r="E3707" s="13"/>
      <c r="F3707" s="13"/>
      <c r="G3707" s="13"/>
      <c r="H3707" s="13"/>
      <c r="I3707" s="15"/>
      <c r="J3707" s="15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</row>
    <row r="3708" ht="22.5" hidden="1" customHeight="1">
      <c r="A3708" s="6"/>
      <c r="B3708" s="20"/>
      <c r="C3708" s="36"/>
      <c r="D3708" s="13"/>
      <c r="E3708" s="13"/>
      <c r="F3708" s="13"/>
      <c r="G3708" s="13"/>
      <c r="H3708" s="13"/>
      <c r="I3708" s="15"/>
      <c r="J3708" s="15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</row>
    <row r="3709" ht="22.5" hidden="1" customHeight="1">
      <c r="A3709" s="6"/>
      <c r="B3709" s="20"/>
      <c r="C3709" s="36"/>
      <c r="D3709" s="13"/>
      <c r="E3709" s="13"/>
      <c r="F3709" s="13"/>
      <c r="G3709" s="13"/>
      <c r="H3709" s="13"/>
      <c r="I3709" s="15"/>
      <c r="J3709" s="15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</row>
    <row r="3710" ht="22.5" hidden="1" customHeight="1">
      <c r="A3710" s="6"/>
      <c r="B3710" s="20"/>
      <c r="C3710" s="36"/>
      <c r="D3710" s="13"/>
      <c r="E3710" s="13"/>
      <c r="F3710" s="13"/>
      <c r="G3710" s="13"/>
      <c r="H3710" s="13"/>
      <c r="I3710" s="15"/>
      <c r="J3710" s="15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</row>
    <row r="3711" ht="22.5" hidden="1" customHeight="1">
      <c r="A3711" s="6"/>
      <c r="B3711" s="20"/>
      <c r="C3711" s="36"/>
      <c r="D3711" s="13"/>
      <c r="E3711" s="13"/>
      <c r="F3711" s="13"/>
      <c r="G3711" s="13"/>
      <c r="H3711" s="13"/>
      <c r="I3711" s="15"/>
      <c r="J3711" s="15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</row>
    <row r="3712" ht="22.5" hidden="1" customHeight="1">
      <c r="A3712" s="6"/>
      <c r="B3712" s="20"/>
      <c r="C3712" s="36"/>
      <c r="D3712" s="13"/>
      <c r="E3712" s="13"/>
      <c r="F3712" s="13"/>
      <c r="G3712" s="13"/>
      <c r="H3712" s="13"/>
      <c r="I3712" s="15"/>
      <c r="J3712" s="15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</row>
    <row r="3713" ht="22.5" hidden="1" customHeight="1">
      <c r="A3713" s="6"/>
      <c r="B3713" s="20"/>
      <c r="C3713" s="36"/>
      <c r="D3713" s="13"/>
      <c r="E3713" s="13"/>
      <c r="F3713" s="13"/>
      <c r="G3713" s="13"/>
      <c r="H3713" s="13"/>
      <c r="I3713" s="15"/>
      <c r="J3713" s="15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</row>
    <row r="3714" ht="22.5" hidden="1" customHeight="1">
      <c r="A3714" s="6"/>
      <c r="B3714" s="20"/>
      <c r="C3714" s="36"/>
      <c r="D3714" s="13"/>
      <c r="E3714" s="13"/>
      <c r="F3714" s="13"/>
      <c r="G3714" s="13"/>
      <c r="H3714" s="13"/>
      <c r="I3714" s="15"/>
      <c r="J3714" s="15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</row>
    <row r="3715" ht="22.5" hidden="1" customHeight="1">
      <c r="A3715" s="6"/>
      <c r="B3715" s="20"/>
      <c r="C3715" s="36"/>
      <c r="D3715" s="13"/>
      <c r="E3715" s="13"/>
      <c r="F3715" s="13"/>
      <c r="G3715" s="13"/>
      <c r="H3715" s="13"/>
      <c r="I3715" s="15"/>
      <c r="J3715" s="15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</row>
    <row r="3716" ht="22.5" hidden="1" customHeight="1">
      <c r="A3716" s="6"/>
      <c r="B3716" s="20"/>
      <c r="C3716" s="36"/>
      <c r="D3716" s="13"/>
      <c r="E3716" s="13"/>
      <c r="F3716" s="13"/>
      <c r="G3716" s="13"/>
      <c r="H3716" s="13"/>
      <c r="I3716" s="15"/>
      <c r="J3716" s="15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</row>
    <row r="3717" ht="22.5" hidden="1" customHeight="1">
      <c r="A3717" s="6"/>
      <c r="B3717" s="20"/>
      <c r="C3717" s="36"/>
      <c r="D3717" s="13"/>
      <c r="E3717" s="13"/>
      <c r="F3717" s="13"/>
      <c r="G3717" s="13"/>
      <c r="H3717" s="13"/>
      <c r="I3717" s="15"/>
      <c r="J3717" s="15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</row>
    <row r="3718" ht="22.5" hidden="1" customHeight="1">
      <c r="A3718" s="6"/>
      <c r="B3718" s="20"/>
      <c r="C3718" s="36"/>
      <c r="D3718" s="13"/>
      <c r="E3718" s="13"/>
      <c r="F3718" s="13"/>
      <c r="G3718" s="13"/>
      <c r="H3718" s="13"/>
      <c r="I3718" s="15"/>
      <c r="J3718" s="15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</row>
    <row r="3719" ht="22.5" hidden="1" customHeight="1">
      <c r="A3719" s="6"/>
      <c r="B3719" s="20"/>
      <c r="C3719" s="36"/>
      <c r="D3719" s="13"/>
      <c r="E3719" s="13"/>
      <c r="F3719" s="13"/>
      <c r="G3719" s="13"/>
      <c r="H3719" s="13"/>
      <c r="I3719" s="15"/>
      <c r="J3719" s="15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</row>
    <row r="3720" ht="22.5" hidden="1" customHeight="1">
      <c r="A3720" s="6"/>
      <c r="B3720" s="20"/>
      <c r="C3720" s="36"/>
      <c r="D3720" s="13"/>
      <c r="E3720" s="13"/>
      <c r="F3720" s="13"/>
      <c r="G3720" s="13"/>
      <c r="H3720" s="13"/>
      <c r="I3720" s="15"/>
      <c r="J3720" s="15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</row>
    <row r="3721" ht="22.5" hidden="1" customHeight="1">
      <c r="A3721" s="6"/>
      <c r="B3721" s="20"/>
      <c r="C3721" s="36"/>
      <c r="D3721" s="13"/>
      <c r="E3721" s="13"/>
      <c r="F3721" s="13"/>
      <c r="G3721" s="13"/>
      <c r="H3721" s="13"/>
      <c r="I3721" s="15"/>
      <c r="J3721" s="15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</row>
    <row r="3722" ht="22.5" hidden="1" customHeight="1">
      <c r="A3722" s="6"/>
      <c r="B3722" s="20"/>
      <c r="C3722" s="36"/>
      <c r="D3722" s="13"/>
      <c r="E3722" s="13"/>
      <c r="F3722" s="13"/>
      <c r="G3722" s="13"/>
      <c r="H3722" s="13"/>
      <c r="I3722" s="15"/>
      <c r="J3722" s="15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</row>
    <row r="3723" ht="22.5" hidden="1" customHeight="1">
      <c r="A3723" s="6"/>
      <c r="B3723" s="20"/>
      <c r="C3723" s="36"/>
      <c r="D3723" s="13"/>
      <c r="E3723" s="13"/>
      <c r="F3723" s="13"/>
      <c r="G3723" s="13"/>
      <c r="H3723" s="13"/>
      <c r="I3723" s="15"/>
      <c r="J3723" s="15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</row>
    <row r="3724" ht="22.5" hidden="1" customHeight="1">
      <c r="A3724" s="6"/>
      <c r="B3724" s="20"/>
      <c r="C3724" s="36"/>
      <c r="D3724" s="13"/>
      <c r="E3724" s="13"/>
      <c r="F3724" s="13"/>
      <c r="G3724" s="13"/>
      <c r="H3724" s="13"/>
      <c r="I3724" s="15"/>
      <c r="J3724" s="15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</row>
    <row r="3725" ht="22.5" hidden="1" customHeight="1">
      <c r="A3725" s="6"/>
      <c r="B3725" s="20"/>
      <c r="C3725" s="36"/>
      <c r="D3725" s="13"/>
      <c r="E3725" s="13"/>
      <c r="F3725" s="13"/>
      <c r="G3725" s="13"/>
      <c r="H3725" s="13"/>
      <c r="I3725" s="15"/>
      <c r="J3725" s="15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</row>
    <row r="3726" ht="22.5" hidden="1" customHeight="1">
      <c r="A3726" s="6"/>
      <c r="B3726" s="20"/>
      <c r="C3726" s="36"/>
      <c r="D3726" s="13"/>
      <c r="E3726" s="13"/>
      <c r="F3726" s="13"/>
      <c r="G3726" s="13"/>
      <c r="H3726" s="13"/>
      <c r="I3726" s="15"/>
      <c r="J3726" s="15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</row>
    <row r="3727" ht="22.5" hidden="1" customHeight="1">
      <c r="A3727" s="6"/>
      <c r="B3727" s="20"/>
      <c r="C3727" s="36"/>
      <c r="D3727" s="13"/>
      <c r="E3727" s="13"/>
      <c r="F3727" s="13"/>
      <c r="G3727" s="13"/>
      <c r="H3727" s="13"/>
      <c r="I3727" s="15"/>
      <c r="J3727" s="15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</row>
    <row r="3728" ht="22.5" hidden="1" customHeight="1">
      <c r="A3728" s="6"/>
      <c r="B3728" s="20"/>
      <c r="C3728" s="36"/>
      <c r="D3728" s="13"/>
      <c r="E3728" s="13"/>
      <c r="F3728" s="13"/>
      <c r="G3728" s="13"/>
      <c r="H3728" s="13"/>
      <c r="I3728" s="15"/>
      <c r="J3728" s="15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</row>
    <row r="3729" ht="22.5" hidden="1" customHeight="1">
      <c r="A3729" s="6"/>
      <c r="B3729" s="20"/>
      <c r="C3729" s="36"/>
      <c r="D3729" s="13"/>
      <c r="E3729" s="13"/>
      <c r="F3729" s="13"/>
      <c r="G3729" s="13"/>
      <c r="H3729" s="13"/>
      <c r="I3729" s="15"/>
      <c r="J3729" s="15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</row>
    <row r="3730" ht="22.5" hidden="1" customHeight="1">
      <c r="A3730" s="6"/>
      <c r="B3730" s="20"/>
      <c r="C3730" s="36"/>
      <c r="D3730" s="13"/>
      <c r="E3730" s="13"/>
      <c r="F3730" s="13"/>
      <c r="G3730" s="13"/>
      <c r="H3730" s="13"/>
      <c r="I3730" s="15"/>
      <c r="J3730" s="15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</row>
    <row r="3731" ht="22.5" hidden="1" customHeight="1">
      <c r="A3731" s="6"/>
      <c r="B3731" s="20"/>
      <c r="C3731" s="36"/>
      <c r="D3731" s="13"/>
      <c r="E3731" s="13"/>
      <c r="F3731" s="13"/>
      <c r="G3731" s="13"/>
      <c r="H3731" s="13"/>
      <c r="I3731" s="15"/>
      <c r="J3731" s="15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</row>
    <row r="3732" ht="22.5" hidden="1" customHeight="1">
      <c r="A3732" s="6"/>
      <c r="B3732" s="20"/>
      <c r="C3732" s="36"/>
      <c r="D3732" s="13"/>
      <c r="E3732" s="13"/>
      <c r="F3732" s="13"/>
      <c r="G3732" s="13"/>
      <c r="H3732" s="13"/>
      <c r="I3732" s="15"/>
      <c r="J3732" s="15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</row>
    <row r="3733" ht="22.5" hidden="1" customHeight="1">
      <c r="A3733" s="6"/>
      <c r="B3733" s="20"/>
      <c r="C3733" s="36"/>
      <c r="D3733" s="13"/>
      <c r="E3733" s="13"/>
      <c r="F3733" s="13"/>
      <c r="G3733" s="13"/>
      <c r="H3733" s="13"/>
      <c r="I3733" s="15"/>
      <c r="J3733" s="15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</row>
    <row r="3734" ht="22.5" hidden="1" customHeight="1">
      <c r="A3734" s="6"/>
      <c r="B3734" s="20"/>
      <c r="C3734" s="36"/>
      <c r="D3734" s="13"/>
      <c r="E3734" s="13"/>
      <c r="F3734" s="13"/>
      <c r="G3734" s="13"/>
      <c r="H3734" s="13"/>
      <c r="I3734" s="15"/>
      <c r="J3734" s="15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</row>
    <row r="3735" ht="22.5" hidden="1" customHeight="1">
      <c r="A3735" s="6"/>
      <c r="B3735" s="20"/>
      <c r="C3735" s="36"/>
      <c r="D3735" s="13"/>
      <c r="E3735" s="13"/>
      <c r="F3735" s="13"/>
      <c r="G3735" s="13"/>
      <c r="H3735" s="13"/>
      <c r="I3735" s="15"/>
      <c r="J3735" s="15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</row>
    <row r="3736" ht="22.5" hidden="1" customHeight="1">
      <c r="A3736" s="6"/>
      <c r="B3736" s="20"/>
      <c r="C3736" s="36"/>
      <c r="D3736" s="13"/>
      <c r="E3736" s="13"/>
      <c r="F3736" s="13"/>
      <c r="G3736" s="13"/>
      <c r="H3736" s="13"/>
      <c r="I3736" s="15"/>
      <c r="J3736" s="15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</row>
    <row r="3737" ht="22.5" hidden="1" customHeight="1">
      <c r="A3737" s="6"/>
      <c r="B3737" s="20"/>
      <c r="C3737" s="36"/>
      <c r="D3737" s="13"/>
      <c r="E3737" s="13"/>
      <c r="F3737" s="13"/>
      <c r="G3737" s="13"/>
      <c r="H3737" s="13"/>
      <c r="I3737" s="15"/>
      <c r="J3737" s="15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</row>
    <row r="3738" ht="22.5" hidden="1" customHeight="1">
      <c r="A3738" s="6"/>
      <c r="B3738" s="20"/>
      <c r="C3738" s="36"/>
      <c r="D3738" s="13"/>
      <c r="E3738" s="13"/>
      <c r="F3738" s="13"/>
      <c r="G3738" s="13"/>
      <c r="H3738" s="13"/>
      <c r="I3738" s="15"/>
      <c r="J3738" s="15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</row>
    <row r="3739" ht="22.5" hidden="1" customHeight="1">
      <c r="A3739" s="6"/>
      <c r="B3739" s="20"/>
      <c r="C3739" s="36"/>
      <c r="D3739" s="13"/>
      <c r="E3739" s="13"/>
      <c r="F3739" s="13"/>
      <c r="G3739" s="13"/>
      <c r="H3739" s="13"/>
      <c r="I3739" s="15"/>
      <c r="J3739" s="15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</row>
    <row r="3740" ht="22.5" hidden="1" customHeight="1">
      <c r="A3740" s="6"/>
      <c r="B3740" s="20"/>
      <c r="C3740" s="36"/>
      <c r="D3740" s="13"/>
      <c r="E3740" s="13"/>
      <c r="F3740" s="13"/>
      <c r="G3740" s="13"/>
      <c r="H3740" s="13"/>
      <c r="I3740" s="15"/>
      <c r="J3740" s="15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</row>
    <row r="3741" ht="22.5" hidden="1" customHeight="1">
      <c r="A3741" s="6"/>
      <c r="B3741" s="20"/>
      <c r="C3741" s="36"/>
      <c r="D3741" s="13"/>
      <c r="E3741" s="13"/>
      <c r="F3741" s="13"/>
      <c r="G3741" s="13"/>
      <c r="H3741" s="13"/>
      <c r="I3741" s="15"/>
      <c r="J3741" s="15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</row>
    <row r="3742" ht="22.5" hidden="1" customHeight="1">
      <c r="A3742" s="6"/>
      <c r="B3742" s="20"/>
      <c r="C3742" s="36"/>
      <c r="D3742" s="13"/>
      <c r="E3742" s="13"/>
      <c r="F3742" s="13"/>
      <c r="G3742" s="13"/>
      <c r="H3742" s="13"/>
      <c r="I3742" s="15"/>
      <c r="J3742" s="15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</row>
    <row r="3743" ht="22.5" hidden="1" customHeight="1">
      <c r="A3743" s="6"/>
      <c r="B3743" s="20"/>
      <c r="C3743" s="36"/>
      <c r="D3743" s="13"/>
      <c r="E3743" s="13"/>
      <c r="F3743" s="13"/>
      <c r="G3743" s="13"/>
      <c r="H3743" s="13"/>
      <c r="I3743" s="15"/>
      <c r="J3743" s="15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</row>
    <row r="3744" ht="22.5" hidden="1" customHeight="1">
      <c r="A3744" s="6"/>
      <c r="B3744" s="20"/>
      <c r="C3744" s="36"/>
      <c r="D3744" s="13"/>
      <c r="E3744" s="13"/>
      <c r="F3744" s="13"/>
      <c r="G3744" s="13"/>
      <c r="H3744" s="13"/>
      <c r="I3744" s="15"/>
      <c r="J3744" s="15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</row>
    <row r="3745" ht="22.5" hidden="1" customHeight="1">
      <c r="A3745" s="6"/>
      <c r="B3745" s="20"/>
      <c r="C3745" s="36"/>
      <c r="D3745" s="13"/>
      <c r="E3745" s="13"/>
      <c r="F3745" s="13"/>
      <c r="G3745" s="13"/>
      <c r="H3745" s="13"/>
      <c r="I3745" s="15"/>
      <c r="J3745" s="15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</row>
    <row r="3746" ht="22.5" hidden="1" customHeight="1">
      <c r="A3746" s="6"/>
      <c r="B3746" s="20"/>
      <c r="C3746" s="36"/>
      <c r="D3746" s="13"/>
      <c r="E3746" s="13"/>
      <c r="F3746" s="13"/>
      <c r="G3746" s="13"/>
      <c r="H3746" s="13"/>
      <c r="I3746" s="15"/>
      <c r="J3746" s="15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</row>
    <row r="3747" ht="22.5" hidden="1" customHeight="1">
      <c r="A3747" s="6"/>
      <c r="B3747" s="20"/>
      <c r="C3747" s="36"/>
      <c r="D3747" s="13"/>
      <c r="E3747" s="13"/>
      <c r="F3747" s="13"/>
      <c r="G3747" s="13"/>
      <c r="H3747" s="13"/>
      <c r="I3747" s="15"/>
      <c r="J3747" s="15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</row>
    <row r="3748" ht="22.5" hidden="1" customHeight="1">
      <c r="A3748" s="6"/>
      <c r="B3748" s="20"/>
      <c r="C3748" s="36"/>
      <c r="D3748" s="13"/>
      <c r="E3748" s="13"/>
      <c r="F3748" s="13"/>
      <c r="G3748" s="13"/>
      <c r="H3748" s="13"/>
      <c r="I3748" s="15"/>
      <c r="J3748" s="15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</row>
    <row r="3749" ht="22.5" hidden="1" customHeight="1">
      <c r="A3749" s="6"/>
      <c r="B3749" s="20"/>
      <c r="C3749" s="36"/>
      <c r="D3749" s="13"/>
      <c r="E3749" s="13"/>
      <c r="F3749" s="13"/>
      <c r="G3749" s="13"/>
      <c r="H3749" s="13"/>
      <c r="I3749" s="15"/>
      <c r="J3749" s="15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</row>
    <row r="3750" ht="22.5" hidden="1" customHeight="1">
      <c r="A3750" s="6"/>
      <c r="B3750" s="20"/>
      <c r="C3750" s="36"/>
      <c r="D3750" s="13"/>
      <c r="E3750" s="13"/>
      <c r="F3750" s="13"/>
      <c r="G3750" s="13"/>
      <c r="H3750" s="13"/>
      <c r="I3750" s="15"/>
      <c r="J3750" s="15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</row>
    <row r="3751" ht="22.5" hidden="1" customHeight="1">
      <c r="A3751" s="6"/>
      <c r="B3751" s="20"/>
      <c r="C3751" s="36"/>
      <c r="D3751" s="13"/>
      <c r="E3751" s="13"/>
      <c r="F3751" s="13"/>
      <c r="G3751" s="13"/>
      <c r="H3751" s="13"/>
      <c r="I3751" s="15"/>
      <c r="J3751" s="15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</row>
    <row r="3752" ht="22.5" hidden="1" customHeight="1">
      <c r="A3752" s="6"/>
      <c r="B3752" s="20"/>
      <c r="C3752" s="36"/>
      <c r="D3752" s="13"/>
      <c r="E3752" s="13"/>
      <c r="F3752" s="13"/>
      <c r="G3752" s="13"/>
      <c r="H3752" s="13"/>
      <c r="I3752" s="15"/>
      <c r="J3752" s="15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</row>
    <row r="3753" ht="22.5" hidden="1" customHeight="1">
      <c r="A3753" s="6"/>
      <c r="B3753" s="20"/>
      <c r="C3753" s="36"/>
      <c r="D3753" s="13"/>
      <c r="E3753" s="13"/>
      <c r="F3753" s="13"/>
      <c r="G3753" s="13"/>
      <c r="H3753" s="13"/>
      <c r="I3753" s="15"/>
      <c r="J3753" s="15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</row>
    <row r="3754" ht="22.5" hidden="1" customHeight="1">
      <c r="A3754" s="6"/>
      <c r="B3754" s="20"/>
      <c r="C3754" s="36"/>
      <c r="D3754" s="13"/>
      <c r="E3754" s="13"/>
      <c r="F3754" s="13"/>
      <c r="G3754" s="13"/>
      <c r="H3754" s="13"/>
      <c r="I3754" s="15"/>
      <c r="J3754" s="15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</row>
    <row r="3755" ht="22.5" hidden="1" customHeight="1">
      <c r="A3755" s="6"/>
      <c r="B3755" s="20"/>
      <c r="C3755" s="36"/>
      <c r="D3755" s="13"/>
      <c r="E3755" s="13"/>
      <c r="F3755" s="13"/>
      <c r="G3755" s="13"/>
      <c r="H3755" s="13"/>
      <c r="I3755" s="15"/>
      <c r="J3755" s="15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</row>
    <row r="3756" ht="22.5" hidden="1" customHeight="1">
      <c r="A3756" s="6"/>
      <c r="B3756" s="20"/>
      <c r="C3756" s="36"/>
      <c r="D3756" s="13"/>
      <c r="E3756" s="13"/>
      <c r="F3756" s="13"/>
      <c r="G3756" s="13"/>
      <c r="H3756" s="13"/>
      <c r="I3756" s="15"/>
      <c r="J3756" s="15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</row>
    <row r="3757" ht="22.5" hidden="1" customHeight="1">
      <c r="A3757" s="6"/>
      <c r="B3757" s="20"/>
      <c r="C3757" s="36"/>
      <c r="D3757" s="13"/>
      <c r="E3757" s="13"/>
      <c r="F3757" s="13"/>
      <c r="G3757" s="13"/>
      <c r="H3757" s="13"/>
      <c r="I3757" s="15"/>
      <c r="J3757" s="15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</row>
    <row r="3758" ht="22.5" hidden="1" customHeight="1">
      <c r="A3758" s="6"/>
      <c r="B3758" s="20"/>
      <c r="C3758" s="36"/>
      <c r="D3758" s="13"/>
      <c r="E3758" s="13"/>
      <c r="F3758" s="13"/>
      <c r="G3758" s="13"/>
      <c r="H3758" s="13"/>
      <c r="I3758" s="15"/>
      <c r="J3758" s="15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</row>
    <row r="3759" ht="22.5" hidden="1" customHeight="1">
      <c r="A3759" s="6"/>
      <c r="B3759" s="20"/>
      <c r="C3759" s="36"/>
      <c r="D3759" s="13"/>
      <c r="E3759" s="13"/>
      <c r="F3759" s="13"/>
      <c r="G3759" s="13"/>
      <c r="H3759" s="13"/>
      <c r="I3759" s="15"/>
      <c r="J3759" s="15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</row>
    <row r="3760" ht="22.5" hidden="1" customHeight="1">
      <c r="A3760" s="6"/>
      <c r="B3760" s="20"/>
      <c r="C3760" s="36"/>
      <c r="D3760" s="13"/>
      <c r="E3760" s="13"/>
      <c r="F3760" s="13"/>
      <c r="G3760" s="13"/>
      <c r="H3760" s="13"/>
      <c r="I3760" s="15"/>
      <c r="J3760" s="15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</row>
    <row r="3761" ht="22.5" hidden="1" customHeight="1">
      <c r="A3761" s="6"/>
      <c r="B3761" s="20"/>
      <c r="C3761" s="36"/>
      <c r="D3761" s="13"/>
      <c r="E3761" s="13"/>
      <c r="F3761" s="13"/>
      <c r="G3761" s="13"/>
      <c r="H3761" s="13"/>
      <c r="I3761" s="15"/>
      <c r="J3761" s="15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</row>
    <row r="3762" ht="22.5" hidden="1" customHeight="1">
      <c r="A3762" s="6"/>
      <c r="B3762" s="20"/>
      <c r="C3762" s="36"/>
      <c r="D3762" s="13"/>
      <c r="E3762" s="13"/>
      <c r="F3762" s="13"/>
      <c r="G3762" s="13"/>
      <c r="H3762" s="13"/>
      <c r="I3762" s="15"/>
      <c r="J3762" s="15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</row>
    <row r="3763" ht="22.5" hidden="1" customHeight="1">
      <c r="A3763" s="6"/>
      <c r="B3763" s="20"/>
      <c r="C3763" s="36"/>
      <c r="D3763" s="13"/>
      <c r="E3763" s="13"/>
      <c r="F3763" s="13"/>
      <c r="G3763" s="13"/>
      <c r="H3763" s="13"/>
      <c r="I3763" s="15"/>
      <c r="J3763" s="15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</row>
    <row r="3764" ht="22.5" hidden="1" customHeight="1">
      <c r="A3764" s="6"/>
      <c r="B3764" s="20"/>
      <c r="C3764" s="36"/>
      <c r="D3764" s="13"/>
      <c r="E3764" s="13"/>
      <c r="F3764" s="13"/>
      <c r="G3764" s="13"/>
      <c r="H3764" s="13"/>
      <c r="I3764" s="15"/>
      <c r="J3764" s="15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</row>
    <row r="3765" ht="22.5" hidden="1" customHeight="1">
      <c r="A3765" s="6"/>
      <c r="B3765" s="20"/>
      <c r="C3765" s="36"/>
      <c r="D3765" s="13"/>
      <c r="E3765" s="13"/>
      <c r="F3765" s="13"/>
      <c r="G3765" s="13"/>
      <c r="H3765" s="13"/>
      <c r="I3765" s="15"/>
      <c r="J3765" s="15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</row>
    <row r="3766" ht="22.5" hidden="1" customHeight="1">
      <c r="A3766" s="6"/>
      <c r="B3766" s="20"/>
      <c r="C3766" s="36"/>
      <c r="D3766" s="13"/>
      <c r="E3766" s="13"/>
      <c r="F3766" s="13"/>
      <c r="G3766" s="13"/>
      <c r="H3766" s="13"/>
      <c r="I3766" s="15"/>
      <c r="J3766" s="15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</row>
    <row r="3767" ht="22.5" hidden="1" customHeight="1">
      <c r="A3767" s="6"/>
      <c r="B3767" s="20"/>
      <c r="C3767" s="36"/>
      <c r="D3767" s="13"/>
      <c r="E3767" s="13"/>
      <c r="F3767" s="13"/>
      <c r="G3767" s="13"/>
      <c r="H3767" s="13"/>
      <c r="I3767" s="15"/>
      <c r="J3767" s="15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</row>
    <row r="3768" ht="22.5" hidden="1" customHeight="1">
      <c r="A3768" s="6"/>
      <c r="B3768" s="20"/>
      <c r="C3768" s="36"/>
      <c r="D3768" s="13"/>
      <c r="E3768" s="13"/>
      <c r="F3768" s="13"/>
      <c r="G3768" s="13"/>
      <c r="H3768" s="13"/>
      <c r="I3768" s="15"/>
      <c r="J3768" s="15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</row>
    <row r="3769" ht="22.5" hidden="1" customHeight="1">
      <c r="A3769" s="6"/>
      <c r="B3769" s="20"/>
      <c r="C3769" s="36"/>
      <c r="D3769" s="13"/>
      <c r="E3769" s="13"/>
      <c r="F3769" s="13"/>
      <c r="G3769" s="13"/>
      <c r="H3769" s="13"/>
      <c r="I3769" s="15"/>
      <c r="J3769" s="15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</row>
    <row r="3770" ht="22.5" hidden="1" customHeight="1">
      <c r="A3770" s="6"/>
      <c r="B3770" s="20"/>
      <c r="C3770" s="36"/>
      <c r="D3770" s="13"/>
      <c r="E3770" s="13"/>
      <c r="F3770" s="13"/>
      <c r="G3770" s="13"/>
      <c r="H3770" s="13"/>
      <c r="I3770" s="15"/>
      <c r="J3770" s="15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</row>
    <row r="3771" ht="22.5" hidden="1" customHeight="1">
      <c r="A3771" s="6"/>
      <c r="B3771" s="20"/>
      <c r="C3771" s="36"/>
      <c r="D3771" s="13"/>
      <c r="E3771" s="13"/>
      <c r="F3771" s="13"/>
      <c r="G3771" s="13"/>
      <c r="H3771" s="13"/>
      <c r="I3771" s="15"/>
      <c r="J3771" s="15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</row>
    <row r="3772" ht="22.5" hidden="1" customHeight="1">
      <c r="A3772" s="6"/>
      <c r="B3772" s="20"/>
      <c r="C3772" s="36"/>
      <c r="D3772" s="13"/>
      <c r="E3772" s="13"/>
      <c r="F3772" s="13"/>
      <c r="G3772" s="13"/>
      <c r="H3772" s="13"/>
      <c r="I3772" s="15"/>
      <c r="J3772" s="15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</row>
    <row r="3773" ht="22.5" hidden="1" customHeight="1">
      <c r="A3773" s="6"/>
      <c r="B3773" s="20"/>
      <c r="C3773" s="36"/>
      <c r="D3773" s="13"/>
      <c r="E3773" s="13"/>
      <c r="F3773" s="13"/>
      <c r="G3773" s="13"/>
      <c r="H3773" s="13"/>
      <c r="I3773" s="15"/>
      <c r="J3773" s="15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</row>
    <row r="3774" ht="22.5" hidden="1" customHeight="1">
      <c r="A3774" s="6"/>
      <c r="B3774" s="20"/>
      <c r="C3774" s="36"/>
      <c r="D3774" s="13"/>
      <c r="E3774" s="13"/>
      <c r="F3774" s="13"/>
      <c r="G3774" s="13"/>
      <c r="H3774" s="13"/>
      <c r="I3774" s="15"/>
      <c r="J3774" s="15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</row>
    <row r="3775" ht="22.5" hidden="1" customHeight="1">
      <c r="A3775" s="6"/>
      <c r="B3775" s="20"/>
      <c r="C3775" s="36"/>
      <c r="D3775" s="13"/>
      <c r="E3775" s="13"/>
      <c r="F3775" s="13"/>
      <c r="G3775" s="13"/>
      <c r="H3775" s="13"/>
      <c r="I3775" s="15"/>
      <c r="J3775" s="15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</row>
    <row r="3776" ht="22.5" hidden="1" customHeight="1">
      <c r="A3776" s="6"/>
      <c r="B3776" s="20"/>
      <c r="C3776" s="36"/>
      <c r="D3776" s="13"/>
      <c r="E3776" s="13"/>
      <c r="F3776" s="13"/>
      <c r="G3776" s="13"/>
      <c r="H3776" s="13"/>
      <c r="I3776" s="15"/>
      <c r="J3776" s="15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</row>
    <row r="3777" ht="22.5" hidden="1" customHeight="1">
      <c r="A3777" s="6"/>
      <c r="B3777" s="20"/>
      <c r="C3777" s="36"/>
      <c r="D3777" s="13"/>
      <c r="E3777" s="13"/>
      <c r="F3777" s="13"/>
      <c r="G3777" s="13"/>
      <c r="H3777" s="13"/>
      <c r="I3777" s="15"/>
      <c r="J3777" s="15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</row>
    <row r="3778" ht="22.5" hidden="1" customHeight="1">
      <c r="A3778" s="6"/>
      <c r="B3778" s="20"/>
      <c r="C3778" s="36"/>
      <c r="D3778" s="13"/>
      <c r="E3778" s="13"/>
      <c r="F3778" s="13"/>
      <c r="G3778" s="13"/>
      <c r="H3778" s="13"/>
      <c r="I3778" s="15"/>
      <c r="J3778" s="15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</row>
    <row r="3779" ht="22.5" hidden="1" customHeight="1">
      <c r="A3779" s="6"/>
      <c r="B3779" s="20"/>
      <c r="C3779" s="36"/>
      <c r="D3779" s="13"/>
      <c r="E3779" s="13"/>
      <c r="F3779" s="13"/>
      <c r="G3779" s="13"/>
      <c r="H3779" s="13"/>
      <c r="I3779" s="15"/>
      <c r="J3779" s="15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</row>
    <row r="3780" ht="22.5" hidden="1" customHeight="1">
      <c r="A3780" s="6"/>
      <c r="B3780" s="20"/>
      <c r="C3780" s="36"/>
      <c r="D3780" s="13"/>
      <c r="E3780" s="13"/>
      <c r="F3780" s="13"/>
      <c r="G3780" s="13"/>
      <c r="H3780" s="13"/>
      <c r="I3780" s="15"/>
      <c r="J3780" s="15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</row>
    <row r="3781" ht="22.5" hidden="1" customHeight="1">
      <c r="A3781" s="6"/>
      <c r="B3781" s="20"/>
      <c r="C3781" s="36"/>
      <c r="D3781" s="13"/>
      <c r="E3781" s="13"/>
      <c r="F3781" s="13"/>
      <c r="G3781" s="13"/>
      <c r="H3781" s="13"/>
      <c r="I3781" s="15"/>
      <c r="J3781" s="15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</row>
    <row r="3782" ht="22.5" hidden="1" customHeight="1">
      <c r="A3782" s="6"/>
      <c r="B3782" s="20"/>
      <c r="C3782" s="36"/>
      <c r="D3782" s="13"/>
      <c r="E3782" s="13"/>
      <c r="F3782" s="13"/>
      <c r="G3782" s="13"/>
      <c r="H3782" s="13"/>
      <c r="I3782" s="15"/>
      <c r="J3782" s="15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</row>
    <row r="3783" ht="22.5" hidden="1" customHeight="1">
      <c r="A3783" s="6"/>
      <c r="B3783" s="20"/>
      <c r="C3783" s="36"/>
      <c r="D3783" s="13"/>
      <c r="E3783" s="13"/>
      <c r="F3783" s="13"/>
      <c r="G3783" s="13"/>
      <c r="H3783" s="13"/>
      <c r="I3783" s="15"/>
      <c r="J3783" s="15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</row>
    <row r="3784" ht="22.5" hidden="1" customHeight="1">
      <c r="A3784" s="6"/>
      <c r="B3784" s="20"/>
      <c r="C3784" s="36"/>
      <c r="D3784" s="13"/>
      <c r="E3784" s="13"/>
      <c r="F3784" s="13"/>
      <c r="G3784" s="13"/>
      <c r="H3784" s="13"/>
      <c r="I3784" s="15"/>
      <c r="J3784" s="15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</row>
    <row r="3785" ht="22.5" hidden="1" customHeight="1">
      <c r="A3785" s="6"/>
      <c r="B3785" s="20"/>
      <c r="C3785" s="36"/>
      <c r="D3785" s="13"/>
      <c r="E3785" s="13"/>
      <c r="F3785" s="13"/>
      <c r="G3785" s="13"/>
      <c r="H3785" s="13"/>
      <c r="I3785" s="15"/>
      <c r="J3785" s="15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</row>
    <row r="3786" ht="22.5" hidden="1" customHeight="1">
      <c r="A3786" s="6"/>
      <c r="B3786" s="20"/>
      <c r="C3786" s="36"/>
      <c r="D3786" s="13"/>
      <c r="E3786" s="13"/>
      <c r="F3786" s="13"/>
      <c r="G3786" s="13"/>
      <c r="H3786" s="13"/>
      <c r="I3786" s="15"/>
      <c r="J3786" s="15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</row>
    <row r="3787" ht="22.5" hidden="1" customHeight="1">
      <c r="A3787" s="6"/>
      <c r="B3787" s="20"/>
      <c r="C3787" s="36"/>
      <c r="D3787" s="13"/>
      <c r="E3787" s="13"/>
      <c r="F3787" s="13"/>
      <c r="G3787" s="13"/>
      <c r="H3787" s="13"/>
      <c r="I3787" s="15"/>
      <c r="J3787" s="15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</row>
    <row r="3788" ht="22.5" hidden="1" customHeight="1">
      <c r="A3788" s="6"/>
      <c r="B3788" s="20"/>
      <c r="C3788" s="36"/>
      <c r="D3788" s="13"/>
      <c r="E3788" s="13"/>
      <c r="F3788" s="13"/>
      <c r="G3788" s="13"/>
      <c r="H3788" s="13"/>
      <c r="I3788" s="15"/>
      <c r="J3788" s="15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</row>
    <row r="3789" ht="22.5" hidden="1" customHeight="1">
      <c r="A3789" s="6"/>
      <c r="B3789" s="20"/>
      <c r="C3789" s="36"/>
      <c r="D3789" s="13"/>
      <c r="E3789" s="13"/>
      <c r="F3789" s="13"/>
      <c r="G3789" s="13"/>
      <c r="H3789" s="13"/>
      <c r="I3789" s="15"/>
      <c r="J3789" s="15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</row>
    <row r="3790" ht="22.5" hidden="1" customHeight="1">
      <c r="A3790" s="6"/>
      <c r="B3790" s="20"/>
      <c r="C3790" s="36"/>
      <c r="D3790" s="13"/>
      <c r="E3790" s="13"/>
      <c r="F3790" s="13"/>
      <c r="G3790" s="13"/>
      <c r="H3790" s="13"/>
      <c r="I3790" s="15"/>
      <c r="J3790" s="15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</row>
    <row r="3791" ht="22.5" hidden="1" customHeight="1">
      <c r="A3791" s="6"/>
      <c r="B3791" s="20"/>
      <c r="C3791" s="36"/>
      <c r="D3791" s="13"/>
      <c r="E3791" s="13"/>
      <c r="F3791" s="13"/>
      <c r="G3791" s="13"/>
      <c r="H3791" s="13"/>
      <c r="I3791" s="15"/>
      <c r="J3791" s="15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</row>
    <row r="3792" ht="22.5" hidden="1" customHeight="1">
      <c r="A3792" s="6"/>
      <c r="B3792" s="20"/>
      <c r="C3792" s="36"/>
      <c r="D3792" s="13"/>
      <c r="E3792" s="13"/>
      <c r="F3792" s="13"/>
      <c r="G3792" s="13"/>
      <c r="H3792" s="13"/>
      <c r="I3792" s="15"/>
      <c r="J3792" s="15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</row>
    <row r="3793" ht="22.5" hidden="1" customHeight="1">
      <c r="A3793" s="6"/>
      <c r="B3793" s="20"/>
      <c r="C3793" s="36"/>
      <c r="D3793" s="13"/>
      <c r="E3793" s="13"/>
      <c r="F3793" s="13"/>
      <c r="G3793" s="13"/>
      <c r="H3793" s="13"/>
      <c r="I3793" s="15"/>
      <c r="J3793" s="15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</row>
    <row r="3794" ht="22.5" hidden="1" customHeight="1">
      <c r="A3794" s="6"/>
      <c r="B3794" s="20"/>
      <c r="C3794" s="36"/>
      <c r="D3794" s="13"/>
      <c r="E3794" s="13"/>
      <c r="F3794" s="13"/>
      <c r="G3794" s="13"/>
      <c r="H3794" s="13"/>
      <c r="I3794" s="15"/>
      <c r="J3794" s="15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</row>
    <row r="3795" ht="22.5" hidden="1" customHeight="1">
      <c r="A3795" s="6"/>
      <c r="B3795" s="20"/>
      <c r="C3795" s="36"/>
      <c r="D3795" s="13"/>
      <c r="E3795" s="13"/>
      <c r="F3795" s="13"/>
      <c r="G3795" s="13"/>
      <c r="H3795" s="13"/>
      <c r="I3795" s="15"/>
      <c r="J3795" s="15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</row>
    <row r="3796" ht="22.5" hidden="1" customHeight="1">
      <c r="A3796" s="6"/>
      <c r="B3796" s="20"/>
      <c r="C3796" s="36"/>
      <c r="D3796" s="13"/>
      <c r="E3796" s="13"/>
      <c r="F3796" s="13"/>
      <c r="G3796" s="13"/>
      <c r="H3796" s="13"/>
      <c r="I3796" s="15"/>
      <c r="J3796" s="15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</row>
    <row r="3797" ht="22.5" hidden="1" customHeight="1">
      <c r="A3797" s="6"/>
      <c r="B3797" s="20"/>
      <c r="C3797" s="36"/>
      <c r="D3797" s="13"/>
      <c r="E3797" s="13"/>
      <c r="F3797" s="13"/>
      <c r="G3797" s="13"/>
      <c r="H3797" s="13"/>
      <c r="I3797" s="15"/>
      <c r="J3797" s="15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</row>
    <row r="3798" ht="22.5" hidden="1" customHeight="1">
      <c r="A3798" s="6"/>
      <c r="B3798" s="20"/>
      <c r="C3798" s="36"/>
      <c r="D3798" s="13"/>
      <c r="E3798" s="13"/>
      <c r="F3798" s="13"/>
      <c r="G3798" s="13"/>
      <c r="H3798" s="13"/>
      <c r="I3798" s="15"/>
      <c r="J3798" s="15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</row>
    <row r="3799" ht="22.5" hidden="1" customHeight="1">
      <c r="A3799" s="6"/>
      <c r="B3799" s="20"/>
      <c r="C3799" s="36"/>
      <c r="D3799" s="13"/>
      <c r="E3799" s="13"/>
      <c r="F3799" s="13"/>
      <c r="G3799" s="13"/>
      <c r="H3799" s="13"/>
      <c r="I3799" s="15"/>
      <c r="J3799" s="15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</row>
    <row r="3800" ht="22.5" hidden="1" customHeight="1">
      <c r="A3800" s="6"/>
      <c r="B3800" s="20"/>
      <c r="C3800" s="36"/>
      <c r="D3800" s="13"/>
      <c r="E3800" s="13"/>
      <c r="F3800" s="13"/>
      <c r="G3800" s="13"/>
      <c r="H3800" s="13"/>
      <c r="I3800" s="15"/>
      <c r="J3800" s="15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</row>
    <row r="3801" ht="22.5" hidden="1" customHeight="1">
      <c r="A3801" s="6"/>
      <c r="B3801" s="20"/>
      <c r="C3801" s="36"/>
      <c r="D3801" s="13"/>
      <c r="E3801" s="13"/>
      <c r="F3801" s="13"/>
      <c r="G3801" s="13"/>
      <c r="H3801" s="13"/>
      <c r="I3801" s="15"/>
      <c r="J3801" s="15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</row>
    <row r="3802" ht="22.5" hidden="1" customHeight="1">
      <c r="A3802" s="6"/>
      <c r="B3802" s="20"/>
      <c r="C3802" s="36"/>
      <c r="D3802" s="13"/>
      <c r="E3802" s="13"/>
      <c r="F3802" s="13"/>
      <c r="G3802" s="13"/>
      <c r="H3802" s="13"/>
      <c r="I3802" s="15"/>
      <c r="J3802" s="15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</row>
    <row r="3803" ht="22.5" hidden="1" customHeight="1">
      <c r="A3803" s="6"/>
      <c r="B3803" s="20"/>
      <c r="C3803" s="36"/>
      <c r="D3803" s="13"/>
      <c r="E3803" s="13"/>
      <c r="F3803" s="13"/>
      <c r="G3803" s="13"/>
      <c r="H3803" s="13"/>
      <c r="I3803" s="15"/>
      <c r="J3803" s="15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</row>
    <row r="3804" ht="22.5" hidden="1" customHeight="1">
      <c r="A3804" s="6"/>
      <c r="B3804" s="20"/>
      <c r="C3804" s="36"/>
      <c r="D3804" s="13"/>
      <c r="E3804" s="13"/>
      <c r="F3804" s="13"/>
      <c r="G3804" s="13"/>
      <c r="H3804" s="13"/>
      <c r="I3804" s="15"/>
      <c r="J3804" s="15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</row>
    <row r="3805" ht="22.5" hidden="1" customHeight="1">
      <c r="A3805" s="6"/>
      <c r="B3805" s="20"/>
      <c r="C3805" s="36"/>
      <c r="D3805" s="13"/>
      <c r="E3805" s="13"/>
      <c r="F3805" s="13"/>
      <c r="G3805" s="13"/>
      <c r="H3805" s="13"/>
      <c r="I3805" s="15"/>
      <c r="J3805" s="15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</row>
    <row r="3806" ht="22.5" hidden="1" customHeight="1">
      <c r="A3806" s="6"/>
      <c r="B3806" s="20"/>
      <c r="C3806" s="36"/>
      <c r="D3806" s="13"/>
      <c r="E3806" s="13"/>
      <c r="F3806" s="13"/>
      <c r="G3806" s="13"/>
      <c r="H3806" s="13"/>
      <c r="I3806" s="15"/>
      <c r="J3806" s="15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</row>
    <row r="3807" ht="22.5" hidden="1" customHeight="1">
      <c r="A3807" s="6"/>
      <c r="B3807" s="20"/>
      <c r="C3807" s="36"/>
      <c r="D3807" s="13"/>
      <c r="E3807" s="13"/>
      <c r="F3807" s="13"/>
      <c r="G3807" s="13"/>
      <c r="H3807" s="13"/>
      <c r="I3807" s="15"/>
      <c r="J3807" s="15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</row>
    <row r="3808" ht="22.5" hidden="1" customHeight="1">
      <c r="A3808" s="6"/>
      <c r="B3808" s="20"/>
      <c r="C3808" s="36"/>
      <c r="D3808" s="13"/>
      <c r="E3808" s="13"/>
      <c r="F3808" s="13"/>
      <c r="G3808" s="13"/>
      <c r="H3808" s="13"/>
      <c r="I3808" s="15"/>
      <c r="J3808" s="15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</row>
    <row r="3809" ht="22.5" hidden="1" customHeight="1">
      <c r="A3809" s="6"/>
      <c r="B3809" s="20"/>
      <c r="C3809" s="36"/>
      <c r="D3809" s="13"/>
      <c r="E3809" s="13"/>
      <c r="F3809" s="13"/>
      <c r="G3809" s="13"/>
      <c r="H3809" s="13"/>
      <c r="I3809" s="15"/>
      <c r="J3809" s="15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</row>
    <row r="3810" ht="22.5" hidden="1" customHeight="1">
      <c r="A3810" s="6"/>
      <c r="B3810" s="20"/>
      <c r="C3810" s="36"/>
      <c r="D3810" s="13"/>
      <c r="E3810" s="13"/>
      <c r="F3810" s="13"/>
      <c r="G3810" s="13"/>
      <c r="H3810" s="13"/>
      <c r="I3810" s="15"/>
      <c r="J3810" s="15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</row>
    <row r="3811" ht="22.5" hidden="1" customHeight="1">
      <c r="A3811" s="6"/>
      <c r="B3811" s="20"/>
      <c r="C3811" s="36"/>
      <c r="D3811" s="13"/>
      <c r="E3811" s="13"/>
      <c r="F3811" s="13"/>
      <c r="G3811" s="13"/>
      <c r="H3811" s="13"/>
      <c r="I3811" s="15"/>
      <c r="J3811" s="15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</row>
    <row r="3812" ht="22.5" hidden="1" customHeight="1">
      <c r="A3812" s="6"/>
      <c r="B3812" s="20"/>
      <c r="C3812" s="36"/>
      <c r="D3812" s="13"/>
      <c r="E3812" s="13"/>
      <c r="F3812" s="13"/>
      <c r="G3812" s="13"/>
      <c r="H3812" s="13"/>
      <c r="I3812" s="15"/>
      <c r="J3812" s="15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</row>
    <row r="3813" ht="22.5" hidden="1" customHeight="1">
      <c r="A3813" s="6"/>
      <c r="B3813" s="20"/>
      <c r="C3813" s="36"/>
      <c r="D3813" s="13"/>
      <c r="E3813" s="13"/>
      <c r="F3813" s="13"/>
      <c r="G3813" s="13"/>
      <c r="H3813" s="13"/>
      <c r="I3813" s="15"/>
      <c r="J3813" s="15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</row>
    <row r="3814" ht="22.5" hidden="1" customHeight="1">
      <c r="A3814" s="6"/>
      <c r="B3814" s="20"/>
      <c r="C3814" s="36"/>
      <c r="D3814" s="13"/>
      <c r="E3814" s="13"/>
      <c r="F3814" s="13"/>
      <c r="G3814" s="13"/>
      <c r="H3814" s="13"/>
      <c r="I3814" s="15"/>
      <c r="J3814" s="15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</row>
    <row r="3815" ht="22.5" hidden="1" customHeight="1">
      <c r="A3815" s="6"/>
      <c r="B3815" s="20"/>
      <c r="C3815" s="36"/>
      <c r="D3815" s="13"/>
      <c r="E3815" s="13"/>
      <c r="F3815" s="13"/>
      <c r="G3815" s="13"/>
      <c r="H3815" s="13"/>
      <c r="I3815" s="15"/>
      <c r="J3815" s="15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</row>
    <row r="3816" ht="22.5" hidden="1" customHeight="1">
      <c r="A3816" s="6"/>
      <c r="B3816" s="20"/>
      <c r="C3816" s="36"/>
      <c r="D3816" s="13"/>
      <c r="E3816" s="13"/>
      <c r="F3816" s="13"/>
      <c r="G3816" s="13"/>
      <c r="H3816" s="13"/>
      <c r="I3816" s="15"/>
      <c r="J3816" s="15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</row>
    <row r="3817" ht="22.5" hidden="1" customHeight="1">
      <c r="A3817" s="6"/>
      <c r="B3817" s="20"/>
      <c r="C3817" s="36"/>
      <c r="D3817" s="13"/>
      <c r="E3817" s="13"/>
      <c r="F3817" s="13"/>
      <c r="G3817" s="13"/>
      <c r="H3817" s="13"/>
      <c r="I3817" s="15"/>
      <c r="J3817" s="15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</row>
    <row r="3818" ht="22.5" hidden="1" customHeight="1">
      <c r="A3818" s="6"/>
      <c r="B3818" s="20"/>
      <c r="C3818" s="36"/>
      <c r="D3818" s="13"/>
      <c r="E3818" s="13"/>
      <c r="F3818" s="13"/>
      <c r="G3818" s="13"/>
      <c r="H3818" s="13"/>
      <c r="I3818" s="15"/>
      <c r="J3818" s="15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</row>
    <row r="3819" ht="22.5" hidden="1" customHeight="1">
      <c r="A3819" s="6"/>
      <c r="B3819" s="20"/>
      <c r="C3819" s="36"/>
      <c r="D3819" s="13"/>
      <c r="E3819" s="13"/>
      <c r="F3819" s="13"/>
      <c r="G3819" s="13"/>
      <c r="H3819" s="13"/>
      <c r="I3819" s="15"/>
      <c r="J3819" s="15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</row>
    <row r="3820" ht="22.5" hidden="1" customHeight="1">
      <c r="A3820" s="6"/>
      <c r="B3820" s="20"/>
      <c r="C3820" s="36"/>
      <c r="D3820" s="13"/>
      <c r="E3820" s="13"/>
      <c r="F3820" s="13"/>
      <c r="G3820" s="13"/>
      <c r="H3820" s="13"/>
      <c r="I3820" s="15"/>
      <c r="J3820" s="15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</row>
    <row r="3821" ht="22.5" hidden="1" customHeight="1">
      <c r="A3821" s="6"/>
      <c r="B3821" s="20"/>
      <c r="C3821" s="36"/>
      <c r="D3821" s="13"/>
      <c r="E3821" s="13"/>
      <c r="F3821" s="13"/>
      <c r="G3821" s="13"/>
      <c r="H3821" s="13"/>
      <c r="I3821" s="15"/>
      <c r="J3821" s="15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</row>
    <row r="3822" ht="22.5" hidden="1" customHeight="1">
      <c r="A3822" s="6"/>
      <c r="B3822" s="20"/>
      <c r="C3822" s="36"/>
      <c r="D3822" s="13"/>
      <c r="E3822" s="13"/>
      <c r="F3822" s="13"/>
      <c r="G3822" s="13"/>
      <c r="H3822" s="13"/>
      <c r="I3822" s="15"/>
      <c r="J3822" s="15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</row>
    <row r="3823" ht="22.5" hidden="1" customHeight="1">
      <c r="A3823" s="6"/>
      <c r="B3823" s="20"/>
      <c r="C3823" s="36"/>
      <c r="D3823" s="13"/>
      <c r="E3823" s="13"/>
      <c r="F3823" s="13"/>
      <c r="G3823" s="13"/>
      <c r="H3823" s="13"/>
      <c r="I3823" s="15"/>
      <c r="J3823" s="15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</row>
    <row r="3824" ht="22.5" hidden="1" customHeight="1">
      <c r="A3824" s="6"/>
      <c r="B3824" s="20"/>
      <c r="C3824" s="36"/>
      <c r="D3824" s="13"/>
      <c r="E3824" s="13"/>
      <c r="F3824" s="13"/>
      <c r="G3824" s="13"/>
      <c r="H3824" s="13"/>
      <c r="I3824" s="15"/>
      <c r="J3824" s="15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</row>
    <row r="3825" ht="22.5" hidden="1" customHeight="1">
      <c r="A3825" s="6"/>
      <c r="B3825" s="20"/>
      <c r="C3825" s="36"/>
      <c r="D3825" s="13"/>
      <c r="E3825" s="13"/>
      <c r="F3825" s="13"/>
      <c r="G3825" s="13"/>
      <c r="H3825" s="13"/>
      <c r="I3825" s="15"/>
      <c r="J3825" s="15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</row>
    <row r="3826" ht="22.5" hidden="1" customHeight="1">
      <c r="A3826" s="6"/>
      <c r="B3826" s="20"/>
      <c r="C3826" s="36"/>
      <c r="D3826" s="13"/>
      <c r="E3826" s="13"/>
      <c r="F3826" s="13"/>
      <c r="G3826" s="13"/>
      <c r="H3826" s="13"/>
      <c r="I3826" s="15"/>
      <c r="J3826" s="15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</row>
    <row r="3827" ht="22.5" hidden="1" customHeight="1">
      <c r="A3827" s="6"/>
      <c r="B3827" s="20"/>
      <c r="C3827" s="36"/>
      <c r="D3827" s="13"/>
      <c r="E3827" s="13"/>
      <c r="F3827" s="13"/>
      <c r="G3827" s="13"/>
      <c r="H3827" s="13"/>
      <c r="I3827" s="15"/>
      <c r="J3827" s="15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</row>
    <row r="3828" ht="22.5" hidden="1" customHeight="1">
      <c r="A3828" s="6"/>
      <c r="B3828" s="20"/>
      <c r="C3828" s="36"/>
      <c r="D3828" s="13"/>
      <c r="E3828" s="13"/>
      <c r="F3828" s="13"/>
      <c r="G3828" s="13"/>
      <c r="H3828" s="13"/>
      <c r="I3828" s="15"/>
      <c r="J3828" s="15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</row>
    <row r="3829" ht="22.5" hidden="1" customHeight="1">
      <c r="A3829" s="6"/>
      <c r="B3829" s="20"/>
      <c r="C3829" s="36"/>
      <c r="D3829" s="13"/>
      <c r="E3829" s="13"/>
      <c r="F3829" s="13"/>
      <c r="G3829" s="13"/>
      <c r="H3829" s="13"/>
      <c r="I3829" s="15"/>
      <c r="J3829" s="15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</row>
    <row r="3830" ht="22.5" hidden="1" customHeight="1">
      <c r="A3830" s="6"/>
      <c r="B3830" s="20"/>
      <c r="C3830" s="36"/>
      <c r="D3830" s="13"/>
      <c r="E3830" s="13"/>
      <c r="F3830" s="13"/>
      <c r="G3830" s="13"/>
      <c r="H3830" s="13"/>
      <c r="I3830" s="15"/>
      <c r="J3830" s="15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</row>
    <row r="3831" ht="22.5" hidden="1" customHeight="1">
      <c r="A3831" s="6"/>
      <c r="B3831" s="20"/>
      <c r="C3831" s="36"/>
      <c r="D3831" s="13"/>
      <c r="E3831" s="13"/>
      <c r="F3831" s="13"/>
      <c r="G3831" s="13"/>
      <c r="H3831" s="13"/>
      <c r="I3831" s="15"/>
      <c r="J3831" s="15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</row>
    <row r="3832" ht="22.5" hidden="1" customHeight="1">
      <c r="A3832" s="6"/>
      <c r="B3832" s="20"/>
      <c r="C3832" s="36"/>
      <c r="D3832" s="13"/>
      <c r="E3832" s="13"/>
      <c r="F3832" s="13"/>
      <c r="G3832" s="13"/>
      <c r="H3832" s="13"/>
      <c r="I3832" s="15"/>
      <c r="J3832" s="15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</row>
    <row r="3833" ht="22.5" hidden="1" customHeight="1">
      <c r="A3833" s="6"/>
      <c r="B3833" s="20"/>
      <c r="C3833" s="36"/>
      <c r="D3833" s="13"/>
      <c r="E3833" s="13"/>
      <c r="F3833" s="13"/>
      <c r="G3833" s="13"/>
      <c r="H3833" s="13"/>
      <c r="I3833" s="15"/>
      <c r="J3833" s="15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</row>
    <row r="3834" ht="22.5" hidden="1" customHeight="1">
      <c r="A3834" s="6"/>
      <c r="B3834" s="20"/>
      <c r="C3834" s="36"/>
      <c r="D3834" s="13"/>
      <c r="E3834" s="13"/>
      <c r="F3834" s="13"/>
      <c r="G3834" s="13"/>
      <c r="H3834" s="13"/>
      <c r="I3834" s="15"/>
      <c r="J3834" s="15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</row>
    <row r="3835" ht="22.5" hidden="1" customHeight="1">
      <c r="A3835" s="6"/>
      <c r="B3835" s="20"/>
      <c r="C3835" s="36"/>
      <c r="D3835" s="13"/>
      <c r="E3835" s="13"/>
      <c r="F3835" s="13"/>
      <c r="G3835" s="13"/>
      <c r="H3835" s="13"/>
      <c r="I3835" s="15"/>
      <c r="J3835" s="15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</row>
    <row r="3836" ht="22.5" hidden="1" customHeight="1">
      <c r="A3836" s="6"/>
      <c r="B3836" s="20"/>
      <c r="C3836" s="36"/>
      <c r="D3836" s="13"/>
      <c r="E3836" s="13"/>
      <c r="F3836" s="13"/>
      <c r="G3836" s="13"/>
      <c r="H3836" s="13"/>
      <c r="I3836" s="15"/>
      <c r="J3836" s="15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</row>
    <row r="3837" ht="22.5" hidden="1" customHeight="1">
      <c r="A3837" s="6"/>
      <c r="B3837" s="20"/>
      <c r="C3837" s="36"/>
      <c r="D3837" s="13"/>
      <c r="E3837" s="13"/>
      <c r="F3837" s="13"/>
      <c r="G3837" s="13"/>
      <c r="H3837" s="13"/>
      <c r="I3837" s="15"/>
      <c r="J3837" s="15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</row>
    <row r="3838" ht="22.5" hidden="1" customHeight="1">
      <c r="A3838" s="6"/>
      <c r="B3838" s="20"/>
      <c r="C3838" s="36"/>
      <c r="D3838" s="13"/>
      <c r="E3838" s="13"/>
      <c r="F3838" s="13"/>
      <c r="G3838" s="13"/>
      <c r="H3838" s="13"/>
      <c r="I3838" s="15"/>
      <c r="J3838" s="15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</row>
    <row r="3839" ht="22.5" hidden="1" customHeight="1">
      <c r="A3839" s="6"/>
      <c r="B3839" s="20"/>
      <c r="C3839" s="36"/>
      <c r="D3839" s="13"/>
      <c r="E3839" s="13"/>
      <c r="F3839" s="13"/>
      <c r="G3839" s="13"/>
      <c r="H3839" s="13"/>
      <c r="I3839" s="15"/>
      <c r="J3839" s="15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</row>
    <row r="3840" ht="22.5" hidden="1" customHeight="1">
      <c r="A3840" s="6"/>
      <c r="B3840" s="20"/>
      <c r="C3840" s="36"/>
      <c r="D3840" s="13"/>
      <c r="E3840" s="13"/>
      <c r="F3840" s="13"/>
      <c r="G3840" s="13"/>
      <c r="H3840" s="13"/>
      <c r="I3840" s="15"/>
      <c r="J3840" s="15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</row>
    <row r="3841" ht="22.5" hidden="1" customHeight="1">
      <c r="A3841" s="6"/>
      <c r="B3841" s="20"/>
      <c r="C3841" s="36"/>
      <c r="D3841" s="13"/>
      <c r="E3841" s="13"/>
      <c r="F3841" s="13"/>
      <c r="G3841" s="13"/>
      <c r="H3841" s="13"/>
      <c r="I3841" s="15"/>
      <c r="J3841" s="15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</row>
    <row r="3842" ht="22.5" hidden="1" customHeight="1">
      <c r="A3842" s="6"/>
      <c r="B3842" s="20"/>
      <c r="C3842" s="36"/>
      <c r="D3842" s="13"/>
      <c r="E3842" s="13"/>
      <c r="F3842" s="13"/>
      <c r="G3842" s="13"/>
      <c r="H3842" s="13"/>
      <c r="I3842" s="15"/>
      <c r="J3842" s="15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</row>
    <row r="3843" ht="22.5" hidden="1" customHeight="1">
      <c r="A3843" s="6"/>
      <c r="B3843" s="20"/>
      <c r="C3843" s="36"/>
      <c r="D3843" s="13"/>
      <c r="E3843" s="13"/>
      <c r="F3843" s="13"/>
      <c r="G3843" s="13"/>
      <c r="H3843" s="13"/>
      <c r="I3843" s="15"/>
      <c r="J3843" s="15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</row>
    <row r="3844" ht="22.5" hidden="1" customHeight="1">
      <c r="A3844" s="6"/>
      <c r="B3844" s="20"/>
      <c r="C3844" s="36"/>
      <c r="D3844" s="13"/>
      <c r="E3844" s="13"/>
      <c r="F3844" s="13"/>
      <c r="G3844" s="13"/>
      <c r="H3844" s="13"/>
      <c r="I3844" s="15"/>
      <c r="J3844" s="15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</row>
    <row r="3845" ht="22.5" hidden="1" customHeight="1">
      <c r="A3845" s="6"/>
      <c r="B3845" s="20"/>
      <c r="C3845" s="36"/>
      <c r="D3845" s="13"/>
      <c r="E3845" s="13"/>
      <c r="F3845" s="13"/>
      <c r="G3845" s="13"/>
      <c r="H3845" s="13"/>
      <c r="I3845" s="15"/>
      <c r="J3845" s="15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</row>
    <row r="3846" ht="22.5" hidden="1" customHeight="1">
      <c r="A3846" s="6"/>
      <c r="B3846" s="20"/>
      <c r="C3846" s="36"/>
      <c r="D3846" s="13"/>
      <c r="E3846" s="13"/>
      <c r="F3846" s="13"/>
      <c r="G3846" s="13"/>
      <c r="H3846" s="13"/>
      <c r="I3846" s="15"/>
      <c r="J3846" s="15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</row>
    <row r="3847" ht="22.5" hidden="1" customHeight="1">
      <c r="A3847" s="6"/>
      <c r="B3847" s="20"/>
      <c r="C3847" s="36"/>
      <c r="D3847" s="13"/>
      <c r="E3847" s="13"/>
      <c r="F3847" s="13"/>
      <c r="G3847" s="13"/>
      <c r="H3847" s="13"/>
      <c r="I3847" s="15"/>
      <c r="J3847" s="15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</row>
    <row r="3848" ht="22.5" hidden="1" customHeight="1">
      <c r="A3848" s="6"/>
      <c r="B3848" s="20"/>
      <c r="C3848" s="36"/>
      <c r="D3848" s="13"/>
      <c r="E3848" s="13"/>
      <c r="F3848" s="13"/>
      <c r="G3848" s="13"/>
      <c r="H3848" s="13"/>
      <c r="I3848" s="15"/>
      <c r="J3848" s="15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</row>
    <row r="3849" ht="22.5" hidden="1" customHeight="1">
      <c r="A3849" s="6"/>
      <c r="B3849" s="20"/>
      <c r="C3849" s="36"/>
      <c r="D3849" s="13"/>
      <c r="E3849" s="13"/>
      <c r="F3849" s="13"/>
      <c r="G3849" s="13"/>
      <c r="H3849" s="13"/>
      <c r="I3849" s="15"/>
      <c r="J3849" s="15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</row>
    <row r="3850" ht="22.5" hidden="1" customHeight="1">
      <c r="A3850" s="6"/>
      <c r="B3850" s="20"/>
      <c r="C3850" s="36"/>
      <c r="D3850" s="13"/>
      <c r="E3850" s="13"/>
      <c r="F3850" s="13"/>
      <c r="G3850" s="13"/>
      <c r="H3850" s="13"/>
      <c r="I3850" s="15"/>
      <c r="J3850" s="15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</row>
    <row r="3851" ht="22.5" hidden="1" customHeight="1">
      <c r="A3851" s="6"/>
      <c r="B3851" s="20"/>
      <c r="C3851" s="36"/>
      <c r="D3851" s="13"/>
      <c r="E3851" s="13"/>
      <c r="F3851" s="13"/>
      <c r="G3851" s="13"/>
      <c r="H3851" s="13"/>
      <c r="I3851" s="15"/>
      <c r="J3851" s="15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</row>
    <row r="3852" ht="22.5" hidden="1" customHeight="1">
      <c r="A3852" s="6"/>
      <c r="B3852" s="20"/>
      <c r="C3852" s="36"/>
      <c r="D3852" s="13"/>
      <c r="E3852" s="13"/>
      <c r="F3852" s="13"/>
      <c r="G3852" s="13"/>
      <c r="H3852" s="13"/>
      <c r="I3852" s="15"/>
      <c r="J3852" s="15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</row>
    <row r="3853" ht="22.5" hidden="1" customHeight="1">
      <c r="A3853" s="6"/>
      <c r="B3853" s="20"/>
      <c r="C3853" s="36"/>
      <c r="D3853" s="13"/>
      <c r="E3853" s="13"/>
      <c r="F3853" s="13"/>
      <c r="G3853" s="13"/>
      <c r="H3853" s="13"/>
      <c r="I3853" s="15"/>
      <c r="J3853" s="15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</row>
    <row r="3854" ht="22.5" hidden="1" customHeight="1">
      <c r="A3854" s="6"/>
      <c r="B3854" s="20"/>
      <c r="C3854" s="36"/>
      <c r="D3854" s="13"/>
      <c r="E3854" s="13"/>
      <c r="F3854" s="13"/>
      <c r="G3854" s="13"/>
      <c r="H3854" s="13"/>
      <c r="I3854" s="15"/>
      <c r="J3854" s="15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</row>
    <row r="3855" ht="22.5" hidden="1" customHeight="1">
      <c r="A3855" s="6"/>
      <c r="B3855" s="20"/>
      <c r="C3855" s="36"/>
      <c r="D3855" s="13"/>
      <c r="E3855" s="13"/>
      <c r="F3855" s="13"/>
      <c r="G3855" s="13"/>
      <c r="H3855" s="13"/>
      <c r="I3855" s="15"/>
      <c r="J3855" s="15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</row>
    <row r="3856" ht="22.5" hidden="1" customHeight="1">
      <c r="A3856" s="6"/>
      <c r="B3856" s="20"/>
      <c r="C3856" s="36"/>
      <c r="D3856" s="13"/>
      <c r="E3856" s="13"/>
      <c r="F3856" s="13"/>
      <c r="G3856" s="13"/>
      <c r="H3856" s="13"/>
      <c r="I3856" s="15"/>
      <c r="J3856" s="15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</row>
    <row r="3857" ht="22.5" hidden="1" customHeight="1">
      <c r="A3857" s="6"/>
      <c r="B3857" s="20"/>
      <c r="C3857" s="36"/>
      <c r="D3857" s="13"/>
      <c r="E3857" s="13"/>
      <c r="F3857" s="13"/>
      <c r="G3857" s="13"/>
      <c r="H3857" s="13"/>
      <c r="I3857" s="15"/>
      <c r="J3857" s="15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</row>
    <row r="3858" ht="22.5" hidden="1" customHeight="1">
      <c r="A3858" s="6"/>
      <c r="B3858" s="20"/>
      <c r="C3858" s="36"/>
      <c r="D3858" s="13"/>
      <c r="E3858" s="13"/>
      <c r="F3858" s="13"/>
      <c r="G3858" s="13"/>
      <c r="H3858" s="13"/>
      <c r="I3858" s="15"/>
      <c r="J3858" s="15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</row>
    <row r="3859" ht="22.5" hidden="1" customHeight="1">
      <c r="A3859" s="6"/>
      <c r="B3859" s="20"/>
      <c r="C3859" s="36"/>
      <c r="D3859" s="13"/>
      <c r="E3859" s="13"/>
      <c r="F3859" s="13"/>
      <c r="G3859" s="13"/>
      <c r="H3859" s="13"/>
      <c r="I3859" s="15"/>
      <c r="J3859" s="15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</row>
    <row r="3860" ht="22.5" hidden="1" customHeight="1">
      <c r="A3860" s="6"/>
      <c r="B3860" s="20"/>
      <c r="C3860" s="36"/>
      <c r="D3860" s="13"/>
      <c r="E3860" s="13"/>
      <c r="F3860" s="13"/>
      <c r="G3860" s="13"/>
      <c r="H3860" s="13"/>
      <c r="I3860" s="15"/>
      <c r="J3860" s="15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</row>
    <row r="3861" ht="22.5" hidden="1" customHeight="1">
      <c r="A3861" s="6"/>
      <c r="B3861" s="20"/>
      <c r="C3861" s="36"/>
      <c r="D3861" s="13"/>
      <c r="E3861" s="13"/>
      <c r="F3861" s="13"/>
      <c r="G3861" s="13"/>
      <c r="H3861" s="13"/>
      <c r="I3861" s="15"/>
      <c r="J3861" s="15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</row>
    <row r="3862" ht="22.5" hidden="1" customHeight="1">
      <c r="A3862" s="6"/>
      <c r="B3862" s="20"/>
      <c r="C3862" s="36"/>
      <c r="D3862" s="13"/>
      <c r="E3862" s="13"/>
      <c r="F3862" s="13"/>
      <c r="G3862" s="13"/>
      <c r="H3862" s="13"/>
      <c r="I3862" s="15"/>
      <c r="J3862" s="15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</row>
    <row r="3863" ht="22.5" hidden="1" customHeight="1">
      <c r="A3863" s="6"/>
      <c r="B3863" s="20"/>
      <c r="C3863" s="36"/>
      <c r="D3863" s="13"/>
      <c r="E3863" s="13"/>
      <c r="F3863" s="13"/>
      <c r="G3863" s="13"/>
      <c r="H3863" s="13"/>
      <c r="I3863" s="15"/>
      <c r="J3863" s="15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</row>
    <row r="3864" ht="22.5" hidden="1" customHeight="1">
      <c r="A3864" s="6"/>
      <c r="B3864" s="20"/>
      <c r="C3864" s="36"/>
      <c r="D3864" s="13"/>
      <c r="E3864" s="13"/>
      <c r="F3864" s="13"/>
      <c r="G3864" s="13"/>
      <c r="H3864" s="13"/>
      <c r="I3864" s="15"/>
      <c r="J3864" s="15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</row>
    <row r="3865" ht="22.5" hidden="1" customHeight="1">
      <c r="A3865" s="6"/>
      <c r="B3865" s="20"/>
      <c r="C3865" s="36"/>
      <c r="D3865" s="13"/>
      <c r="E3865" s="13"/>
      <c r="F3865" s="13"/>
      <c r="G3865" s="13"/>
      <c r="H3865" s="13"/>
      <c r="I3865" s="15"/>
      <c r="J3865" s="15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</row>
    <row r="3866" ht="22.5" hidden="1" customHeight="1">
      <c r="A3866" s="6"/>
      <c r="B3866" s="20"/>
      <c r="C3866" s="36"/>
      <c r="D3866" s="13"/>
      <c r="E3866" s="13"/>
      <c r="F3866" s="13"/>
      <c r="G3866" s="13"/>
      <c r="H3866" s="13"/>
      <c r="I3866" s="15"/>
      <c r="J3866" s="15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</row>
    <row r="3867" ht="22.5" hidden="1" customHeight="1">
      <c r="A3867" s="6"/>
      <c r="B3867" s="20"/>
      <c r="C3867" s="36"/>
      <c r="D3867" s="13"/>
      <c r="E3867" s="13"/>
      <c r="F3867" s="13"/>
      <c r="G3867" s="13"/>
      <c r="H3867" s="13"/>
      <c r="I3867" s="15"/>
      <c r="J3867" s="15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</row>
    <row r="3868" ht="22.5" hidden="1" customHeight="1">
      <c r="A3868" s="6"/>
      <c r="B3868" s="20"/>
      <c r="C3868" s="36"/>
      <c r="D3868" s="13"/>
      <c r="E3868" s="13"/>
      <c r="F3868" s="13"/>
      <c r="G3868" s="13"/>
      <c r="H3868" s="13"/>
      <c r="I3868" s="15"/>
      <c r="J3868" s="15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</row>
    <row r="3869" ht="22.5" hidden="1" customHeight="1">
      <c r="A3869" s="6"/>
      <c r="B3869" s="20"/>
      <c r="C3869" s="36"/>
      <c r="D3869" s="13"/>
      <c r="E3869" s="13"/>
      <c r="F3869" s="13"/>
      <c r="G3869" s="13"/>
      <c r="H3869" s="13"/>
      <c r="I3869" s="15"/>
      <c r="J3869" s="15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</row>
    <row r="3870" ht="22.5" hidden="1" customHeight="1">
      <c r="A3870" s="6"/>
      <c r="B3870" s="20"/>
      <c r="C3870" s="36"/>
      <c r="D3870" s="13"/>
      <c r="E3870" s="13"/>
      <c r="F3870" s="13"/>
      <c r="G3870" s="13"/>
      <c r="H3870" s="13"/>
      <c r="I3870" s="15"/>
      <c r="J3870" s="15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</row>
    <row r="3871" ht="22.5" hidden="1" customHeight="1">
      <c r="A3871" s="6"/>
      <c r="B3871" s="20"/>
      <c r="C3871" s="36"/>
      <c r="D3871" s="13"/>
      <c r="E3871" s="13"/>
      <c r="F3871" s="13"/>
      <c r="G3871" s="13"/>
      <c r="H3871" s="13"/>
      <c r="I3871" s="15"/>
      <c r="J3871" s="15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</row>
    <row r="3872" ht="22.5" hidden="1" customHeight="1">
      <c r="A3872" s="6"/>
      <c r="B3872" s="20"/>
      <c r="C3872" s="36"/>
      <c r="D3872" s="13"/>
      <c r="E3872" s="13"/>
      <c r="F3872" s="13"/>
      <c r="G3872" s="13"/>
      <c r="H3872" s="13"/>
      <c r="I3872" s="15"/>
      <c r="J3872" s="15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</row>
    <row r="3873" ht="22.5" hidden="1" customHeight="1">
      <c r="A3873" s="6"/>
      <c r="B3873" s="20"/>
      <c r="C3873" s="36"/>
      <c r="D3873" s="13"/>
      <c r="E3873" s="13"/>
      <c r="F3873" s="13"/>
      <c r="G3873" s="13"/>
      <c r="H3873" s="13"/>
      <c r="I3873" s="15"/>
      <c r="J3873" s="15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</row>
    <row r="3874" ht="22.5" hidden="1" customHeight="1">
      <c r="A3874" s="6"/>
      <c r="B3874" s="20"/>
      <c r="C3874" s="36"/>
      <c r="D3874" s="13"/>
      <c r="E3874" s="13"/>
      <c r="F3874" s="13"/>
      <c r="G3874" s="13"/>
      <c r="H3874" s="13"/>
      <c r="I3874" s="15"/>
      <c r="J3874" s="15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</row>
    <row r="3875" ht="22.5" hidden="1" customHeight="1">
      <c r="A3875" s="6"/>
      <c r="B3875" s="20"/>
      <c r="C3875" s="36"/>
      <c r="D3875" s="13"/>
      <c r="E3875" s="13"/>
      <c r="F3875" s="13"/>
      <c r="G3875" s="13"/>
      <c r="H3875" s="13"/>
      <c r="I3875" s="15"/>
      <c r="J3875" s="15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</row>
    <row r="3876" ht="22.5" hidden="1" customHeight="1">
      <c r="A3876" s="6"/>
      <c r="B3876" s="20"/>
      <c r="C3876" s="36"/>
      <c r="D3876" s="13"/>
      <c r="E3876" s="13"/>
      <c r="F3876" s="13"/>
      <c r="G3876" s="13"/>
      <c r="H3876" s="13"/>
      <c r="I3876" s="15"/>
      <c r="J3876" s="15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</row>
    <row r="3877" ht="22.5" hidden="1" customHeight="1">
      <c r="A3877" s="6"/>
      <c r="B3877" s="20"/>
      <c r="C3877" s="36"/>
      <c r="D3877" s="13"/>
      <c r="E3877" s="13"/>
      <c r="F3877" s="13"/>
      <c r="G3877" s="13"/>
      <c r="H3877" s="13"/>
      <c r="I3877" s="15"/>
      <c r="J3877" s="15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</row>
    <row r="3878" ht="22.5" hidden="1" customHeight="1">
      <c r="A3878" s="6"/>
      <c r="B3878" s="20"/>
      <c r="C3878" s="36"/>
      <c r="D3878" s="13"/>
      <c r="E3878" s="13"/>
      <c r="F3878" s="13"/>
      <c r="G3878" s="13"/>
      <c r="H3878" s="13"/>
      <c r="I3878" s="15"/>
      <c r="J3878" s="15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</row>
    <row r="3879" ht="22.5" hidden="1" customHeight="1">
      <c r="A3879" s="6"/>
      <c r="B3879" s="20"/>
      <c r="C3879" s="36"/>
      <c r="D3879" s="13"/>
      <c r="E3879" s="13"/>
      <c r="F3879" s="13"/>
      <c r="G3879" s="13"/>
      <c r="H3879" s="13"/>
      <c r="I3879" s="15"/>
      <c r="J3879" s="15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</row>
    <row r="3880" ht="22.5" hidden="1" customHeight="1">
      <c r="A3880" s="6"/>
      <c r="B3880" s="20"/>
      <c r="C3880" s="36"/>
      <c r="D3880" s="13"/>
      <c r="E3880" s="13"/>
      <c r="F3880" s="13"/>
      <c r="G3880" s="13"/>
      <c r="H3880" s="13"/>
      <c r="I3880" s="15"/>
      <c r="J3880" s="15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</row>
    <row r="3881" ht="22.5" hidden="1" customHeight="1">
      <c r="A3881" s="6"/>
      <c r="B3881" s="20"/>
      <c r="C3881" s="36"/>
      <c r="D3881" s="13"/>
      <c r="E3881" s="13"/>
      <c r="F3881" s="13"/>
      <c r="G3881" s="13"/>
      <c r="H3881" s="13"/>
      <c r="I3881" s="15"/>
      <c r="J3881" s="15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</row>
    <row r="3882" ht="22.5" hidden="1" customHeight="1">
      <c r="A3882" s="6"/>
      <c r="B3882" s="20"/>
      <c r="C3882" s="36"/>
      <c r="D3882" s="13"/>
      <c r="E3882" s="13"/>
      <c r="F3882" s="13"/>
      <c r="G3882" s="13"/>
      <c r="H3882" s="13"/>
      <c r="I3882" s="15"/>
      <c r="J3882" s="15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</row>
    <row r="3883" ht="22.5" hidden="1" customHeight="1">
      <c r="A3883" s="6"/>
      <c r="B3883" s="20"/>
      <c r="C3883" s="36"/>
      <c r="D3883" s="13"/>
      <c r="E3883" s="13"/>
      <c r="F3883" s="13"/>
      <c r="G3883" s="13"/>
      <c r="H3883" s="13"/>
      <c r="I3883" s="15"/>
      <c r="J3883" s="15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</row>
    <row r="3884" ht="22.5" hidden="1" customHeight="1">
      <c r="A3884" s="6"/>
      <c r="B3884" s="20"/>
      <c r="C3884" s="36"/>
      <c r="D3884" s="13"/>
      <c r="E3884" s="13"/>
      <c r="F3884" s="13"/>
      <c r="G3884" s="13"/>
      <c r="H3884" s="13"/>
      <c r="I3884" s="15"/>
      <c r="J3884" s="15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</row>
    <row r="3885" ht="22.5" hidden="1" customHeight="1">
      <c r="A3885" s="6"/>
      <c r="B3885" s="20"/>
      <c r="C3885" s="36"/>
      <c r="D3885" s="13"/>
      <c r="E3885" s="13"/>
      <c r="F3885" s="13"/>
      <c r="G3885" s="13"/>
      <c r="H3885" s="13"/>
      <c r="I3885" s="15"/>
      <c r="J3885" s="15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</row>
    <row r="3886" ht="22.5" hidden="1" customHeight="1">
      <c r="A3886" s="6"/>
      <c r="B3886" s="20"/>
      <c r="C3886" s="36"/>
      <c r="D3886" s="13"/>
      <c r="E3886" s="13"/>
      <c r="F3886" s="13"/>
      <c r="G3886" s="13"/>
      <c r="H3886" s="13"/>
      <c r="I3886" s="15"/>
      <c r="J3886" s="15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</row>
    <row r="3887" ht="22.5" hidden="1" customHeight="1">
      <c r="A3887" s="6"/>
      <c r="B3887" s="20"/>
      <c r="C3887" s="36"/>
      <c r="D3887" s="13"/>
      <c r="E3887" s="13"/>
      <c r="F3887" s="13"/>
      <c r="G3887" s="13"/>
      <c r="H3887" s="13"/>
      <c r="I3887" s="15"/>
      <c r="J3887" s="15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</row>
    <row r="3888" ht="22.5" hidden="1" customHeight="1">
      <c r="A3888" s="6"/>
      <c r="B3888" s="20"/>
      <c r="C3888" s="36"/>
      <c r="D3888" s="13"/>
      <c r="E3888" s="13"/>
      <c r="F3888" s="13"/>
      <c r="G3888" s="13"/>
      <c r="H3888" s="13"/>
      <c r="I3888" s="15"/>
      <c r="J3888" s="15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</row>
    <row r="3889" ht="22.5" hidden="1" customHeight="1">
      <c r="A3889" s="6"/>
      <c r="B3889" s="20"/>
      <c r="C3889" s="36"/>
      <c r="D3889" s="13"/>
      <c r="E3889" s="13"/>
      <c r="F3889" s="13"/>
      <c r="G3889" s="13"/>
      <c r="H3889" s="13"/>
      <c r="I3889" s="15"/>
      <c r="J3889" s="15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</row>
    <row r="3890" ht="22.5" hidden="1" customHeight="1">
      <c r="A3890" s="6"/>
      <c r="B3890" s="20"/>
      <c r="C3890" s="36"/>
      <c r="D3890" s="13"/>
      <c r="E3890" s="13"/>
      <c r="F3890" s="13"/>
      <c r="G3890" s="13"/>
      <c r="H3890" s="13"/>
      <c r="I3890" s="15"/>
      <c r="J3890" s="15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</row>
    <row r="3891" ht="22.5" hidden="1" customHeight="1">
      <c r="A3891" s="6"/>
      <c r="B3891" s="20"/>
      <c r="C3891" s="36"/>
      <c r="D3891" s="13"/>
      <c r="E3891" s="13"/>
      <c r="F3891" s="13"/>
      <c r="G3891" s="13"/>
      <c r="H3891" s="13"/>
      <c r="I3891" s="15"/>
      <c r="J3891" s="15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</row>
    <row r="3892" ht="22.5" hidden="1" customHeight="1">
      <c r="A3892" s="6"/>
      <c r="B3892" s="20"/>
      <c r="C3892" s="36"/>
      <c r="D3892" s="13"/>
      <c r="E3892" s="13"/>
      <c r="F3892" s="13"/>
      <c r="G3892" s="13"/>
      <c r="H3892" s="13"/>
      <c r="I3892" s="15"/>
      <c r="J3892" s="15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</row>
    <row r="3893" ht="22.5" hidden="1" customHeight="1">
      <c r="A3893" s="6"/>
      <c r="B3893" s="20"/>
      <c r="C3893" s="36"/>
      <c r="D3893" s="13"/>
      <c r="E3893" s="13"/>
      <c r="F3893" s="13"/>
      <c r="G3893" s="13"/>
      <c r="H3893" s="13"/>
      <c r="I3893" s="15"/>
      <c r="J3893" s="15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</row>
    <row r="3894" ht="22.5" hidden="1" customHeight="1">
      <c r="A3894" s="6"/>
      <c r="B3894" s="20"/>
      <c r="C3894" s="36"/>
      <c r="D3894" s="13"/>
      <c r="E3894" s="13"/>
      <c r="F3894" s="13"/>
      <c r="G3894" s="13"/>
      <c r="H3894" s="13"/>
      <c r="I3894" s="15"/>
      <c r="J3894" s="15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</row>
    <row r="3895" ht="22.5" hidden="1" customHeight="1">
      <c r="A3895" s="6"/>
      <c r="B3895" s="20"/>
      <c r="C3895" s="36"/>
      <c r="D3895" s="13"/>
      <c r="E3895" s="13"/>
      <c r="F3895" s="13"/>
      <c r="G3895" s="13"/>
      <c r="H3895" s="13"/>
      <c r="I3895" s="15"/>
      <c r="J3895" s="15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</row>
    <row r="3896" ht="22.5" hidden="1" customHeight="1">
      <c r="A3896" s="6"/>
      <c r="B3896" s="20"/>
      <c r="C3896" s="36"/>
      <c r="D3896" s="13"/>
      <c r="E3896" s="13"/>
      <c r="F3896" s="13"/>
      <c r="G3896" s="13"/>
      <c r="H3896" s="13"/>
      <c r="I3896" s="15"/>
      <c r="J3896" s="15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</row>
    <row r="3897" ht="22.5" hidden="1" customHeight="1">
      <c r="A3897" s="6"/>
      <c r="B3897" s="20"/>
      <c r="C3897" s="36"/>
      <c r="D3897" s="13"/>
      <c r="E3897" s="13"/>
      <c r="F3897" s="13"/>
      <c r="G3897" s="13"/>
      <c r="H3897" s="13"/>
      <c r="I3897" s="15"/>
      <c r="J3897" s="15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</row>
    <row r="3898" ht="22.5" hidden="1" customHeight="1">
      <c r="A3898" s="6"/>
      <c r="B3898" s="20"/>
      <c r="C3898" s="36"/>
      <c r="D3898" s="13"/>
      <c r="E3898" s="13"/>
      <c r="F3898" s="13"/>
      <c r="G3898" s="13"/>
      <c r="H3898" s="13"/>
      <c r="I3898" s="15"/>
      <c r="J3898" s="15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</row>
    <row r="3899" ht="22.5" hidden="1" customHeight="1">
      <c r="A3899" s="6"/>
      <c r="B3899" s="20"/>
      <c r="C3899" s="36"/>
      <c r="D3899" s="13"/>
      <c r="E3899" s="13"/>
      <c r="F3899" s="13"/>
      <c r="G3899" s="13"/>
      <c r="H3899" s="13"/>
      <c r="I3899" s="15"/>
      <c r="J3899" s="15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</row>
    <row r="3900" ht="22.5" hidden="1" customHeight="1">
      <c r="A3900" s="6"/>
      <c r="B3900" s="20"/>
      <c r="C3900" s="36"/>
      <c r="D3900" s="13"/>
      <c r="E3900" s="13"/>
      <c r="F3900" s="13"/>
      <c r="G3900" s="13"/>
      <c r="H3900" s="13"/>
      <c r="I3900" s="15"/>
      <c r="J3900" s="15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</row>
    <row r="3901" ht="22.5" hidden="1" customHeight="1">
      <c r="A3901" s="6"/>
      <c r="B3901" s="20"/>
      <c r="C3901" s="36"/>
      <c r="D3901" s="13"/>
      <c r="E3901" s="13"/>
      <c r="F3901" s="13"/>
      <c r="G3901" s="13"/>
      <c r="H3901" s="13"/>
      <c r="I3901" s="15"/>
      <c r="J3901" s="15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</row>
    <row r="3902" ht="22.5" hidden="1" customHeight="1">
      <c r="A3902" s="6"/>
      <c r="B3902" s="20"/>
      <c r="C3902" s="36"/>
      <c r="D3902" s="13"/>
      <c r="E3902" s="13"/>
      <c r="F3902" s="13"/>
      <c r="G3902" s="13"/>
      <c r="H3902" s="13"/>
      <c r="I3902" s="15"/>
      <c r="J3902" s="15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</row>
    <row r="3903" ht="22.5" hidden="1" customHeight="1">
      <c r="A3903" s="6"/>
      <c r="B3903" s="20"/>
      <c r="C3903" s="36"/>
      <c r="D3903" s="13"/>
      <c r="E3903" s="13"/>
      <c r="F3903" s="13"/>
      <c r="G3903" s="13"/>
      <c r="H3903" s="13"/>
      <c r="I3903" s="15"/>
      <c r="J3903" s="15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</row>
    <row r="3904" ht="22.5" hidden="1" customHeight="1">
      <c r="A3904" s="6"/>
      <c r="B3904" s="20"/>
      <c r="C3904" s="36"/>
      <c r="D3904" s="13"/>
      <c r="E3904" s="13"/>
      <c r="F3904" s="13"/>
      <c r="G3904" s="13"/>
      <c r="H3904" s="13"/>
      <c r="I3904" s="15"/>
      <c r="J3904" s="15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</row>
    <row r="3905" ht="22.5" hidden="1" customHeight="1">
      <c r="A3905" s="6"/>
      <c r="B3905" s="20"/>
      <c r="C3905" s="36"/>
      <c r="D3905" s="13"/>
      <c r="E3905" s="13"/>
      <c r="F3905" s="13"/>
      <c r="G3905" s="13"/>
      <c r="H3905" s="13"/>
      <c r="I3905" s="15"/>
      <c r="J3905" s="15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</row>
    <row r="3906" ht="22.5" hidden="1" customHeight="1">
      <c r="A3906" s="6"/>
      <c r="B3906" s="20"/>
      <c r="C3906" s="36"/>
      <c r="D3906" s="13"/>
      <c r="E3906" s="13"/>
      <c r="F3906" s="13"/>
      <c r="G3906" s="13"/>
      <c r="H3906" s="13"/>
      <c r="I3906" s="15"/>
      <c r="J3906" s="15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</row>
    <row r="3907" ht="22.5" hidden="1" customHeight="1">
      <c r="A3907" s="6"/>
      <c r="B3907" s="20"/>
      <c r="C3907" s="36"/>
      <c r="D3907" s="13"/>
      <c r="E3907" s="13"/>
      <c r="F3907" s="13"/>
      <c r="G3907" s="13"/>
      <c r="H3907" s="13"/>
      <c r="I3907" s="15"/>
      <c r="J3907" s="15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</row>
    <row r="3908" ht="22.5" hidden="1" customHeight="1">
      <c r="A3908" s="6"/>
      <c r="B3908" s="20"/>
      <c r="C3908" s="36"/>
      <c r="D3908" s="13"/>
      <c r="E3908" s="13"/>
      <c r="F3908" s="13"/>
      <c r="G3908" s="13"/>
      <c r="H3908" s="13"/>
      <c r="I3908" s="15"/>
      <c r="J3908" s="15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</row>
    <row r="3909" ht="22.5" hidden="1" customHeight="1">
      <c r="A3909" s="6"/>
      <c r="B3909" s="20"/>
      <c r="C3909" s="36"/>
      <c r="D3909" s="13"/>
      <c r="E3909" s="13"/>
      <c r="F3909" s="13"/>
      <c r="G3909" s="13"/>
      <c r="H3909" s="13"/>
      <c r="I3909" s="15"/>
      <c r="J3909" s="15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</row>
    <row r="3910" ht="22.5" hidden="1" customHeight="1">
      <c r="A3910" s="6"/>
      <c r="B3910" s="20"/>
      <c r="C3910" s="36"/>
      <c r="D3910" s="13"/>
      <c r="E3910" s="13"/>
      <c r="F3910" s="13"/>
      <c r="G3910" s="13"/>
      <c r="H3910" s="13"/>
      <c r="I3910" s="15"/>
      <c r="J3910" s="15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</row>
    <row r="3911" ht="22.5" hidden="1" customHeight="1">
      <c r="A3911" s="6"/>
      <c r="B3911" s="20"/>
      <c r="C3911" s="36"/>
      <c r="D3911" s="13"/>
      <c r="E3911" s="13"/>
      <c r="F3911" s="13"/>
      <c r="G3911" s="13"/>
      <c r="H3911" s="13"/>
      <c r="I3911" s="15"/>
      <c r="J3911" s="15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</row>
    <row r="3912" ht="22.5" hidden="1" customHeight="1">
      <c r="A3912" s="6"/>
      <c r="B3912" s="20"/>
      <c r="C3912" s="36"/>
      <c r="D3912" s="13"/>
      <c r="E3912" s="13"/>
      <c r="F3912" s="13"/>
      <c r="G3912" s="13"/>
      <c r="H3912" s="13"/>
      <c r="I3912" s="15"/>
      <c r="J3912" s="15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</row>
    <row r="3913" ht="22.5" hidden="1" customHeight="1">
      <c r="A3913" s="6"/>
      <c r="B3913" s="20"/>
      <c r="C3913" s="36"/>
      <c r="D3913" s="13"/>
      <c r="E3913" s="13"/>
      <c r="F3913" s="13"/>
      <c r="G3913" s="13"/>
      <c r="H3913" s="13"/>
      <c r="I3913" s="15"/>
      <c r="J3913" s="15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</row>
    <row r="3914" ht="22.5" hidden="1" customHeight="1">
      <c r="A3914" s="6"/>
      <c r="B3914" s="20"/>
      <c r="C3914" s="36"/>
      <c r="D3914" s="13"/>
      <c r="E3914" s="13"/>
      <c r="F3914" s="13"/>
      <c r="G3914" s="13"/>
      <c r="H3914" s="13"/>
      <c r="I3914" s="15"/>
      <c r="J3914" s="15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</row>
    <row r="3915" ht="22.5" hidden="1" customHeight="1">
      <c r="A3915" s="6"/>
      <c r="B3915" s="20"/>
      <c r="C3915" s="36"/>
      <c r="D3915" s="13"/>
      <c r="E3915" s="13"/>
      <c r="F3915" s="13"/>
      <c r="G3915" s="13"/>
      <c r="H3915" s="13"/>
      <c r="I3915" s="15"/>
      <c r="J3915" s="15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</row>
    <row r="3916" ht="22.5" hidden="1" customHeight="1">
      <c r="A3916" s="6"/>
      <c r="B3916" s="20"/>
      <c r="C3916" s="36"/>
      <c r="D3916" s="13"/>
      <c r="E3916" s="13"/>
      <c r="F3916" s="13"/>
      <c r="G3916" s="13"/>
      <c r="H3916" s="13"/>
      <c r="I3916" s="15"/>
      <c r="J3916" s="15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</row>
    <row r="3917" ht="22.5" hidden="1" customHeight="1">
      <c r="A3917" s="6"/>
      <c r="B3917" s="20"/>
      <c r="C3917" s="36"/>
      <c r="D3917" s="13"/>
      <c r="E3917" s="13"/>
      <c r="F3917" s="13"/>
      <c r="G3917" s="13"/>
      <c r="H3917" s="13"/>
      <c r="I3917" s="15"/>
      <c r="J3917" s="15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</row>
    <row r="3918" ht="22.5" hidden="1" customHeight="1">
      <c r="A3918" s="6"/>
      <c r="B3918" s="20"/>
      <c r="C3918" s="36"/>
      <c r="D3918" s="13"/>
      <c r="E3918" s="13"/>
      <c r="F3918" s="13"/>
      <c r="G3918" s="13"/>
      <c r="H3918" s="13"/>
      <c r="I3918" s="15"/>
      <c r="J3918" s="15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</row>
    <row r="3919" ht="22.5" hidden="1" customHeight="1">
      <c r="A3919" s="6"/>
      <c r="B3919" s="20"/>
      <c r="C3919" s="36"/>
      <c r="D3919" s="13"/>
      <c r="E3919" s="13"/>
      <c r="F3919" s="13"/>
      <c r="G3919" s="13"/>
      <c r="H3919" s="13"/>
      <c r="I3919" s="15"/>
      <c r="J3919" s="15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</row>
    <row r="3920" ht="22.5" hidden="1" customHeight="1">
      <c r="A3920" s="6"/>
      <c r="B3920" s="20"/>
      <c r="C3920" s="36"/>
      <c r="D3920" s="13"/>
      <c r="E3920" s="13"/>
      <c r="F3920" s="13"/>
      <c r="G3920" s="13"/>
      <c r="H3920" s="13"/>
      <c r="I3920" s="15"/>
      <c r="J3920" s="15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</row>
    <row r="3921" ht="22.5" hidden="1" customHeight="1">
      <c r="A3921" s="6"/>
      <c r="B3921" s="20"/>
      <c r="C3921" s="36"/>
      <c r="D3921" s="13"/>
      <c r="E3921" s="13"/>
      <c r="F3921" s="13"/>
      <c r="G3921" s="13"/>
      <c r="H3921" s="13"/>
      <c r="I3921" s="15"/>
      <c r="J3921" s="15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</row>
    <row r="3922" ht="22.5" hidden="1" customHeight="1">
      <c r="A3922" s="6"/>
      <c r="B3922" s="20"/>
      <c r="C3922" s="36"/>
      <c r="D3922" s="13"/>
      <c r="E3922" s="13"/>
      <c r="F3922" s="13"/>
      <c r="G3922" s="13"/>
      <c r="H3922" s="13"/>
      <c r="I3922" s="15"/>
      <c r="J3922" s="15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</row>
    <row r="3923" ht="22.5" hidden="1" customHeight="1">
      <c r="A3923" s="6"/>
      <c r="B3923" s="20"/>
      <c r="C3923" s="36"/>
      <c r="D3923" s="13"/>
      <c r="E3923" s="13"/>
      <c r="F3923" s="13"/>
      <c r="G3923" s="13"/>
      <c r="H3923" s="13"/>
      <c r="I3923" s="15"/>
      <c r="J3923" s="15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</row>
    <row r="3924" ht="22.5" hidden="1" customHeight="1">
      <c r="A3924" s="6"/>
      <c r="B3924" s="20"/>
      <c r="C3924" s="36"/>
      <c r="D3924" s="13"/>
      <c r="E3924" s="13"/>
      <c r="F3924" s="13"/>
      <c r="G3924" s="13"/>
      <c r="H3924" s="13"/>
      <c r="I3924" s="15"/>
      <c r="J3924" s="15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</row>
    <row r="3925" ht="22.5" hidden="1" customHeight="1">
      <c r="A3925" s="6"/>
      <c r="B3925" s="20"/>
      <c r="C3925" s="36"/>
      <c r="D3925" s="13"/>
      <c r="E3925" s="13"/>
      <c r="F3925" s="13"/>
      <c r="G3925" s="13"/>
      <c r="H3925" s="13"/>
      <c r="I3925" s="15"/>
      <c r="J3925" s="15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</row>
    <row r="3926" ht="22.5" hidden="1" customHeight="1">
      <c r="A3926" s="6"/>
      <c r="B3926" s="20"/>
      <c r="C3926" s="36"/>
      <c r="D3926" s="13"/>
      <c r="E3926" s="13"/>
      <c r="F3926" s="13"/>
      <c r="G3926" s="13"/>
      <c r="H3926" s="13"/>
      <c r="I3926" s="15"/>
      <c r="J3926" s="15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</row>
    <row r="3927" ht="22.5" hidden="1" customHeight="1">
      <c r="A3927" s="6"/>
      <c r="B3927" s="20"/>
      <c r="C3927" s="36"/>
      <c r="D3927" s="13"/>
      <c r="E3927" s="13"/>
      <c r="F3927" s="13"/>
      <c r="G3927" s="13"/>
      <c r="H3927" s="13"/>
      <c r="I3927" s="15"/>
      <c r="J3927" s="15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</row>
    <row r="3928" ht="22.5" hidden="1" customHeight="1">
      <c r="A3928" s="6"/>
      <c r="B3928" s="20"/>
      <c r="C3928" s="36"/>
      <c r="D3928" s="13"/>
      <c r="E3928" s="13"/>
      <c r="F3928" s="13"/>
      <c r="G3928" s="13"/>
      <c r="H3928" s="13"/>
      <c r="I3928" s="15"/>
      <c r="J3928" s="15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</row>
  </sheetData>
  <dataValidations>
    <dataValidation type="list" allowBlank="1" showDropDown="1" showErrorMessage="1" sqref="C3:C3928">
      <formula1>"유의어,반의어,상대어"</formula1>
    </dataValidation>
    <dataValidation type="custom" allowBlank="1" showDropDown="1" sqref="B3:B3928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3.0"/>
    <col customWidth="1" min="3" max="3" width="14.63"/>
    <col customWidth="1" min="4" max="4" width="9.75"/>
    <col customWidth="1" min="5" max="5" width="41.25"/>
  </cols>
  <sheetData>
    <row r="1">
      <c r="A1" s="6"/>
      <c r="B1" s="6"/>
      <c r="C1" s="6"/>
      <c r="D1" s="6"/>
      <c r="E1" s="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8" t="s">
        <v>6</v>
      </c>
      <c r="B2" s="9" t="s">
        <v>7</v>
      </c>
      <c r="C2" s="8" t="s">
        <v>8</v>
      </c>
      <c r="D2" s="8" t="s">
        <v>9</v>
      </c>
      <c r="E2" s="8" t="s">
        <v>4262</v>
      </c>
      <c r="F2" s="10" t="s">
        <v>12</v>
      </c>
      <c r="G2" s="10" t="s">
        <v>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7">
        <v>1.0</v>
      </c>
      <c r="B3" s="16">
        <v>109.0</v>
      </c>
      <c r="C3" s="17" t="s">
        <v>4263</v>
      </c>
      <c r="D3" s="17" t="s">
        <v>4264</v>
      </c>
      <c r="E3" s="17" t="s">
        <v>4265</v>
      </c>
      <c r="F3" s="18"/>
      <c r="G3" s="1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17">
        <v>2.0</v>
      </c>
      <c r="B4" s="16">
        <v>109.0</v>
      </c>
      <c r="C4" s="17" t="s">
        <v>4266</v>
      </c>
      <c r="D4" s="17" t="s">
        <v>4267</v>
      </c>
      <c r="E4" s="17" t="s">
        <v>4268</v>
      </c>
      <c r="F4" s="18"/>
      <c r="G4" s="1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17">
        <v>3.0</v>
      </c>
      <c r="B5" s="16">
        <v>109.0</v>
      </c>
      <c r="C5" s="17" t="s">
        <v>4269</v>
      </c>
      <c r="D5" s="17" t="s">
        <v>4270</v>
      </c>
      <c r="E5" s="17" t="s">
        <v>4271</v>
      </c>
      <c r="F5" s="18"/>
      <c r="G5" s="1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17">
        <v>4.0</v>
      </c>
      <c r="B6" s="16">
        <v>109.0</v>
      </c>
      <c r="C6" s="17" t="s">
        <v>4272</v>
      </c>
      <c r="D6" s="17" t="s">
        <v>4273</v>
      </c>
      <c r="E6" s="17" t="s">
        <v>4274</v>
      </c>
      <c r="F6" s="18"/>
      <c r="G6" s="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17">
        <v>5.0</v>
      </c>
      <c r="B7" s="16">
        <v>109.0</v>
      </c>
      <c r="C7" s="17" t="s">
        <v>4275</v>
      </c>
      <c r="D7" s="17" t="s">
        <v>4276</v>
      </c>
      <c r="E7" s="17" t="s">
        <v>4277</v>
      </c>
      <c r="F7" s="19" t="s">
        <v>18</v>
      </c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17">
        <v>6.0</v>
      </c>
      <c r="B8" s="12">
        <v>110.0</v>
      </c>
      <c r="C8" s="13" t="s">
        <v>4278</v>
      </c>
      <c r="D8" s="13" t="s">
        <v>4279</v>
      </c>
      <c r="E8" s="13" t="s">
        <v>4280</v>
      </c>
      <c r="F8" s="14" t="s">
        <v>18</v>
      </c>
      <c r="G8" s="1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17">
        <v>7.0</v>
      </c>
      <c r="B9" s="12">
        <v>110.0</v>
      </c>
      <c r="C9" s="13" t="s">
        <v>4281</v>
      </c>
      <c r="D9" s="13" t="s">
        <v>4282</v>
      </c>
      <c r="E9" s="13" t="s">
        <v>4283</v>
      </c>
      <c r="F9" s="15"/>
      <c r="G9" s="1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17">
        <v>8.0</v>
      </c>
      <c r="B10" s="12">
        <v>110.0</v>
      </c>
      <c r="C10" s="13" t="s">
        <v>4263</v>
      </c>
      <c r="D10" s="13" t="s">
        <v>4264</v>
      </c>
      <c r="E10" s="13" t="s">
        <v>4265</v>
      </c>
      <c r="F10" s="14" t="s">
        <v>18</v>
      </c>
      <c r="G10" s="14" t="s">
        <v>18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17">
        <v>9.0</v>
      </c>
      <c r="B11" s="12">
        <v>110.0</v>
      </c>
      <c r="C11" s="13" t="s">
        <v>4284</v>
      </c>
      <c r="D11" s="13" t="s">
        <v>4285</v>
      </c>
      <c r="E11" s="13" t="s">
        <v>4286</v>
      </c>
      <c r="F11" s="15"/>
      <c r="G11" s="1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17">
        <v>10.0</v>
      </c>
      <c r="B12" s="12">
        <v>110.0</v>
      </c>
      <c r="C12" s="13" t="s">
        <v>4287</v>
      </c>
      <c r="D12" s="13" t="s">
        <v>4288</v>
      </c>
      <c r="E12" s="13" t="s">
        <v>4289</v>
      </c>
      <c r="F12" s="15"/>
      <c r="G12" s="1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17">
        <v>11.0</v>
      </c>
      <c r="B13" s="12">
        <v>111.0</v>
      </c>
      <c r="C13" s="13" t="s">
        <v>4266</v>
      </c>
      <c r="D13" s="9" t="s">
        <v>4267</v>
      </c>
      <c r="E13" s="13" t="s">
        <v>4290</v>
      </c>
      <c r="F13" s="15"/>
      <c r="G13" s="1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17">
        <v>12.0</v>
      </c>
      <c r="B14" s="12">
        <v>111.0</v>
      </c>
      <c r="C14" s="13" t="s">
        <v>4263</v>
      </c>
      <c r="D14" s="9" t="s">
        <v>4264</v>
      </c>
      <c r="E14" s="13" t="s">
        <v>4291</v>
      </c>
      <c r="F14" s="15"/>
      <c r="G14" s="1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17">
        <v>13.0</v>
      </c>
      <c r="B15" s="12">
        <v>111.0</v>
      </c>
      <c r="C15" s="13" t="s">
        <v>4292</v>
      </c>
      <c r="D15" s="9" t="s">
        <v>4293</v>
      </c>
      <c r="E15" s="13" t="s">
        <v>4294</v>
      </c>
      <c r="F15" s="14" t="s">
        <v>18</v>
      </c>
      <c r="G15" s="1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17">
        <v>14.0</v>
      </c>
      <c r="B16" s="12">
        <v>111.0</v>
      </c>
      <c r="C16" s="13" t="s">
        <v>4295</v>
      </c>
      <c r="D16" s="9" t="s">
        <v>4296</v>
      </c>
      <c r="E16" s="13" t="s">
        <v>4297</v>
      </c>
      <c r="F16" s="15"/>
      <c r="G16" s="1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17">
        <v>15.0</v>
      </c>
      <c r="B17" s="12">
        <v>111.0</v>
      </c>
      <c r="C17" s="13" t="s">
        <v>4298</v>
      </c>
      <c r="D17" s="9" t="s">
        <v>4299</v>
      </c>
      <c r="E17" s="13" t="s">
        <v>4300</v>
      </c>
      <c r="F17" s="14" t="s">
        <v>18</v>
      </c>
      <c r="G17" s="1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17">
        <v>16.0</v>
      </c>
      <c r="B18" s="16">
        <v>108.0</v>
      </c>
      <c r="C18" s="13" t="s">
        <v>4301</v>
      </c>
      <c r="D18" s="13" t="s">
        <v>4302</v>
      </c>
      <c r="E18" s="13" t="s">
        <v>4303</v>
      </c>
      <c r="F18" s="14" t="s">
        <v>18</v>
      </c>
      <c r="G18" s="1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17">
        <v>17.0</v>
      </c>
      <c r="B19" s="16">
        <v>108.0</v>
      </c>
      <c r="C19" s="13" t="s">
        <v>4304</v>
      </c>
      <c r="D19" s="13" t="s">
        <v>4305</v>
      </c>
      <c r="E19" s="13" t="s">
        <v>4306</v>
      </c>
      <c r="F19" s="14" t="s">
        <v>18</v>
      </c>
      <c r="G19" s="1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17">
        <v>18.0</v>
      </c>
      <c r="B20" s="16">
        <v>108.0</v>
      </c>
      <c r="C20" s="13" t="s">
        <v>4278</v>
      </c>
      <c r="D20" s="13" t="s">
        <v>4279</v>
      </c>
      <c r="E20" s="13" t="s">
        <v>4280</v>
      </c>
      <c r="F20" s="15"/>
      <c r="G20" s="1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2.5" customHeight="1">
      <c r="A21" s="17">
        <v>19.0</v>
      </c>
      <c r="B21" s="16">
        <v>108.0</v>
      </c>
      <c r="C21" s="13" t="s">
        <v>4263</v>
      </c>
      <c r="D21" s="13" t="s">
        <v>4264</v>
      </c>
      <c r="E21" s="13" t="s">
        <v>4265</v>
      </c>
      <c r="F21" s="15"/>
      <c r="G21" s="1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2.5" customHeight="1">
      <c r="A22" s="17">
        <v>20.0</v>
      </c>
      <c r="B22" s="16">
        <v>108.0</v>
      </c>
      <c r="C22" s="13" t="s">
        <v>4307</v>
      </c>
      <c r="D22" s="13" t="s">
        <v>4308</v>
      </c>
      <c r="E22" s="13" t="s">
        <v>4309</v>
      </c>
      <c r="F22" s="15"/>
      <c r="G22" s="1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2.5" customHeight="1">
      <c r="A23" s="17">
        <v>21.0</v>
      </c>
      <c r="B23" s="42">
        <v>107.0</v>
      </c>
      <c r="C23" s="13" t="s">
        <v>4310</v>
      </c>
      <c r="D23" s="13" t="s">
        <v>4311</v>
      </c>
      <c r="E23" s="13" t="s">
        <v>4312</v>
      </c>
      <c r="F23" s="15"/>
      <c r="G23" s="1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2.5" customHeight="1">
      <c r="A24" s="17">
        <v>22.0</v>
      </c>
      <c r="B24" s="42">
        <v>107.0</v>
      </c>
      <c r="C24" s="13" t="s">
        <v>4313</v>
      </c>
      <c r="D24" s="13" t="s">
        <v>4314</v>
      </c>
      <c r="E24" s="13" t="s">
        <v>4315</v>
      </c>
      <c r="F24" s="15"/>
      <c r="G24" s="1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2.5" customHeight="1">
      <c r="A25" s="17">
        <v>23.0</v>
      </c>
      <c r="B25" s="42">
        <v>107.0</v>
      </c>
      <c r="C25" s="13" t="s">
        <v>4316</v>
      </c>
      <c r="D25" s="13" t="s">
        <v>4317</v>
      </c>
      <c r="E25" s="13" t="s">
        <v>4318</v>
      </c>
      <c r="F25" s="14" t="s">
        <v>18</v>
      </c>
      <c r="G25" s="1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2.5" customHeight="1">
      <c r="A26" s="17">
        <v>24.0</v>
      </c>
      <c r="B26" s="42">
        <v>107.0</v>
      </c>
      <c r="C26" s="13" t="s">
        <v>4319</v>
      </c>
      <c r="D26" s="13" t="s">
        <v>4320</v>
      </c>
      <c r="E26" s="13" t="s">
        <v>4321</v>
      </c>
      <c r="F26" s="15"/>
      <c r="G26" s="1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2.5" customHeight="1">
      <c r="A27" s="17">
        <v>25.0</v>
      </c>
      <c r="B27" s="42">
        <v>107.0</v>
      </c>
      <c r="C27" s="13" t="s">
        <v>4322</v>
      </c>
      <c r="D27" s="13" t="s">
        <v>4323</v>
      </c>
      <c r="E27" s="13" t="s">
        <v>4324</v>
      </c>
      <c r="F27" s="14" t="s">
        <v>18</v>
      </c>
      <c r="G27" s="1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2.5" customHeight="1">
      <c r="A28" s="17">
        <v>26.0</v>
      </c>
      <c r="B28" s="42">
        <v>106.0</v>
      </c>
      <c r="C28" s="13" t="s">
        <v>4325</v>
      </c>
      <c r="D28" s="13" t="s">
        <v>4326</v>
      </c>
      <c r="E28" s="13" t="s">
        <v>4327</v>
      </c>
      <c r="F28" s="14" t="s">
        <v>18</v>
      </c>
      <c r="G28" s="1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2.5" customHeight="1">
      <c r="A29" s="17">
        <v>27.0</v>
      </c>
      <c r="B29" s="42">
        <v>106.0</v>
      </c>
      <c r="C29" s="13" t="s">
        <v>4328</v>
      </c>
      <c r="D29" s="13" t="s">
        <v>4329</v>
      </c>
      <c r="E29" s="13" t="s">
        <v>4330</v>
      </c>
      <c r="F29" s="14" t="s">
        <v>18</v>
      </c>
      <c r="G29" s="1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2.5" customHeight="1">
      <c r="A30" s="17">
        <v>28.0</v>
      </c>
      <c r="B30" s="42">
        <v>106.0</v>
      </c>
      <c r="C30" s="13" t="s">
        <v>4331</v>
      </c>
      <c r="D30" s="13" t="s">
        <v>4332</v>
      </c>
      <c r="E30" s="13" t="s">
        <v>4333</v>
      </c>
      <c r="F30" s="14" t="s">
        <v>18</v>
      </c>
      <c r="G30" s="1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2.5" customHeight="1">
      <c r="A31" s="17">
        <v>29.0</v>
      </c>
      <c r="B31" s="42">
        <v>106.0</v>
      </c>
      <c r="C31" s="13" t="s">
        <v>4334</v>
      </c>
      <c r="D31" s="13" t="s">
        <v>4335</v>
      </c>
      <c r="E31" s="13" t="s">
        <v>4336</v>
      </c>
      <c r="F31" s="15"/>
      <c r="G31" s="1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2.5" customHeight="1">
      <c r="A32" s="17">
        <v>30.0</v>
      </c>
      <c r="B32" s="42">
        <v>106.0</v>
      </c>
      <c r="C32" s="13" t="s">
        <v>4266</v>
      </c>
      <c r="D32" s="13" t="s">
        <v>4267</v>
      </c>
      <c r="E32" s="13" t="s">
        <v>4337</v>
      </c>
      <c r="F32" s="15"/>
      <c r="G32" s="1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2.5" customHeight="1">
      <c r="A33" s="17">
        <v>31.0</v>
      </c>
      <c r="B33" s="42">
        <v>105.0</v>
      </c>
      <c r="C33" s="13" t="s">
        <v>4338</v>
      </c>
      <c r="D33" s="13" t="s">
        <v>4339</v>
      </c>
      <c r="E33" s="13" t="s">
        <v>4340</v>
      </c>
      <c r="F33" s="15"/>
      <c r="G33" s="1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2.5" customHeight="1">
      <c r="A34" s="17">
        <v>32.0</v>
      </c>
      <c r="B34" s="42">
        <v>105.0</v>
      </c>
      <c r="C34" s="13" t="s">
        <v>4341</v>
      </c>
      <c r="D34" s="13" t="s">
        <v>4342</v>
      </c>
      <c r="E34" s="13" t="s">
        <v>4343</v>
      </c>
      <c r="F34" s="15"/>
      <c r="G34" s="1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2.5" customHeight="1">
      <c r="A35" s="17">
        <v>33.0</v>
      </c>
      <c r="B35" s="42">
        <v>105.0</v>
      </c>
      <c r="C35" s="13" t="s">
        <v>4344</v>
      </c>
      <c r="D35" s="13" t="s">
        <v>4345</v>
      </c>
      <c r="E35" s="13" t="s">
        <v>4346</v>
      </c>
      <c r="F35" s="15"/>
      <c r="G35" s="1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2.5" customHeight="1">
      <c r="A36" s="17">
        <v>34.0</v>
      </c>
      <c r="B36" s="42">
        <v>105.0</v>
      </c>
      <c r="C36" s="13" t="s">
        <v>4347</v>
      </c>
      <c r="D36" s="13" t="s">
        <v>4348</v>
      </c>
      <c r="E36" s="13" t="s">
        <v>4349</v>
      </c>
      <c r="F36" s="15"/>
      <c r="G36" s="1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2.5" customHeight="1">
      <c r="A37" s="17">
        <v>35.0</v>
      </c>
      <c r="B37" s="42">
        <v>105.0</v>
      </c>
      <c r="C37" s="13" t="s">
        <v>4350</v>
      </c>
      <c r="D37" s="13" t="s">
        <v>4351</v>
      </c>
      <c r="E37" s="13" t="s">
        <v>4352</v>
      </c>
      <c r="F37" s="15"/>
      <c r="G37" s="1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2.5" customHeight="1">
      <c r="A38" s="17">
        <v>36.0</v>
      </c>
      <c r="B38" s="42">
        <v>104.0</v>
      </c>
      <c r="C38" s="13" t="s">
        <v>4353</v>
      </c>
      <c r="D38" s="13" t="s">
        <v>4354</v>
      </c>
      <c r="E38" s="13" t="s">
        <v>4355</v>
      </c>
      <c r="F38" s="15"/>
      <c r="G38" s="1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2.5" customHeight="1">
      <c r="A39" s="17">
        <v>37.0</v>
      </c>
      <c r="B39" s="42">
        <v>104.0</v>
      </c>
      <c r="C39" s="13" t="s">
        <v>4356</v>
      </c>
      <c r="D39" s="13" t="s">
        <v>4357</v>
      </c>
      <c r="E39" s="13" t="s">
        <v>4358</v>
      </c>
      <c r="F39" s="14" t="s">
        <v>18</v>
      </c>
      <c r="G39" s="1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2.5" customHeight="1">
      <c r="A40" s="17">
        <v>38.0</v>
      </c>
      <c r="B40" s="42">
        <v>104.0</v>
      </c>
      <c r="C40" s="13" t="s">
        <v>4359</v>
      </c>
      <c r="D40" s="13" t="s">
        <v>4360</v>
      </c>
      <c r="E40" s="13" t="s">
        <v>4361</v>
      </c>
      <c r="F40" s="14" t="s">
        <v>18</v>
      </c>
      <c r="G40" s="1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2.5" customHeight="1">
      <c r="A41" s="17">
        <v>39.0</v>
      </c>
      <c r="B41" s="42">
        <v>104.0</v>
      </c>
      <c r="C41" s="13" t="s">
        <v>4362</v>
      </c>
      <c r="D41" s="13" t="s">
        <v>4363</v>
      </c>
      <c r="E41" s="13" t="s">
        <v>4364</v>
      </c>
      <c r="F41" s="15"/>
      <c r="G41" s="1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2.5" customHeight="1">
      <c r="A42" s="17">
        <v>40.0</v>
      </c>
      <c r="B42" s="42">
        <v>104.0</v>
      </c>
      <c r="C42" s="13" t="s">
        <v>4266</v>
      </c>
      <c r="D42" s="13" t="s">
        <v>4267</v>
      </c>
      <c r="E42" s="13" t="s">
        <v>4337</v>
      </c>
      <c r="F42" s="15"/>
      <c r="G42" s="1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2.5" customHeight="1">
      <c r="A43" s="17">
        <v>41.0</v>
      </c>
      <c r="B43" s="42">
        <v>103.0</v>
      </c>
      <c r="C43" s="13" t="s">
        <v>4365</v>
      </c>
      <c r="D43" s="13" t="s">
        <v>4366</v>
      </c>
      <c r="E43" s="13" t="s">
        <v>4367</v>
      </c>
      <c r="F43" s="15"/>
      <c r="G43" s="1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2.5" customHeight="1">
      <c r="A44" s="17">
        <v>42.0</v>
      </c>
      <c r="B44" s="42">
        <v>103.0</v>
      </c>
      <c r="C44" s="13" t="s">
        <v>4368</v>
      </c>
      <c r="D44" s="13" t="s">
        <v>4369</v>
      </c>
      <c r="E44" s="13" t="s">
        <v>4370</v>
      </c>
      <c r="F44" s="15"/>
      <c r="G44" s="1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2.5" customHeight="1">
      <c r="A45" s="17">
        <v>43.0</v>
      </c>
      <c r="B45" s="42">
        <v>103.0</v>
      </c>
      <c r="C45" s="13" t="s">
        <v>4371</v>
      </c>
      <c r="D45" s="13" t="s">
        <v>4372</v>
      </c>
      <c r="E45" s="13" t="s">
        <v>4373</v>
      </c>
      <c r="F45" s="15"/>
      <c r="G45" s="1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2.5" customHeight="1">
      <c r="A46" s="17">
        <v>44.0</v>
      </c>
      <c r="B46" s="42">
        <v>103.0</v>
      </c>
      <c r="C46" s="13" t="s">
        <v>4350</v>
      </c>
      <c r="D46" s="13" t="s">
        <v>4351</v>
      </c>
      <c r="E46" s="13" t="s">
        <v>4352</v>
      </c>
      <c r="F46" s="14" t="s">
        <v>18</v>
      </c>
      <c r="G46" s="1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2.5" customHeight="1">
      <c r="A47" s="17">
        <v>45.0</v>
      </c>
      <c r="B47" s="42">
        <v>103.0</v>
      </c>
      <c r="C47" s="13" t="s">
        <v>4374</v>
      </c>
      <c r="D47" s="13" t="s">
        <v>4375</v>
      </c>
      <c r="E47" s="13" t="s">
        <v>4376</v>
      </c>
      <c r="F47" s="15"/>
      <c r="G47" s="1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2.5" customHeight="1">
      <c r="A48" s="17">
        <v>46.0</v>
      </c>
      <c r="B48" s="42">
        <v>102.0</v>
      </c>
      <c r="C48" s="13" t="s">
        <v>4377</v>
      </c>
      <c r="D48" s="13" t="s">
        <v>4378</v>
      </c>
      <c r="E48" s="13" t="s">
        <v>4379</v>
      </c>
      <c r="F48" s="15"/>
      <c r="G48" s="1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2.5" customHeight="1">
      <c r="A49" s="17">
        <v>47.0</v>
      </c>
      <c r="B49" s="42">
        <v>102.0</v>
      </c>
      <c r="C49" s="13" t="s">
        <v>4380</v>
      </c>
      <c r="D49" s="13" t="s">
        <v>4381</v>
      </c>
      <c r="E49" s="13" t="s">
        <v>4382</v>
      </c>
      <c r="F49" s="15"/>
      <c r="G49" s="1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2.5" customHeight="1">
      <c r="A50" s="17">
        <v>48.0</v>
      </c>
      <c r="B50" s="42">
        <v>102.0</v>
      </c>
      <c r="C50" s="13" t="s">
        <v>4383</v>
      </c>
      <c r="D50" s="13" t="s">
        <v>4384</v>
      </c>
      <c r="E50" s="13" t="s">
        <v>4385</v>
      </c>
      <c r="F50" s="14" t="s">
        <v>18</v>
      </c>
      <c r="G50" s="1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2.5" customHeight="1">
      <c r="A51" s="17">
        <v>49.0</v>
      </c>
      <c r="B51" s="42">
        <v>102.0</v>
      </c>
      <c r="C51" s="13" t="s">
        <v>4281</v>
      </c>
      <c r="D51" s="13" t="s">
        <v>4282</v>
      </c>
      <c r="E51" s="13" t="s">
        <v>4386</v>
      </c>
      <c r="F51" s="14" t="s">
        <v>18</v>
      </c>
      <c r="G51" s="1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2.5" customHeight="1">
      <c r="A52" s="17">
        <v>50.0</v>
      </c>
      <c r="B52" s="42">
        <v>102.0</v>
      </c>
      <c r="C52" s="13" t="s">
        <v>4387</v>
      </c>
      <c r="D52" s="13" t="s">
        <v>4388</v>
      </c>
      <c r="E52" s="13" t="s">
        <v>4389</v>
      </c>
      <c r="F52" s="15"/>
      <c r="G52" s="1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2.5" customHeight="1">
      <c r="A53" s="17">
        <v>51.0</v>
      </c>
      <c r="B53" s="12">
        <v>101.0</v>
      </c>
      <c r="C53" s="13" t="s">
        <v>4390</v>
      </c>
      <c r="D53" s="13" t="s">
        <v>4391</v>
      </c>
      <c r="E53" s="13" t="s">
        <v>2502</v>
      </c>
      <c r="F53" s="14" t="s">
        <v>18</v>
      </c>
      <c r="G53" s="1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2.5" customHeight="1">
      <c r="A54" s="17">
        <v>52.0</v>
      </c>
      <c r="B54" s="12">
        <v>101.0</v>
      </c>
      <c r="C54" s="13" t="s">
        <v>4392</v>
      </c>
      <c r="D54" s="13" t="s">
        <v>4393</v>
      </c>
      <c r="E54" s="13" t="s">
        <v>4394</v>
      </c>
      <c r="F54" s="15"/>
      <c r="G54" s="1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2.5" customHeight="1">
      <c r="A55" s="17">
        <v>53.0</v>
      </c>
      <c r="B55" s="12">
        <v>101.0</v>
      </c>
      <c r="C55" s="13" t="s">
        <v>4395</v>
      </c>
      <c r="D55" s="13" t="s">
        <v>4396</v>
      </c>
      <c r="E55" s="13" t="s">
        <v>4397</v>
      </c>
      <c r="F55" s="15"/>
      <c r="G55" s="1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2.5" customHeight="1">
      <c r="A56" s="17">
        <v>54.0</v>
      </c>
      <c r="B56" s="12">
        <v>101.0</v>
      </c>
      <c r="C56" s="13" t="s">
        <v>4398</v>
      </c>
      <c r="D56" s="13" t="s">
        <v>4399</v>
      </c>
      <c r="E56" s="13" t="s">
        <v>4400</v>
      </c>
      <c r="F56" s="15"/>
      <c r="G56" s="1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2.5" customHeight="1">
      <c r="A57" s="17">
        <v>55.0</v>
      </c>
      <c r="B57" s="12">
        <v>101.0</v>
      </c>
      <c r="C57" s="13" t="s">
        <v>4401</v>
      </c>
      <c r="D57" s="13" t="s">
        <v>4402</v>
      </c>
      <c r="E57" s="13" t="s">
        <v>4403</v>
      </c>
      <c r="F57" s="14" t="s">
        <v>18</v>
      </c>
      <c r="G57" s="1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2.5" customHeight="1">
      <c r="A58" s="17">
        <v>56.0</v>
      </c>
      <c r="B58" s="16">
        <v>100.0</v>
      </c>
      <c r="C58" s="13" t="s">
        <v>4404</v>
      </c>
      <c r="D58" s="13" t="s">
        <v>4405</v>
      </c>
      <c r="E58" s="13" t="s">
        <v>4406</v>
      </c>
      <c r="F58" s="14" t="s">
        <v>18</v>
      </c>
      <c r="G58" s="1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2.5" customHeight="1">
      <c r="A59" s="17">
        <v>57.0</v>
      </c>
      <c r="B59" s="16">
        <v>100.0</v>
      </c>
      <c r="C59" s="13" t="s">
        <v>4407</v>
      </c>
      <c r="D59" s="13" t="s">
        <v>4408</v>
      </c>
      <c r="E59" s="13" t="s">
        <v>4409</v>
      </c>
      <c r="F59" s="14" t="s">
        <v>18</v>
      </c>
      <c r="G59" s="1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2.5" customHeight="1">
      <c r="A60" s="17">
        <v>58.0</v>
      </c>
      <c r="B60" s="16">
        <v>100.0</v>
      </c>
      <c r="C60" s="13" t="s">
        <v>4410</v>
      </c>
      <c r="D60" s="13" t="s">
        <v>4411</v>
      </c>
      <c r="E60" s="13" t="s">
        <v>4412</v>
      </c>
      <c r="F60" s="15"/>
      <c r="G60" s="1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2.5" customHeight="1">
      <c r="A61" s="17">
        <v>59.0</v>
      </c>
      <c r="B61" s="16">
        <v>100.0</v>
      </c>
      <c r="C61" s="13" t="s">
        <v>4413</v>
      </c>
      <c r="D61" s="13" t="s">
        <v>4414</v>
      </c>
      <c r="E61" s="13" t="s">
        <v>4415</v>
      </c>
      <c r="F61" s="15"/>
      <c r="G61" s="1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2.5" customHeight="1">
      <c r="A62" s="17">
        <v>60.0</v>
      </c>
      <c r="B62" s="16">
        <v>100.0</v>
      </c>
      <c r="C62" s="13" t="s">
        <v>4416</v>
      </c>
      <c r="D62" s="13" t="s">
        <v>4417</v>
      </c>
      <c r="E62" s="13" t="s">
        <v>4418</v>
      </c>
      <c r="F62" s="15"/>
      <c r="G62" s="1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2.5" customHeight="1">
      <c r="A63" s="17">
        <v>61.0</v>
      </c>
      <c r="B63" s="12">
        <v>99.0</v>
      </c>
      <c r="C63" s="13" t="s">
        <v>4419</v>
      </c>
      <c r="D63" s="13" t="s">
        <v>4420</v>
      </c>
      <c r="E63" s="13" t="s">
        <v>4421</v>
      </c>
      <c r="F63" s="15"/>
      <c r="G63" s="1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2.5" customHeight="1">
      <c r="A64" s="17">
        <v>62.0</v>
      </c>
      <c r="B64" s="12">
        <v>99.0</v>
      </c>
      <c r="C64" s="13" t="s">
        <v>4422</v>
      </c>
      <c r="D64" s="13" t="s">
        <v>4423</v>
      </c>
      <c r="E64" s="13" t="s">
        <v>4424</v>
      </c>
      <c r="F64" s="14" t="s">
        <v>18</v>
      </c>
      <c r="G64" s="1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2.5" customHeight="1">
      <c r="A65" s="17">
        <v>63.0</v>
      </c>
      <c r="B65" s="12">
        <v>99.0</v>
      </c>
      <c r="C65" s="13" t="s">
        <v>4425</v>
      </c>
      <c r="D65" s="13" t="s">
        <v>4426</v>
      </c>
      <c r="E65" s="13" t="s">
        <v>4427</v>
      </c>
      <c r="F65" s="14" t="s">
        <v>18</v>
      </c>
      <c r="G65" s="1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2.5" customHeight="1">
      <c r="A66" s="17">
        <v>64.0</v>
      </c>
      <c r="B66" s="12">
        <v>99.0</v>
      </c>
      <c r="C66" s="13" t="s">
        <v>4428</v>
      </c>
      <c r="D66" s="13" t="s">
        <v>4396</v>
      </c>
      <c r="E66" s="13" t="s">
        <v>4429</v>
      </c>
      <c r="F66" s="14" t="s">
        <v>18</v>
      </c>
      <c r="G66" s="1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2.5" customHeight="1">
      <c r="A67" s="17">
        <v>65.0</v>
      </c>
      <c r="B67" s="12">
        <v>99.0</v>
      </c>
      <c r="C67" s="13" t="s">
        <v>4430</v>
      </c>
      <c r="D67" s="13" t="s">
        <v>4431</v>
      </c>
      <c r="E67" s="13" t="s">
        <v>4432</v>
      </c>
      <c r="F67" s="15"/>
      <c r="G67" s="1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2.5" customHeight="1">
      <c r="A68" s="17">
        <v>66.0</v>
      </c>
      <c r="B68" s="12">
        <v>98.0</v>
      </c>
      <c r="C68" s="13" t="s">
        <v>4433</v>
      </c>
      <c r="D68" s="13" t="s">
        <v>4434</v>
      </c>
      <c r="E68" s="13" t="s">
        <v>4435</v>
      </c>
      <c r="F68" s="15"/>
      <c r="G68" s="1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2.5" customHeight="1">
      <c r="A69" s="17">
        <v>67.0</v>
      </c>
      <c r="B69" s="12">
        <v>98.0</v>
      </c>
      <c r="C69" s="13" t="s">
        <v>4436</v>
      </c>
      <c r="D69" s="13" t="s">
        <v>4437</v>
      </c>
      <c r="E69" s="13" t="s">
        <v>4438</v>
      </c>
      <c r="F69" s="14" t="s">
        <v>18</v>
      </c>
      <c r="G69" s="1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2.5" customHeight="1">
      <c r="A70" s="17">
        <v>68.0</v>
      </c>
      <c r="B70" s="12">
        <v>98.0</v>
      </c>
      <c r="C70" s="13" t="s">
        <v>4439</v>
      </c>
      <c r="D70" s="13" t="s">
        <v>4440</v>
      </c>
      <c r="E70" s="13" t="s">
        <v>4441</v>
      </c>
      <c r="F70" s="14" t="s">
        <v>18</v>
      </c>
      <c r="G70" s="1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2.5" customHeight="1">
      <c r="A71" s="17">
        <v>69.0</v>
      </c>
      <c r="B71" s="12">
        <v>98.0</v>
      </c>
      <c r="C71" s="13" t="s">
        <v>4442</v>
      </c>
      <c r="D71" s="13" t="s">
        <v>4443</v>
      </c>
      <c r="E71" s="13" t="s">
        <v>4444</v>
      </c>
      <c r="F71" s="15"/>
      <c r="G71" s="1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2.5" customHeight="1">
      <c r="A72" s="17">
        <v>70.0</v>
      </c>
      <c r="B72" s="12">
        <v>98.0</v>
      </c>
      <c r="C72" s="13" t="s">
        <v>4445</v>
      </c>
      <c r="D72" s="13" t="s">
        <v>4446</v>
      </c>
      <c r="E72" s="13" t="s">
        <v>4447</v>
      </c>
      <c r="F72" s="14" t="s">
        <v>18</v>
      </c>
      <c r="G72" s="1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2.5" customHeight="1">
      <c r="A73" s="17">
        <v>71.0</v>
      </c>
      <c r="B73" s="16">
        <v>97.0</v>
      </c>
      <c r="C73" s="13" t="s">
        <v>4448</v>
      </c>
      <c r="D73" s="13" t="s">
        <v>4449</v>
      </c>
      <c r="E73" s="13" t="s">
        <v>4450</v>
      </c>
      <c r="F73" s="15"/>
      <c r="G73" s="1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2.5" customHeight="1">
      <c r="A74" s="17">
        <v>72.0</v>
      </c>
      <c r="B74" s="16">
        <v>97.0</v>
      </c>
      <c r="C74" s="13" t="s">
        <v>4451</v>
      </c>
      <c r="D74" s="13" t="s">
        <v>4452</v>
      </c>
      <c r="E74" s="13" t="s">
        <v>4453</v>
      </c>
      <c r="F74" s="14" t="s">
        <v>18</v>
      </c>
      <c r="G74" s="1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2.5" customHeight="1">
      <c r="A75" s="17">
        <v>73.0</v>
      </c>
      <c r="B75" s="16">
        <v>97.0</v>
      </c>
      <c r="C75" s="13" t="s">
        <v>4454</v>
      </c>
      <c r="D75" s="13" t="s">
        <v>4455</v>
      </c>
      <c r="E75" s="13" t="s">
        <v>4456</v>
      </c>
      <c r="F75" s="15"/>
      <c r="G75" s="1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2.5" customHeight="1">
      <c r="A76" s="17">
        <v>74.0</v>
      </c>
      <c r="B76" s="16">
        <v>97.0</v>
      </c>
      <c r="C76" s="13" t="s">
        <v>4457</v>
      </c>
      <c r="D76" s="13" t="s">
        <v>4458</v>
      </c>
      <c r="E76" s="13" t="s">
        <v>4459</v>
      </c>
      <c r="F76" s="15"/>
      <c r="G76" s="1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2.5" customHeight="1">
      <c r="A77" s="17">
        <v>75.0</v>
      </c>
      <c r="B77" s="16">
        <v>97.0</v>
      </c>
      <c r="C77" s="13" t="s">
        <v>4460</v>
      </c>
      <c r="D77" s="13" t="s">
        <v>4461</v>
      </c>
      <c r="E77" s="13" t="s">
        <v>4462</v>
      </c>
      <c r="F77" s="14" t="s">
        <v>18</v>
      </c>
      <c r="G77" s="1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2.5" customHeight="1">
      <c r="A78" s="17">
        <v>76.0</v>
      </c>
      <c r="B78" s="42">
        <v>96.0</v>
      </c>
      <c r="C78" s="13" t="s">
        <v>4463</v>
      </c>
      <c r="D78" s="13" t="s">
        <v>4464</v>
      </c>
      <c r="E78" s="13" t="s">
        <v>4465</v>
      </c>
      <c r="F78" s="15"/>
      <c r="G78" s="1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2.5" customHeight="1">
      <c r="A79" s="17">
        <v>77.0</v>
      </c>
      <c r="B79" s="42">
        <v>96.0</v>
      </c>
      <c r="C79" s="13" t="s">
        <v>1451</v>
      </c>
      <c r="D79" s="13" t="s">
        <v>4466</v>
      </c>
      <c r="E79" s="13" t="s">
        <v>4467</v>
      </c>
      <c r="F79" s="14" t="s">
        <v>18</v>
      </c>
      <c r="G79" s="1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2.5" customHeight="1">
      <c r="A80" s="17">
        <v>78.0</v>
      </c>
      <c r="B80" s="42">
        <v>96.0</v>
      </c>
      <c r="C80" s="13" t="s">
        <v>4468</v>
      </c>
      <c r="D80" s="13" t="s">
        <v>4469</v>
      </c>
      <c r="E80" s="13" t="s">
        <v>4470</v>
      </c>
      <c r="F80" s="15"/>
      <c r="G80" s="1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2.5" customHeight="1">
      <c r="A81" s="17">
        <v>79.0</v>
      </c>
      <c r="B81" s="42">
        <v>96.0</v>
      </c>
      <c r="C81" s="13" t="s">
        <v>4471</v>
      </c>
      <c r="D81" s="13" t="s">
        <v>4472</v>
      </c>
      <c r="E81" s="13" t="s">
        <v>4473</v>
      </c>
      <c r="F81" s="15"/>
      <c r="G81" s="1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2.5" customHeight="1">
      <c r="A82" s="17">
        <v>80.0</v>
      </c>
      <c r="B82" s="42">
        <v>96.0</v>
      </c>
      <c r="C82" s="13" t="s">
        <v>4474</v>
      </c>
      <c r="D82" s="13" t="s">
        <v>4475</v>
      </c>
      <c r="E82" s="13" t="s">
        <v>4476</v>
      </c>
      <c r="F82" s="14" t="s">
        <v>18</v>
      </c>
      <c r="G82" s="1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2.5" customHeight="1">
      <c r="A83" s="17">
        <v>81.0</v>
      </c>
      <c r="B83" s="42">
        <v>95.0</v>
      </c>
      <c r="C83" s="13" t="s">
        <v>4477</v>
      </c>
      <c r="D83" s="13" t="s">
        <v>4478</v>
      </c>
      <c r="E83" s="13" t="s">
        <v>4479</v>
      </c>
      <c r="F83" s="14" t="s">
        <v>18</v>
      </c>
      <c r="G83" s="1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2.5" customHeight="1">
      <c r="A84" s="17">
        <v>82.0</v>
      </c>
      <c r="B84" s="42">
        <v>95.0</v>
      </c>
      <c r="C84" s="13" t="s">
        <v>4480</v>
      </c>
      <c r="D84" s="13" t="s">
        <v>4481</v>
      </c>
      <c r="E84" s="13" t="s">
        <v>4482</v>
      </c>
      <c r="F84" s="14" t="s">
        <v>18</v>
      </c>
      <c r="G84" s="1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2.5" customHeight="1">
      <c r="A85" s="17">
        <v>83.0</v>
      </c>
      <c r="B85" s="42">
        <v>95.0</v>
      </c>
      <c r="C85" s="13" t="s">
        <v>4483</v>
      </c>
      <c r="D85" s="13" t="s">
        <v>4484</v>
      </c>
      <c r="E85" s="13" t="s">
        <v>4485</v>
      </c>
      <c r="F85" s="15"/>
      <c r="G85" s="1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2.5" customHeight="1">
      <c r="A86" s="17">
        <v>84.0</v>
      </c>
      <c r="B86" s="42">
        <v>95.0</v>
      </c>
      <c r="C86" s="13" t="s">
        <v>4486</v>
      </c>
      <c r="D86" s="13" t="s">
        <v>4487</v>
      </c>
      <c r="E86" s="13" t="s">
        <v>3445</v>
      </c>
      <c r="F86" s="14" t="s">
        <v>18</v>
      </c>
      <c r="G86" s="1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2.5" customHeight="1">
      <c r="A87" s="17">
        <v>85.0</v>
      </c>
      <c r="B87" s="42">
        <v>95.0</v>
      </c>
      <c r="C87" s="13" t="s">
        <v>4488</v>
      </c>
      <c r="D87" s="13" t="s">
        <v>4489</v>
      </c>
      <c r="E87" s="13" t="s">
        <v>4490</v>
      </c>
      <c r="F87" s="15"/>
      <c r="G87" s="1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2.5" customHeight="1">
      <c r="A88" s="17">
        <v>86.0</v>
      </c>
      <c r="B88" s="42">
        <v>94.0</v>
      </c>
      <c r="C88" s="13" t="s">
        <v>4491</v>
      </c>
      <c r="D88" s="13" t="s">
        <v>4492</v>
      </c>
      <c r="E88" s="13" t="s">
        <v>4493</v>
      </c>
      <c r="F88" s="14" t="s">
        <v>18</v>
      </c>
      <c r="G88" s="1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2.5" customHeight="1">
      <c r="A89" s="17">
        <v>87.0</v>
      </c>
      <c r="B89" s="42">
        <v>94.0</v>
      </c>
      <c r="C89" s="13" t="s">
        <v>4494</v>
      </c>
      <c r="D89" s="13" t="s">
        <v>4495</v>
      </c>
      <c r="E89" s="13" t="s">
        <v>4496</v>
      </c>
      <c r="F89" s="14" t="s">
        <v>18</v>
      </c>
      <c r="G89" s="1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2.5" customHeight="1">
      <c r="A90" s="17">
        <v>88.0</v>
      </c>
      <c r="B90" s="42">
        <v>94.0</v>
      </c>
      <c r="C90" s="13" t="s">
        <v>4497</v>
      </c>
      <c r="D90" s="13" t="s">
        <v>4498</v>
      </c>
      <c r="E90" s="13" t="s">
        <v>4499</v>
      </c>
      <c r="F90" s="14" t="s">
        <v>18</v>
      </c>
      <c r="G90" s="1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2.5" customHeight="1">
      <c r="A91" s="17">
        <v>89.0</v>
      </c>
      <c r="B91" s="42">
        <v>94.0</v>
      </c>
      <c r="C91" s="13" t="s">
        <v>4500</v>
      </c>
      <c r="D91" s="13" t="s">
        <v>4501</v>
      </c>
      <c r="E91" s="13" t="s">
        <v>4502</v>
      </c>
      <c r="F91" s="15"/>
      <c r="G91" s="1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2.5" customHeight="1">
      <c r="A92" s="17">
        <v>90.0</v>
      </c>
      <c r="B92" s="42">
        <v>94.0</v>
      </c>
      <c r="C92" s="13" t="s">
        <v>4503</v>
      </c>
      <c r="D92" s="13" t="s">
        <v>4504</v>
      </c>
      <c r="E92" s="13" t="s">
        <v>4505</v>
      </c>
      <c r="F92" s="15"/>
      <c r="G92" s="1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2.5" customHeight="1">
      <c r="A93" s="17">
        <v>91.0</v>
      </c>
      <c r="B93" s="42">
        <v>93.0</v>
      </c>
      <c r="C93" s="13" t="s">
        <v>4506</v>
      </c>
      <c r="D93" s="13" t="s">
        <v>4507</v>
      </c>
      <c r="E93" s="13" t="s">
        <v>4508</v>
      </c>
      <c r="F93" s="15"/>
      <c r="G93" s="1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2.5" customHeight="1">
      <c r="A94" s="17">
        <v>92.0</v>
      </c>
      <c r="B94" s="42">
        <v>93.0</v>
      </c>
      <c r="C94" s="13" t="s">
        <v>4509</v>
      </c>
      <c r="D94" s="13" t="s">
        <v>4510</v>
      </c>
      <c r="E94" s="13" t="s">
        <v>4511</v>
      </c>
      <c r="F94" s="14" t="s">
        <v>18</v>
      </c>
      <c r="G94" s="1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2.5" customHeight="1">
      <c r="A95" s="17">
        <v>93.0</v>
      </c>
      <c r="B95" s="42">
        <v>93.0</v>
      </c>
      <c r="C95" s="13" t="s">
        <v>4512</v>
      </c>
      <c r="D95" s="13" t="s">
        <v>4513</v>
      </c>
      <c r="E95" s="13" t="s">
        <v>4514</v>
      </c>
      <c r="F95" s="15"/>
      <c r="G95" s="1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2.5" customHeight="1">
      <c r="A96" s="17">
        <v>94.0</v>
      </c>
      <c r="B96" s="42">
        <v>93.0</v>
      </c>
      <c r="C96" s="13" t="s">
        <v>4515</v>
      </c>
      <c r="D96" s="13" t="s">
        <v>4516</v>
      </c>
      <c r="E96" s="13" t="s">
        <v>4517</v>
      </c>
      <c r="F96" s="15"/>
      <c r="G96" s="1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2.5" customHeight="1">
      <c r="A97" s="17">
        <v>95.0</v>
      </c>
      <c r="B97" s="42">
        <v>93.0</v>
      </c>
      <c r="C97" s="13" t="s">
        <v>4518</v>
      </c>
      <c r="D97" s="13" t="s">
        <v>4519</v>
      </c>
      <c r="E97" s="13" t="s">
        <v>4520</v>
      </c>
      <c r="F97" s="14" t="s">
        <v>18</v>
      </c>
      <c r="G97" s="1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2.5" customHeight="1">
      <c r="A98" s="17">
        <v>96.0</v>
      </c>
      <c r="B98" s="42">
        <v>92.0</v>
      </c>
      <c r="C98" s="13" t="s">
        <v>4521</v>
      </c>
      <c r="D98" s="13" t="s">
        <v>4522</v>
      </c>
      <c r="E98" s="13" t="s">
        <v>4523</v>
      </c>
      <c r="F98" s="14" t="s">
        <v>18</v>
      </c>
      <c r="G98" s="1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2.5" customHeight="1">
      <c r="A99" s="17">
        <v>97.0</v>
      </c>
      <c r="B99" s="42">
        <v>92.0</v>
      </c>
      <c r="C99" s="13" t="s">
        <v>4524</v>
      </c>
      <c r="D99" s="13" t="s">
        <v>4525</v>
      </c>
      <c r="E99" s="13" t="s">
        <v>4526</v>
      </c>
      <c r="F99" s="14" t="s">
        <v>18</v>
      </c>
      <c r="G99" s="1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2.5" customHeight="1">
      <c r="A100" s="17">
        <v>98.0</v>
      </c>
      <c r="B100" s="42">
        <v>92.0</v>
      </c>
      <c r="C100" s="13" t="s">
        <v>4527</v>
      </c>
      <c r="D100" s="13" t="s">
        <v>4528</v>
      </c>
      <c r="E100" s="13" t="s">
        <v>4529</v>
      </c>
      <c r="F100" s="14" t="s">
        <v>18</v>
      </c>
      <c r="G100" s="1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2.5" customHeight="1">
      <c r="A101" s="17">
        <v>99.0</v>
      </c>
      <c r="B101" s="42">
        <v>92.0</v>
      </c>
      <c r="C101" s="13" t="s">
        <v>4530</v>
      </c>
      <c r="D101" s="13" t="s">
        <v>4531</v>
      </c>
      <c r="E101" s="13" t="s">
        <v>4532</v>
      </c>
      <c r="F101" s="15"/>
      <c r="G101" s="1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2.5" customHeight="1">
      <c r="A102" s="17">
        <v>100.0</v>
      </c>
      <c r="B102" s="42">
        <v>92.0</v>
      </c>
      <c r="C102" s="13" t="s">
        <v>4533</v>
      </c>
      <c r="D102" s="13" t="s">
        <v>4534</v>
      </c>
      <c r="E102" s="13" t="s">
        <v>4535</v>
      </c>
      <c r="F102" s="15"/>
      <c r="G102" s="1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2.5" customHeight="1">
      <c r="A103" s="17">
        <v>101.0</v>
      </c>
      <c r="B103" s="42">
        <v>91.0</v>
      </c>
      <c r="C103" s="13" t="s">
        <v>4536</v>
      </c>
      <c r="D103" s="13" t="s">
        <v>4537</v>
      </c>
      <c r="E103" s="13" t="s">
        <v>4538</v>
      </c>
      <c r="F103" s="14" t="s">
        <v>18</v>
      </c>
      <c r="G103" s="1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2.5" customHeight="1">
      <c r="A104" s="17">
        <v>102.0</v>
      </c>
      <c r="B104" s="42">
        <v>91.0</v>
      </c>
      <c r="C104" s="13" t="s">
        <v>4539</v>
      </c>
      <c r="D104" s="13" t="s">
        <v>4540</v>
      </c>
      <c r="E104" s="13" t="s">
        <v>4541</v>
      </c>
      <c r="F104" s="14" t="s">
        <v>18</v>
      </c>
      <c r="G104" s="1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2.5" customHeight="1">
      <c r="A105" s="17">
        <v>103.0</v>
      </c>
      <c r="B105" s="42">
        <v>91.0</v>
      </c>
      <c r="C105" s="13" t="s">
        <v>3481</v>
      </c>
      <c r="D105" s="13" t="s">
        <v>4542</v>
      </c>
      <c r="E105" s="13" t="s">
        <v>4543</v>
      </c>
      <c r="F105" s="14" t="s">
        <v>18</v>
      </c>
      <c r="G105" s="1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2.5" customHeight="1">
      <c r="A106" s="17">
        <v>104.0</v>
      </c>
      <c r="B106" s="42">
        <v>91.0</v>
      </c>
      <c r="C106" s="13" t="s">
        <v>4544</v>
      </c>
      <c r="D106" s="13" t="s">
        <v>4545</v>
      </c>
      <c r="E106" s="13" t="s">
        <v>4546</v>
      </c>
      <c r="F106" s="14" t="s">
        <v>18</v>
      </c>
      <c r="G106" s="1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2.5" customHeight="1">
      <c r="A107" s="17">
        <v>105.0</v>
      </c>
      <c r="B107" s="42">
        <v>91.0</v>
      </c>
      <c r="C107" s="13" t="s">
        <v>4547</v>
      </c>
      <c r="D107" s="13" t="s">
        <v>4548</v>
      </c>
      <c r="E107" s="13" t="s">
        <v>4549</v>
      </c>
      <c r="F107" s="14" t="s">
        <v>18</v>
      </c>
      <c r="G107" s="1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2.5" customHeight="1">
      <c r="A108" s="17">
        <v>106.0</v>
      </c>
      <c r="B108" s="42">
        <v>90.0</v>
      </c>
      <c r="C108" s="13" t="s">
        <v>4550</v>
      </c>
      <c r="D108" s="13" t="s">
        <v>4551</v>
      </c>
      <c r="E108" s="13" t="s">
        <v>4552</v>
      </c>
      <c r="F108" s="14" t="s">
        <v>18</v>
      </c>
      <c r="G108" s="1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2.5" customHeight="1">
      <c r="A109" s="17">
        <v>107.0</v>
      </c>
      <c r="B109" s="42">
        <v>90.0</v>
      </c>
      <c r="C109" s="13" t="s">
        <v>4553</v>
      </c>
      <c r="D109" s="13" t="s">
        <v>4554</v>
      </c>
      <c r="E109" s="13" t="s">
        <v>4555</v>
      </c>
      <c r="F109" s="14" t="s">
        <v>18</v>
      </c>
      <c r="G109" s="1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2.5" customHeight="1">
      <c r="A110" s="17">
        <v>108.0</v>
      </c>
      <c r="B110" s="42">
        <v>90.0</v>
      </c>
      <c r="C110" s="13" t="s">
        <v>4556</v>
      </c>
      <c r="D110" s="13" t="s">
        <v>4557</v>
      </c>
      <c r="E110" s="13" t="s">
        <v>4558</v>
      </c>
      <c r="F110" s="14" t="s">
        <v>18</v>
      </c>
      <c r="G110" s="1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2.5" customHeight="1">
      <c r="A111" s="17">
        <v>109.0</v>
      </c>
      <c r="B111" s="42">
        <v>90.0</v>
      </c>
      <c r="C111" s="13" t="s">
        <v>4559</v>
      </c>
      <c r="D111" s="13" t="s">
        <v>4560</v>
      </c>
      <c r="E111" s="13" t="s">
        <v>4561</v>
      </c>
      <c r="F111" s="15"/>
      <c r="G111" s="1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2.5" customHeight="1">
      <c r="A112" s="17">
        <v>110.0</v>
      </c>
      <c r="B112" s="42">
        <v>90.0</v>
      </c>
      <c r="C112" s="13" t="s">
        <v>4562</v>
      </c>
      <c r="D112" s="13" t="s">
        <v>4563</v>
      </c>
      <c r="E112" s="13" t="s">
        <v>4564</v>
      </c>
      <c r="F112" s="14" t="s">
        <v>18</v>
      </c>
      <c r="G112" s="14" t="s">
        <v>18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2.5" customHeight="1">
      <c r="A113" s="17">
        <v>111.0</v>
      </c>
      <c r="B113" s="42">
        <v>87.0</v>
      </c>
      <c r="C113" s="13" t="s">
        <v>4565</v>
      </c>
      <c r="D113" s="13" t="s">
        <v>4566</v>
      </c>
      <c r="E113" s="13" t="s">
        <v>4567</v>
      </c>
      <c r="F113" s="14" t="s">
        <v>18</v>
      </c>
      <c r="G113" s="1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2.5" customHeight="1">
      <c r="A114" s="17">
        <v>112.0</v>
      </c>
      <c r="B114" s="42">
        <v>87.0</v>
      </c>
      <c r="C114" s="13" t="s">
        <v>4568</v>
      </c>
      <c r="D114" s="13" t="s">
        <v>4569</v>
      </c>
      <c r="E114" s="13" t="s">
        <v>4570</v>
      </c>
      <c r="F114" s="15"/>
      <c r="G114" s="1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2.5" customHeight="1">
      <c r="A115" s="17">
        <v>113.0</v>
      </c>
      <c r="B115" s="42">
        <v>87.0</v>
      </c>
      <c r="C115" s="13" t="s">
        <v>4571</v>
      </c>
      <c r="D115" s="13" t="s">
        <v>4572</v>
      </c>
      <c r="E115" s="13" t="s">
        <v>4573</v>
      </c>
      <c r="F115" s="15"/>
      <c r="G115" s="1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2.5" customHeight="1">
      <c r="A116" s="17">
        <v>114.0</v>
      </c>
      <c r="B116" s="42">
        <v>87.0</v>
      </c>
      <c r="C116" s="13" t="s">
        <v>4574</v>
      </c>
      <c r="D116" s="13" t="s">
        <v>4575</v>
      </c>
      <c r="E116" s="13" t="s">
        <v>4576</v>
      </c>
      <c r="F116" s="15"/>
      <c r="G116" s="1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2.5" customHeight="1">
      <c r="A117" s="17">
        <v>115.0</v>
      </c>
      <c r="B117" s="42">
        <v>87.0</v>
      </c>
      <c r="C117" s="13" t="s">
        <v>4577</v>
      </c>
      <c r="D117" s="13" t="s">
        <v>4578</v>
      </c>
      <c r="E117" s="13" t="s">
        <v>4579</v>
      </c>
      <c r="F117" s="14" t="s">
        <v>18</v>
      </c>
      <c r="G117" s="1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2.5" customHeight="1">
      <c r="A118" s="17">
        <v>116.0</v>
      </c>
      <c r="B118" s="42">
        <v>86.0</v>
      </c>
      <c r="C118" s="13" t="s">
        <v>4580</v>
      </c>
      <c r="D118" s="13" t="s">
        <v>4581</v>
      </c>
      <c r="E118" s="13" t="s">
        <v>4582</v>
      </c>
      <c r="F118" s="14" t="s">
        <v>18</v>
      </c>
      <c r="G118" s="14" t="s">
        <v>18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2.5" customHeight="1">
      <c r="A119" s="17">
        <v>117.0</v>
      </c>
      <c r="B119" s="42">
        <v>86.0</v>
      </c>
      <c r="C119" s="13" t="s">
        <v>4471</v>
      </c>
      <c r="D119" s="13" t="s">
        <v>4472</v>
      </c>
      <c r="E119" s="13" t="s">
        <v>4473</v>
      </c>
      <c r="F119" s="14" t="s">
        <v>18</v>
      </c>
      <c r="G119" s="1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2.5" customHeight="1">
      <c r="A120" s="17">
        <v>118.0</v>
      </c>
      <c r="B120" s="42">
        <v>86.0</v>
      </c>
      <c r="C120" s="13" t="s">
        <v>4583</v>
      </c>
      <c r="D120" s="13" t="s">
        <v>4584</v>
      </c>
      <c r="E120" s="13" t="s">
        <v>4585</v>
      </c>
      <c r="F120" s="15"/>
      <c r="G120" s="1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2.5" customHeight="1">
      <c r="A121" s="17">
        <v>119.0</v>
      </c>
      <c r="B121" s="42">
        <v>86.0</v>
      </c>
      <c r="C121" s="13" t="s">
        <v>4454</v>
      </c>
      <c r="D121" s="13" t="s">
        <v>4455</v>
      </c>
      <c r="E121" s="13" t="s">
        <v>4456</v>
      </c>
      <c r="F121" s="14" t="s">
        <v>18</v>
      </c>
      <c r="G121" s="1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2.5" customHeight="1">
      <c r="A122" s="17">
        <v>120.0</v>
      </c>
      <c r="B122" s="42">
        <v>86.0</v>
      </c>
      <c r="C122" s="13" t="s">
        <v>4586</v>
      </c>
      <c r="D122" s="13" t="s">
        <v>4587</v>
      </c>
      <c r="E122" s="13" t="s">
        <v>4588</v>
      </c>
      <c r="F122" s="14" t="s">
        <v>18</v>
      </c>
      <c r="G122" s="1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2.5" customHeight="1">
      <c r="A123" s="17">
        <v>121.0</v>
      </c>
      <c r="B123" s="42">
        <v>85.0</v>
      </c>
      <c r="C123" s="13" t="s">
        <v>1983</v>
      </c>
      <c r="D123" s="13" t="s">
        <v>4589</v>
      </c>
      <c r="E123" s="13" t="s">
        <v>1982</v>
      </c>
      <c r="F123" s="15"/>
      <c r="G123" s="1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2.5" customHeight="1">
      <c r="A124" s="17">
        <v>122.0</v>
      </c>
      <c r="B124" s="42">
        <v>85.0</v>
      </c>
      <c r="C124" s="13" t="s">
        <v>4590</v>
      </c>
      <c r="D124" s="13" t="s">
        <v>4591</v>
      </c>
      <c r="E124" s="13" t="s">
        <v>4592</v>
      </c>
      <c r="F124" s="15"/>
      <c r="G124" s="1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2.5" customHeight="1">
      <c r="A125" s="17">
        <v>123.0</v>
      </c>
      <c r="B125" s="42">
        <v>85.0</v>
      </c>
      <c r="C125" s="13" t="s">
        <v>4593</v>
      </c>
      <c r="D125" s="13" t="s">
        <v>4594</v>
      </c>
      <c r="E125" s="13" t="s">
        <v>4595</v>
      </c>
      <c r="F125" s="15"/>
      <c r="G125" s="1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2.5" customHeight="1">
      <c r="A126" s="17">
        <v>124.0</v>
      </c>
      <c r="B126" s="42">
        <v>85.0</v>
      </c>
      <c r="C126" s="13" t="s">
        <v>4596</v>
      </c>
      <c r="D126" s="13" t="s">
        <v>4597</v>
      </c>
      <c r="E126" s="13" t="s">
        <v>4081</v>
      </c>
      <c r="F126" s="14" t="s">
        <v>18</v>
      </c>
      <c r="G126" s="1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2.5" customHeight="1">
      <c r="A127" s="17">
        <v>125.0</v>
      </c>
      <c r="B127" s="42">
        <v>85.0</v>
      </c>
      <c r="C127" s="13" t="s">
        <v>4598</v>
      </c>
      <c r="D127" s="13" t="s">
        <v>4599</v>
      </c>
      <c r="E127" s="13" t="s">
        <v>4600</v>
      </c>
      <c r="F127" s="14" t="s">
        <v>18</v>
      </c>
      <c r="G127" s="1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2.5" customHeight="1">
      <c r="A128" s="17">
        <v>126.0</v>
      </c>
      <c r="B128" s="42">
        <v>84.0</v>
      </c>
      <c r="C128" s="13" t="s">
        <v>4568</v>
      </c>
      <c r="D128" s="13" t="s">
        <v>4569</v>
      </c>
      <c r="E128" s="13" t="s">
        <v>4601</v>
      </c>
      <c r="F128" s="15"/>
      <c r="G128" s="1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2.5" customHeight="1">
      <c r="A129" s="17">
        <v>127.0</v>
      </c>
      <c r="B129" s="42">
        <v>84.0</v>
      </c>
      <c r="C129" s="13" t="s">
        <v>4602</v>
      </c>
      <c r="D129" s="13" t="s">
        <v>4603</v>
      </c>
      <c r="E129" s="13" t="s">
        <v>4604</v>
      </c>
      <c r="F129" s="14" t="s">
        <v>18</v>
      </c>
      <c r="G129" s="1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2.5" customHeight="1">
      <c r="A130" s="17">
        <v>128.0</v>
      </c>
      <c r="B130" s="42">
        <v>84.0</v>
      </c>
      <c r="C130" s="13" t="s">
        <v>4605</v>
      </c>
      <c r="D130" s="13" t="s">
        <v>4606</v>
      </c>
      <c r="E130" s="13" t="s">
        <v>4607</v>
      </c>
      <c r="F130" s="15"/>
      <c r="G130" s="1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2.5" customHeight="1">
      <c r="A131" s="17">
        <v>129.0</v>
      </c>
      <c r="B131" s="42">
        <v>84.0</v>
      </c>
      <c r="C131" s="13" t="s">
        <v>4608</v>
      </c>
      <c r="D131" s="13" t="s">
        <v>4609</v>
      </c>
      <c r="E131" s="13" t="s">
        <v>4610</v>
      </c>
      <c r="F131" s="14" t="s">
        <v>18</v>
      </c>
      <c r="G131" s="1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2.5" customHeight="1">
      <c r="A132" s="17">
        <v>130.0</v>
      </c>
      <c r="B132" s="42">
        <v>84.0</v>
      </c>
      <c r="C132" s="13" t="s">
        <v>4611</v>
      </c>
      <c r="D132" s="13" t="s">
        <v>4612</v>
      </c>
      <c r="E132" s="13" t="s">
        <v>4613</v>
      </c>
      <c r="F132" s="15"/>
      <c r="G132" s="1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2.5" customHeight="1">
      <c r="A133" s="17">
        <v>131.0</v>
      </c>
      <c r="B133" s="42">
        <v>83.0</v>
      </c>
      <c r="C133" s="13" t="s">
        <v>4614</v>
      </c>
      <c r="D133" s="13" t="s">
        <v>4615</v>
      </c>
      <c r="E133" s="13" t="s">
        <v>4616</v>
      </c>
      <c r="F133" s="15"/>
      <c r="G133" s="1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2.5" customHeight="1">
      <c r="A134" s="17">
        <v>132.0</v>
      </c>
      <c r="B134" s="42">
        <v>83.0</v>
      </c>
      <c r="C134" s="13" t="s">
        <v>4617</v>
      </c>
      <c r="D134" s="13" t="s">
        <v>4618</v>
      </c>
      <c r="E134" s="13" t="s">
        <v>4619</v>
      </c>
      <c r="F134" s="14" t="s">
        <v>18</v>
      </c>
      <c r="G134" s="1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2.5" customHeight="1">
      <c r="A135" s="17">
        <v>133.0</v>
      </c>
      <c r="B135" s="42">
        <v>83.0</v>
      </c>
      <c r="C135" s="13" t="s">
        <v>4620</v>
      </c>
      <c r="D135" s="13" t="s">
        <v>4621</v>
      </c>
      <c r="E135" s="13" t="s">
        <v>4622</v>
      </c>
      <c r="F135" s="15"/>
      <c r="G135" s="1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2.5" customHeight="1">
      <c r="A136" s="17">
        <v>134.0</v>
      </c>
      <c r="B136" s="42">
        <v>83.0</v>
      </c>
      <c r="C136" s="13" t="s">
        <v>4623</v>
      </c>
      <c r="D136" s="13" t="s">
        <v>4624</v>
      </c>
      <c r="E136" s="13" t="s">
        <v>4625</v>
      </c>
      <c r="F136" s="14" t="s">
        <v>18</v>
      </c>
      <c r="G136" s="1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2.5" customHeight="1">
      <c r="A137" s="17">
        <v>135.0</v>
      </c>
      <c r="B137" s="42">
        <v>83.0</v>
      </c>
      <c r="C137" s="13" t="s">
        <v>4626</v>
      </c>
      <c r="D137" s="13" t="s">
        <v>4627</v>
      </c>
      <c r="E137" s="13" t="s">
        <v>4628</v>
      </c>
      <c r="F137" s="15"/>
      <c r="G137" s="1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2.5" customHeight="1">
      <c r="A138" s="17">
        <v>136.0</v>
      </c>
      <c r="B138" s="42">
        <v>82.0</v>
      </c>
      <c r="C138" s="13" t="s">
        <v>4629</v>
      </c>
      <c r="D138" s="13" t="s">
        <v>4630</v>
      </c>
      <c r="E138" s="13" t="s">
        <v>4009</v>
      </c>
      <c r="F138" s="14" t="s">
        <v>18</v>
      </c>
      <c r="G138" s="1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2.5" customHeight="1">
      <c r="A139" s="17">
        <v>137.0</v>
      </c>
      <c r="B139" s="42">
        <v>82.0</v>
      </c>
      <c r="C139" s="13" t="s">
        <v>4436</v>
      </c>
      <c r="D139" s="13" t="s">
        <v>4437</v>
      </c>
      <c r="E139" s="13" t="s">
        <v>4631</v>
      </c>
      <c r="F139" s="15"/>
      <c r="G139" s="1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2.5" customHeight="1">
      <c r="A140" s="17">
        <v>138.0</v>
      </c>
      <c r="B140" s="42">
        <v>82.0</v>
      </c>
      <c r="C140" s="13" t="s">
        <v>4632</v>
      </c>
      <c r="D140" s="13" t="s">
        <v>4633</v>
      </c>
      <c r="E140" s="13" t="s">
        <v>4634</v>
      </c>
      <c r="F140" s="15"/>
      <c r="G140" s="1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2.5" customHeight="1">
      <c r="A141" s="17">
        <v>139.0</v>
      </c>
      <c r="B141" s="42">
        <v>82.0</v>
      </c>
      <c r="C141" s="13" t="s">
        <v>4635</v>
      </c>
      <c r="D141" s="13" t="s">
        <v>4636</v>
      </c>
      <c r="E141" s="13" t="s">
        <v>4637</v>
      </c>
      <c r="F141" s="14" t="s">
        <v>18</v>
      </c>
      <c r="G141" s="1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2.5" customHeight="1">
      <c r="A142" s="17">
        <v>140.0</v>
      </c>
      <c r="B142" s="42">
        <v>82.0</v>
      </c>
      <c r="C142" s="13" t="s">
        <v>4638</v>
      </c>
      <c r="D142" s="13" t="s">
        <v>4639</v>
      </c>
      <c r="E142" s="13" t="s">
        <v>4640</v>
      </c>
      <c r="F142" s="14" t="s">
        <v>18</v>
      </c>
      <c r="G142" s="1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2.5" customHeight="1">
      <c r="A143" s="17">
        <v>141.0</v>
      </c>
      <c r="B143" s="42">
        <v>81.0</v>
      </c>
      <c r="C143" s="13" t="s">
        <v>4641</v>
      </c>
      <c r="D143" s="13" t="s">
        <v>4642</v>
      </c>
      <c r="E143" s="13" t="s">
        <v>4643</v>
      </c>
      <c r="F143" s="15"/>
      <c r="G143" s="1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2.5" customHeight="1">
      <c r="A144" s="17">
        <v>142.0</v>
      </c>
      <c r="B144" s="42">
        <v>81.0</v>
      </c>
      <c r="C144" s="13" t="s">
        <v>4644</v>
      </c>
      <c r="D144" s="13" t="s">
        <v>4645</v>
      </c>
      <c r="E144" s="13" t="s">
        <v>4646</v>
      </c>
      <c r="F144" s="14" t="s">
        <v>18</v>
      </c>
      <c r="G144" s="1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2.5" customHeight="1">
      <c r="A145" s="17">
        <v>143.0</v>
      </c>
      <c r="B145" s="42">
        <v>81.0</v>
      </c>
      <c r="C145" s="13" t="s">
        <v>4647</v>
      </c>
      <c r="D145" s="13" t="s">
        <v>4648</v>
      </c>
      <c r="E145" s="13" t="s">
        <v>4649</v>
      </c>
      <c r="F145" s="14" t="s">
        <v>18</v>
      </c>
      <c r="G145" s="1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2.5" customHeight="1">
      <c r="A146" s="17">
        <v>144.0</v>
      </c>
      <c r="B146" s="42">
        <v>81.0</v>
      </c>
      <c r="C146" s="13" t="s">
        <v>4650</v>
      </c>
      <c r="D146" s="13" t="s">
        <v>4651</v>
      </c>
      <c r="E146" s="13" t="s">
        <v>4652</v>
      </c>
      <c r="F146" s="14" t="s">
        <v>18</v>
      </c>
      <c r="G146" s="1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2.5" customHeight="1">
      <c r="A147" s="17">
        <v>145.0</v>
      </c>
      <c r="B147" s="42">
        <v>81.0</v>
      </c>
      <c r="C147" s="13" t="s">
        <v>4653</v>
      </c>
      <c r="D147" s="13" t="s">
        <v>4654</v>
      </c>
      <c r="E147" s="13" t="s">
        <v>4655</v>
      </c>
      <c r="F147" s="15"/>
      <c r="G147" s="1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2.5" customHeight="1">
      <c r="A148" s="17">
        <v>146.0</v>
      </c>
      <c r="B148" s="42">
        <v>80.0</v>
      </c>
      <c r="C148" s="13" t="s">
        <v>4656</v>
      </c>
      <c r="D148" s="13" t="s">
        <v>4657</v>
      </c>
      <c r="E148" s="13" t="s">
        <v>4658</v>
      </c>
      <c r="F148" s="15"/>
      <c r="G148" s="1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2.5" customHeight="1">
      <c r="A149" s="17">
        <v>147.0</v>
      </c>
      <c r="B149" s="42">
        <v>80.0</v>
      </c>
      <c r="C149" s="13" t="s">
        <v>4659</v>
      </c>
      <c r="D149" s="13" t="s">
        <v>4660</v>
      </c>
      <c r="E149" s="13" t="s">
        <v>4661</v>
      </c>
      <c r="F149" s="15"/>
      <c r="G149" s="1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2.5" customHeight="1">
      <c r="A150" s="17">
        <v>148.0</v>
      </c>
      <c r="B150" s="42">
        <v>80.0</v>
      </c>
      <c r="C150" s="13" t="s">
        <v>4662</v>
      </c>
      <c r="D150" s="13" t="s">
        <v>4663</v>
      </c>
      <c r="E150" s="13" t="s">
        <v>2145</v>
      </c>
      <c r="F150" s="15"/>
      <c r="G150" s="1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2.5" customHeight="1">
      <c r="A151" s="17">
        <v>149.0</v>
      </c>
      <c r="B151" s="42">
        <v>80.0</v>
      </c>
      <c r="C151" s="13" t="s">
        <v>4664</v>
      </c>
      <c r="D151" s="13" t="s">
        <v>4665</v>
      </c>
      <c r="E151" s="13" t="s">
        <v>4666</v>
      </c>
      <c r="F151" s="14" t="s">
        <v>18</v>
      </c>
      <c r="G151" s="1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2.5" customHeight="1">
      <c r="A152" s="17">
        <v>150.0</v>
      </c>
      <c r="B152" s="42">
        <v>80.0</v>
      </c>
      <c r="C152" s="13" t="s">
        <v>4667</v>
      </c>
      <c r="D152" s="13" t="s">
        <v>4668</v>
      </c>
      <c r="E152" s="13" t="s">
        <v>4669</v>
      </c>
      <c r="F152" s="14" t="s">
        <v>18</v>
      </c>
      <c r="G152" s="1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2.5" customHeight="1">
      <c r="A153" s="17">
        <v>151.0</v>
      </c>
      <c r="B153" s="42">
        <v>79.0</v>
      </c>
      <c r="C153" s="13" t="s">
        <v>4670</v>
      </c>
      <c r="D153" s="13" t="s">
        <v>4671</v>
      </c>
      <c r="E153" s="13" t="s">
        <v>4672</v>
      </c>
      <c r="F153" s="15"/>
      <c r="G153" s="1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2.5" customHeight="1">
      <c r="A154" s="17">
        <v>152.0</v>
      </c>
      <c r="B154" s="42">
        <v>79.0</v>
      </c>
      <c r="C154" s="13" t="s">
        <v>4673</v>
      </c>
      <c r="D154" s="13" t="s">
        <v>4674</v>
      </c>
      <c r="E154" s="13" t="s">
        <v>4675</v>
      </c>
      <c r="F154" s="14" t="s">
        <v>18</v>
      </c>
      <c r="G154" s="1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2.5" customHeight="1">
      <c r="A155" s="17">
        <v>153.0</v>
      </c>
      <c r="B155" s="42">
        <v>79.0</v>
      </c>
      <c r="C155" s="13" t="s">
        <v>4676</v>
      </c>
      <c r="D155" s="13" t="s">
        <v>4677</v>
      </c>
      <c r="E155" s="13" t="s">
        <v>4678</v>
      </c>
      <c r="F155" s="14" t="s">
        <v>18</v>
      </c>
      <c r="G155" s="1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2.5" customHeight="1">
      <c r="A156" s="17">
        <v>154.0</v>
      </c>
      <c r="B156" s="42">
        <v>79.0</v>
      </c>
      <c r="C156" s="13" t="s">
        <v>4679</v>
      </c>
      <c r="D156" s="13" t="s">
        <v>4680</v>
      </c>
      <c r="E156" s="13" t="s">
        <v>4681</v>
      </c>
      <c r="F156" s="14" t="s">
        <v>18</v>
      </c>
      <c r="G156" s="1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2.5" customHeight="1">
      <c r="A157" s="17">
        <v>155.0</v>
      </c>
      <c r="B157" s="42">
        <v>79.0</v>
      </c>
      <c r="C157" s="13" t="s">
        <v>4682</v>
      </c>
      <c r="D157" s="13" t="s">
        <v>4683</v>
      </c>
      <c r="E157" s="13" t="s">
        <v>4684</v>
      </c>
      <c r="F157" s="15"/>
      <c r="G157" s="1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2.5" customHeight="1">
      <c r="A158" s="17">
        <v>156.0</v>
      </c>
      <c r="B158" s="42">
        <v>78.0</v>
      </c>
      <c r="C158" s="13" t="s">
        <v>4685</v>
      </c>
      <c r="D158" s="13" t="s">
        <v>4686</v>
      </c>
      <c r="E158" s="13" t="s">
        <v>4687</v>
      </c>
      <c r="F158" s="14" t="s">
        <v>18</v>
      </c>
      <c r="G158" s="1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2.5" customHeight="1">
      <c r="A159" s="17">
        <v>157.0</v>
      </c>
      <c r="B159" s="42">
        <v>78.0</v>
      </c>
      <c r="C159" s="13" t="s">
        <v>4688</v>
      </c>
      <c r="D159" s="13" t="s">
        <v>4689</v>
      </c>
      <c r="E159" s="13" t="s">
        <v>4690</v>
      </c>
      <c r="F159" s="14" t="s">
        <v>18</v>
      </c>
      <c r="G159" s="1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2.5" customHeight="1">
      <c r="A160" s="17">
        <v>158.0</v>
      </c>
      <c r="B160" s="42">
        <v>78.0</v>
      </c>
      <c r="C160" s="13" t="s">
        <v>4322</v>
      </c>
      <c r="D160" s="13" t="s">
        <v>4323</v>
      </c>
      <c r="E160" s="13" t="s">
        <v>4691</v>
      </c>
      <c r="F160" s="15"/>
      <c r="G160" s="1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2.5" customHeight="1">
      <c r="A161" s="17">
        <v>159.0</v>
      </c>
      <c r="B161" s="42">
        <v>78.0</v>
      </c>
      <c r="C161" s="13" t="s">
        <v>4692</v>
      </c>
      <c r="D161" s="13" t="s">
        <v>4693</v>
      </c>
      <c r="E161" s="13" t="s">
        <v>4694</v>
      </c>
      <c r="F161" s="14" t="s">
        <v>18</v>
      </c>
      <c r="G161" s="1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2.5" customHeight="1">
      <c r="A162" s="17">
        <v>160.0</v>
      </c>
      <c r="B162" s="42">
        <v>78.0</v>
      </c>
      <c r="C162" s="13" t="s">
        <v>4695</v>
      </c>
      <c r="D162" s="13" t="s">
        <v>4696</v>
      </c>
      <c r="E162" s="13" t="s">
        <v>4697</v>
      </c>
      <c r="F162" s="14" t="s">
        <v>18</v>
      </c>
      <c r="G162" s="1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2.5" customHeight="1">
      <c r="A163" s="17">
        <v>161.0</v>
      </c>
      <c r="B163" s="42">
        <v>77.0</v>
      </c>
      <c r="C163" s="13" t="s">
        <v>4698</v>
      </c>
      <c r="D163" s="13" t="s">
        <v>4699</v>
      </c>
      <c r="E163" s="13" t="s">
        <v>4700</v>
      </c>
      <c r="F163" s="15"/>
      <c r="G163" s="1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2.5" customHeight="1">
      <c r="A164" s="17">
        <v>162.0</v>
      </c>
      <c r="B164" s="42">
        <v>77.0</v>
      </c>
      <c r="C164" s="13" t="s">
        <v>4701</v>
      </c>
      <c r="D164" s="13" t="s">
        <v>4702</v>
      </c>
      <c r="E164" s="13" t="s">
        <v>4703</v>
      </c>
      <c r="F164" s="14" t="s">
        <v>18</v>
      </c>
      <c r="G164" s="1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2.5" customHeight="1">
      <c r="A165" s="17">
        <v>163.0</v>
      </c>
      <c r="B165" s="42">
        <v>77.0</v>
      </c>
      <c r="C165" s="13" t="s">
        <v>4428</v>
      </c>
      <c r="D165" s="13" t="s">
        <v>4396</v>
      </c>
      <c r="E165" s="13" t="s">
        <v>4704</v>
      </c>
      <c r="F165" s="15"/>
      <c r="G165" s="1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2.5" customHeight="1">
      <c r="A166" s="17">
        <v>164.0</v>
      </c>
      <c r="B166" s="42">
        <v>77.0</v>
      </c>
      <c r="C166" s="13" t="s">
        <v>4269</v>
      </c>
      <c r="D166" s="13" t="s">
        <v>4270</v>
      </c>
      <c r="E166" s="13" t="s">
        <v>4705</v>
      </c>
      <c r="F166" s="14" t="s">
        <v>18</v>
      </c>
      <c r="G166" s="1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2.5" customHeight="1">
      <c r="A167" s="17">
        <v>165.0</v>
      </c>
      <c r="B167" s="42">
        <v>77.0</v>
      </c>
      <c r="C167" s="13" t="s">
        <v>4706</v>
      </c>
      <c r="D167" s="13" t="s">
        <v>4707</v>
      </c>
      <c r="E167" s="13" t="s">
        <v>4708</v>
      </c>
      <c r="F167" s="15"/>
      <c r="G167" s="1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2.5" customHeight="1">
      <c r="A168" s="17">
        <v>166.0</v>
      </c>
      <c r="B168" s="42">
        <v>76.0</v>
      </c>
      <c r="C168" s="13" t="s">
        <v>4559</v>
      </c>
      <c r="D168" s="13" t="s">
        <v>4560</v>
      </c>
      <c r="E168" s="13" t="s">
        <v>4709</v>
      </c>
      <c r="F168" s="15"/>
      <c r="G168" s="1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2.5" customHeight="1">
      <c r="A169" s="17">
        <v>167.0</v>
      </c>
      <c r="B169" s="42">
        <v>76.0</v>
      </c>
      <c r="C169" s="13" t="s">
        <v>4710</v>
      </c>
      <c r="D169" s="13" t="s">
        <v>4711</v>
      </c>
      <c r="E169" s="13" t="s">
        <v>4712</v>
      </c>
      <c r="F169" s="15"/>
      <c r="G169" s="1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2.5" customHeight="1">
      <c r="A170" s="17">
        <v>168.0</v>
      </c>
      <c r="B170" s="42">
        <v>76.0</v>
      </c>
      <c r="C170" s="13" t="s">
        <v>4713</v>
      </c>
      <c r="D170" s="13" t="s">
        <v>4714</v>
      </c>
      <c r="E170" s="13" t="s">
        <v>4715</v>
      </c>
      <c r="F170" s="14" t="s">
        <v>18</v>
      </c>
      <c r="G170" s="1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2.5" customHeight="1">
      <c r="A171" s="17">
        <v>169.0</v>
      </c>
      <c r="B171" s="42">
        <v>76.0</v>
      </c>
      <c r="C171" s="13" t="s">
        <v>3471</v>
      </c>
      <c r="D171" s="13" t="s">
        <v>4716</v>
      </c>
      <c r="E171" s="13" t="s">
        <v>4717</v>
      </c>
      <c r="F171" s="14" t="s">
        <v>18</v>
      </c>
      <c r="G171" s="1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2.5" customHeight="1">
      <c r="A172" s="17">
        <v>170.0</v>
      </c>
      <c r="B172" s="42">
        <v>76.0</v>
      </c>
      <c r="C172" s="13" t="s">
        <v>4718</v>
      </c>
      <c r="D172" s="13" t="s">
        <v>4719</v>
      </c>
      <c r="E172" s="13" t="s">
        <v>4720</v>
      </c>
      <c r="F172" s="15"/>
      <c r="G172" s="1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2.5" customHeight="1">
      <c r="A173" s="17">
        <v>171.0</v>
      </c>
      <c r="B173" s="42">
        <v>75.0</v>
      </c>
      <c r="C173" s="13" t="s">
        <v>4721</v>
      </c>
      <c r="D173" s="13" t="s">
        <v>4722</v>
      </c>
      <c r="E173" s="13" t="s">
        <v>4723</v>
      </c>
      <c r="F173" s="14" t="s">
        <v>18</v>
      </c>
      <c r="G173" s="1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2.5" customHeight="1">
      <c r="A174" s="17">
        <v>172.0</v>
      </c>
      <c r="B174" s="42">
        <v>75.0</v>
      </c>
      <c r="C174" s="13" t="s">
        <v>4724</v>
      </c>
      <c r="D174" s="13" t="s">
        <v>4725</v>
      </c>
      <c r="E174" s="13" t="s">
        <v>4726</v>
      </c>
      <c r="F174" s="15"/>
      <c r="G174" s="1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2.5" customHeight="1">
      <c r="A175" s="17">
        <v>173.0</v>
      </c>
      <c r="B175" s="42">
        <v>75.0</v>
      </c>
      <c r="C175" s="13" t="s">
        <v>4727</v>
      </c>
      <c r="D175" s="13" t="s">
        <v>4728</v>
      </c>
      <c r="E175" s="13" t="s">
        <v>4729</v>
      </c>
      <c r="F175" s="14" t="s">
        <v>18</v>
      </c>
      <c r="G175" s="1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2.5" customHeight="1">
      <c r="A176" s="17">
        <v>174.0</v>
      </c>
      <c r="B176" s="42">
        <v>75.0</v>
      </c>
      <c r="C176" s="13" t="s">
        <v>4730</v>
      </c>
      <c r="D176" s="13" t="s">
        <v>4731</v>
      </c>
      <c r="E176" s="13" t="s">
        <v>4732</v>
      </c>
      <c r="F176" s="14" t="s">
        <v>18</v>
      </c>
      <c r="G176" s="1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2.5" customHeight="1">
      <c r="A177" s="17">
        <v>175.0</v>
      </c>
      <c r="B177" s="42">
        <v>75.0</v>
      </c>
      <c r="C177" s="13" t="s">
        <v>4733</v>
      </c>
      <c r="D177" s="13" t="s">
        <v>4734</v>
      </c>
      <c r="E177" s="13" t="s">
        <v>4735</v>
      </c>
      <c r="F177" s="14" t="s">
        <v>18</v>
      </c>
      <c r="G177" s="1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2.5" customHeight="1">
      <c r="A178" s="17">
        <v>176.0</v>
      </c>
      <c r="B178" s="42">
        <v>74.0</v>
      </c>
      <c r="C178" s="13" t="s">
        <v>4736</v>
      </c>
      <c r="D178" s="13" t="s">
        <v>4737</v>
      </c>
      <c r="E178" s="13" t="s">
        <v>4738</v>
      </c>
      <c r="F178" s="14" t="s">
        <v>18</v>
      </c>
      <c r="G178" s="1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2.5" customHeight="1">
      <c r="A179" s="17">
        <v>177.0</v>
      </c>
      <c r="B179" s="42">
        <v>74.0</v>
      </c>
      <c r="C179" s="13" t="s">
        <v>4739</v>
      </c>
      <c r="D179" s="13" t="s">
        <v>4545</v>
      </c>
      <c r="E179" s="13" t="s">
        <v>4740</v>
      </c>
      <c r="F179" s="15"/>
      <c r="G179" s="1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2.5" customHeight="1">
      <c r="A180" s="17">
        <v>178.0</v>
      </c>
      <c r="B180" s="42">
        <v>74.0</v>
      </c>
      <c r="C180" s="13" t="s">
        <v>3647</v>
      </c>
      <c r="D180" s="13" t="s">
        <v>4741</v>
      </c>
      <c r="E180" s="13" t="s">
        <v>4742</v>
      </c>
      <c r="F180" s="14" t="s">
        <v>18</v>
      </c>
      <c r="G180" s="1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2.5" customHeight="1">
      <c r="A181" s="17">
        <v>179.0</v>
      </c>
      <c r="B181" s="42">
        <v>74.0</v>
      </c>
      <c r="C181" s="13" t="s">
        <v>4743</v>
      </c>
      <c r="D181" s="13" t="s">
        <v>4744</v>
      </c>
      <c r="E181" s="13" t="s">
        <v>4745</v>
      </c>
      <c r="F181" s="15"/>
      <c r="G181" s="1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2.5" customHeight="1">
      <c r="A182" s="17">
        <v>180.0</v>
      </c>
      <c r="B182" s="42">
        <v>74.0</v>
      </c>
      <c r="C182" s="13" t="s">
        <v>4746</v>
      </c>
      <c r="D182" s="13" t="s">
        <v>4747</v>
      </c>
      <c r="E182" s="13" t="s">
        <v>4748</v>
      </c>
      <c r="F182" s="14" t="s">
        <v>18</v>
      </c>
      <c r="G182" s="1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2.5" customHeight="1">
      <c r="A183" s="17">
        <v>181.0</v>
      </c>
      <c r="B183" s="42">
        <v>73.0</v>
      </c>
      <c r="C183" s="13" t="s">
        <v>4269</v>
      </c>
      <c r="D183" s="13" t="s">
        <v>4270</v>
      </c>
      <c r="E183" s="13" t="s">
        <v>4705</v>
      </c>
      <c r="F183" s="15"/>
      <c r="G183" s="1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2.5" customHeight="1">
      <c r="A184" s="17">
        <v>182.0</v>
      </c>
      <c r="B184" s="42">
        <v>73.0</v>
      </c>
      <c r="C184" s="13" t="s">
        <v>4749</v>
      </c>
      <c r="D184" s="13" t="s">
        <v>4750</v>
      </c>
      <c r="E184" s="13" t="s">
        <v>4751</v>
      </c>
      <c r="F184" s="15"/>
      <c r="G184" s="1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2.5" customHeight="1">
      <c r="A185" s="17">
        <v>183.0</v>
      </c>
      <c r="B185" s="42">
        <v>73.0</v>
      </c>
      <c r="C185" s="13" t="s">
        <v>4752</v>
      </c>
      <c r="D185" s="13" t="s">
        <v>4753</v>
      </c>
      <c r="E185" s="13" t="s">
        <v>4754</v>
      </c>
      <c r="F185" s="15"/>
      <c r="G185" s="1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2.5" customHeight="1">
      <c r="A186" s="17">
        <v>184.0</v>
      </c>
      <c r="B186" s="42">
        <v>73.0</v>
      </c>
      <c r="C186" s="13" t="s">
        <v>4755</v>
      </c>
      <c r="D186" s="13" t="s">
        <v>4756</v>
      </c>
      <c r="E186" s="13" t="s">
        <v>4757</v>
      </c>
      <c r="F186" s="15"/>
      <c r="G186" s="1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2.5" customHeight="1">
      <c r="A187" s="17">
        <v>185.0</v>
      </c>
      <c r="B187" s="42">
        <v>73.0</v>
      </c>
      <c r="C187" s="13" t="s">
        <v>4430</v>
      </c>
      <c r="D187" s="13" t="s">
        <v>4431</v>
      </c>
      <c r="E187" s="13" t="s">
        <v>4758</v>
      </c>
      <c r="F187" s="15"/>
      <c r="G187" s="1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2.5" customHeight="1">
      <c r="A188" s="17">
        <v>186.0</v>
      </c>
      <c r="B188" s="42">
        <v>72.0</v>
      </c>
      <c r="C188" s="13" t="s">
        <v>4759</v>
      </c>
      <c r="D188" s="13" t="s">
        <v>4760</v>
      </c>
      <c r="E188" s="13" t="s">
        <v>4761</v>
      </c>
      <c r="F188" s="14" t="s">
        <v>18</v>
      </c>
      <c r="G188" s="1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2.5" customHeight="1">
      <c r="A189" s="17">
        <v>187.0</v>
      </c>
      <c r="B189" s="42">
        <v>72.0</v>
      </c>
      <c r="C189" s="13" t="s">
        <v>4762</v>
      </c>
      <c r="D189" s="13" t="s">
        <v>4763</v>
      </c>
      <c r="E189" s="13" t="s">
        <v>4764</v>
      </c>
      <c r="F189" s="14" t="s">
        <v>18</v>
      </c>
      <c r="G189" s="1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2.5" customHeight="1">
      <c r="A190" s="17">
        <v>188.0</v>
      </c>
      <c r="B190" s="42">
        <v>72.0</v>
      </c>
      <c r="C190" s="13" t="s">
        <v>4765</v>
      </c>
      <c r="D190" s="13" t="s">
        <v>4766</v>
      </c>
      <c r="E190" s="13" t="s">
        <v>4767</v>
      </c>
      <c r="F190" s="14" t="s">
        <v>18</v>
      </c>
      <c r="G190" s="1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2.5" customHeight="1">
      <c r="A191" s="17">
        <v>189.0</v>
      </c>
      <c r="B191" s="42">
        <v>72.0</v>
      </c>
      <c r="C191" s="13" t="s">
        <v>4768</v>
      </c>
      <c r="D191" s="13" t="s">
        <v>4769</v>
      </c>
      <c r="E191" s="13" t="s">
        <v>4770</v>
      </c>
      <c r="F191" s="15"/>
      <c r="G191" s="1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2.5" customHeight="1">
      <c r="A192" s="17">
        <v>190.0</v>
      </c>
      <c r="B192" s="42">
        <v>72.0</v>
      </c>
      <c r="C192" s="13" t="s">
        <v>4771</v>
      </c>
      <c r="D192" s="13" t="s">
        <v>4772</v>
      </c>
      <c r="E192" s="13" t="s">
        <v>4773</v>
      </c>
      <c r="F192" s="14" t="s">
        <v>18</v>
      </c>
      <c r="G192" s="1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2.5" customHeight="1">
      <c r="A193" s="17">
        <v>191.0</v>
      </c>
      <c r="B193" s="42">
        <v>71.0</v>
      </c>
      <c r="C193" s="13" t="s">
        <v>4774</v>
      </c>
      <c r="D193" s="13" t="s">
        <v>4775</v>
      </c>
      <c r="E193" s="13" t="s">
        <v>4776</v>
      </c>
      <c r="F193" s="14" t="s">
        <v>18</v>
      </c>
      <c r="G193" s="1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2.5" customHeight="1">
      <c r="A194" s="17">
        <v>192.0</v>
      </c>
      <c r="B194" s="42">
        <v>71.0</v>
      </c>
      <c r="C194" s="13" t="s">
        <v>4777</v>
      </c>
      <c r="D194" s="13" t="s">
        <v>4778</v>
      </c>
      <c r="E194" s="13" t="s">
        <v>4779</v>
      </c>
      <c r="F194" s="15"/>
      <c r="G194" s="1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2.5" customHeight="1">
      <c r="A195" s="17">
        <v>193.0</v>
      </c>
      <c r="B195" s="42">
        <v>71.0</v>
      </c>
      <c r="C195" s="13" t="s">
        <v>4780</v>
      </c>
      <c r="D195" s="13" t="s">
        <v>4781</v>
      </c>
      <c r="E195" s="13" t="s">
        <v>4782</v>
      </c>
      <c r="F195" s="14" t="s">
        <v>18</v>
      </c>
      <c r="G195" s="1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2.5" customHeight="1">
      <c r="A196" s="17">
        <v>194.0</v>
      </c>
      <c r="B196" s="42">
        <v>71.0</v>
      </c>
      <c r="C196" s="13" t="s">
        <v>4783</v>
      </c>
      <c r="D196" s="13" t="s">
        <v>4784</v>
      </c>
      <c r="E196" s="13" t="s">
        <v>4785</v>
      </c>
      <c r="F196" s="15"/>
      <c r="G196" s="1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2.5" customHeight="1">
      <c r="A197" s="17">
        <v>195.0</v>
      </c>
      <c r="B197" s="42">
        <v>71.0</v>
      </c>
      <c r="C197" s="13" t="s">
        <v>4786</v>
      </c>
      <c r="D197" s="13" t="s">
        <v>4787</v>
      </c>
      <c r="E197" s="13" t="s">
        <v>4788</v>
      </c>
      <c r="F197" s="15"/>
      <c r="G197" s="1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2.5" customHeight="1">
      <c r="A198" s="17">
        <v>196.0</v>
      </c>
      <c r="B198" s="42">
        <v>70.0</v>
      </c>
      <c r="C198" s="13" t="s">
        <v>4789</v>
      </c>
      <c r="D198" s="13" t="s">
        <v>4790</v>
      </c>
      <c r="E198" s="13" t="s">
        <v>4791</v>
      </c>
      <c r="F198" s="15"/>
      <c r="G198" s="1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2.5" customHeight="1">
      <c r="A199" s="17">
        <v>197.0</v>
      </c>
      <c r="B199" s="42">
        <v>70.0</v>
      </c>
      <c r="C199" s="13" t="s">
        <v>4792</v>
      </c>
      <c r="D199" s="13" t="s">
        <v>2021</v>
      </c>
      <c r="E199" s="13" t="s">
        <v>4793</v>
      </c>
      <c r="F199" s="14" t="s">
        <v>18</v>
      </c>
      <c r="G199" s="1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2.5" customHeight="1">
      <c r="A200" s="17">
        <v>198.0</v>
      </c>
      <c r="B200" s="42">
        <v>70.0</v>
      </c>
      <c r="C200" s="13" t="s">
        <v>4794</v>
      </c>
      <c r="D200" s="13" t="s">
        <v>4795</v>
      </c>
      <c r="E200" s="13" t="s">
        <v>4796</v>
      </c>
      <c r="F200" s="15"/>
      <c r="G200" s="1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2.5" customHeight="1">
      <c r="A201" s="17">
        <v>199.0</v>
      </c>
      <c r="B201" s="42">
        <v>70.0</v>
      </c>
      <c r="C201" s="13" t="s">
        <v>4797</v>
      </c>
      <c r="D201" s="13" t="s">
        <v>4798</v>
      </c>
      <c r="E201" s="13" t="s">
        <v>4799</v>
      </c>
      <c r="F201" s="15"/>
      <c r="G201" s="1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2.5" customHeight="1">
      <c r="A202" s="17">
        <v>200.0</v>
      </c>
      <c r="B202" s="42">
        <v>70.0</v>
      </c>
      <c r="C202" s="13" t="s">
        <v>4800</v>
      </c>
      <c r="D202" s="13" t="s">
        <v>4801</v>
      </c>
      <c r="E202" s="13" t="s">
        <v>4802</v>
      </c>
      <c r="F202" s="15"/>
      <c r="G202" s="1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2.5" customHeight="1">
      <c r="A203" s="17">
        <v>201.0</v>
      </c>
      <c r="B203" s="42">
        <v>69.0</v>
      </c>
      <c r="C203" s="13" t="s">
        <v>3692</v>
      </c>
      <c r="D203" s="13" t="s">
        <v>4803</v>
      </c>
      <c r="E203" s="13" t="s">
        <v>4804</v>
      </c>
      <c r="F203" s="15"/>
      <c r="G203" s="1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2.5" customHeight="1">
      <c r="A204" s="17">
        <v>202.0</v>
      </c>
      <c r="B204" s="42">
        <v>69.0</v>
      </c>
      <c r="C204" s="13" t="s">
        <v>4805</v>
      </c>
      <c r="D204" s="13" t="s">
        <v>4806</v>
      </c>
      <c r="E204" s="13" t="s">
        <v>4807</v>
      </c>
      <c r="F204" s="14" t="s">
        <v>18</v>
      </c>
      <c r="G204" s="1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2.5" customHeight="1">
      <c r="A205" s="17">
        <v>203.0</v>
      </c>
      <c r="B205" s="42">
        <v>69.0</v>
      </c>
      <c r="C205" s="13" t="s">
        <v>4808</v>
      </c>
      <c r="D205" s="13" t="s">
        <v>4809</v>
      </c>
      <c r="E205" s="13" t="s">
        <v>4810</v>
      </c>
      <c r="F205" s="14" t="s">
        <v>18</v>
      </c>
      <c r="G205" s="1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2.5" customHeight="1">
      <c r="A206" s="17">
        <v>204.0</v>
      </c>
      <c r="B206" s="42">
        <v>69.0</v>
      </c>
      <c r="C206" s="13" t="s">
        <v>4811</v>
      </c>
      <c r="D206" s="13" t="s">
        <v>4812</v>
      </c>
      <c r="E206" s="13" t="s">
        <v>4813</v>
      </c>
      <c r="F206" s="14" t="s">
        <v>18</v>
      </c>
      <c r="G206" s="1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2.5" customHeight="1">
      <c r="A207" s="17">
        <v>205.0</v>
      </c>
      <c r="B207" s="42">
        <v>69.0</v>
      </c>
      <c r="C207" s="13" t="s">
        <v>4814</v>
      </c>
      <c r="D207" s="13" t="s">
        <v>4815</v>
      </c>
      <c r="E207" s="13" t="s">
        <v>4816</v>
      </c>
      <c r="F207" s="14" t="s">
        <v>18</v>
      </c>
      <c r="G207" s="1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2.5" customHeight="1">
      <c r="A208" s="17">
        <v>206.0</v>
      </c>
      <c r="B208" s="42">
        <v>68.0</v>
      </c>
      <c r="C208" s="13" t="s">
        <v>4817</v>
      </c>
      <c r="D208" s="13" t="s">
        <v>4818</v>
      </c>
      <c r="E208" s="13" t="s">
        <v>4819</v>
      </c>
      <c r="F208" s="15"/>
      <c r="G208" s="1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2.5" customHeight="1">
      <c r="A209" s="17">
        <v>207.0</v>
      </c>
      <c r="B209" s="42">
        <v>68.0</v>
      </c>
      <c r="C209" s="13" t="s">
        <v>4820</v>
      </c>
      <c r="D209" s="13" t="s">
        <v>4821</v>
      </c>
      <c r="E209" s="13" t="s">
        <v>4822</v>
      </c>
      <c r="F209" s="14" t="s">
        <v>18</v>
      </c>
      <c r="G209" s="1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2.5" customHeight="1">
      <c r="A210" s="17">
        <v>208.0</v>
      </c>
      <c r="B210" s="42">
        <v>68.0</v>
      </c>
      <c r="C210" s="13" t="s">
        <v>4823</v>
      </c>
      <c r="D210" s="13" t="s">
        <v>4824</v>
      </c>
      <c r="E210" s="13" t="s">
        <v>4825</v>
      </c>
      <c r="F210" s="15"/>
      <c r="G210" s="1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2.5" customHeight="1">
      <c r="A211" s="17">
        <v>209.0</v>
      </c>
      <c r="B211" s="42">
        <v>68.0</v>
      </c>
      <c r="C211" s="13" t="s">
        <v>4826</v>
      </c>
      <c r="D211" s="13" t="s">
        <v>4827</v>
      </c>
      <c r="E211" s="13" t="s">
        <v>4828</v>
      </c>
      <c r="F211" s="14" t="s">
        <v>18</v>
      </c>
      <c r="G211" s="1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2.5" customHeight="1">
      <c r="A212" s="17">
        <v>210.0</v>
      </c>
      <c r="B212" s="42">
        <v>68.0</v>
      </c>
      <c r="C212" s="13" t="s">
        <v>3775</v>
      </c>
      <c r="D212" s="13" t="s">
        <v>4829</v>
      </c>
      <c r="E212" s="13" t="s">
        <v>4830</v>
      </c>
      <c r="F212" s="15"/>
      <c r="G212" s="1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2.5" customHeight="1">
      <c r="A213" s="17">
        <v>211.0</v>
      </c>
      <c r="B213" s="42">
        <v>67.0</v>
      </c>
      <c r="C213" s="13" t="s">
        <v>4831</v>
      </c>
      <c r="D213" s="13" t="s">
        <v>4832</v>
      </c>
      <c r="E213" s="13" t="s">
        <v>4833</v>
      </c>
      <c r="F213" s="15"/>
      <c r="G213" s="1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2.5" customHeight="1">
      <c r="A214" s="17">
        <v>212.0</v>
      </c>
      <c r="B214" s="42">
        <v>67.0</v>
      </c>
      <c r="C214" s="13" t="s">
        <v>4834</v>
      </c>
      <c r="D214" s="13" t="s">
        <v>4835</v>
      </c>
      <c r="E214" s="13" t="s">
        <v>4836</v>
      </c>
      <c r="F214" s="15"/>
      <c r="G214" s="1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2.5" customHeight="1">
      <c r="A215" s="17">
        <v>213.0</v>
      </c>
      <c r="B215" s="42">
        <v>67.0</v>
      </c>
      <c r="C215" s="13" t="s">
        <v>4706</v>
      </c>
      <c r="D215" s="13" t="s">
        <v>4707</v>
      </c>
      <c r="E215" s="13" t="s">
        <v>4708</v>
      </c>
      <c r="F215" s="14" t="s">
        <v>18</v>
      </c>
      <c r="G215" s="1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2.5" customHeight="1">
      <c r="A216" s="17">
        <v>214.0</v>
      </c>
      <c r="B216" s="42">
        <v>67.0</v>
      </c>
      <c r="C216" s="13" t="s">
        <v>4269</v>
      </c>
      <c r="D216" s="13" t="s">
        <v>4270</v>
      </c>
      <c r="E216" s="13" t="s">
        <v>4705</v>
      </c>
      <c r="F216" s="15"/>
      <c r="G216" s="1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2.5" customHeight="1">
      <c r="A217" s="17">
        <v>215.0</v>
      </c>
      <c r="B217" s="42">
        <v>67.0</v>
      </c>
      <c r="C217" s="13" t="s">
        <v>4837</v>
      </c>
      <c r="D217" s="13" t="s">
        <v>4838</v>
      </c>
      <c r="E217" s="13" t="s">
        <v>4839</v>
      </c>
      <c r="F217" s="14" t="s">
        <v>18</v>
      </c>
      <c r="G217" s="1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2.5" customHeight="1">
      <c r="A218" s="17">
        <v>216.0</v>
      </c>
      <c r="B218" s="42">
        <v>66.0</v>
      </c>
      <c r="C218" s="13" t="s">
        <v>4840</v>
      </c>
      <c r="D218" s="13" t="s">
        <v>4841</v>
      </c>
      <c r="E218" s="13" t="s">
        <v>4842</v>
      </c>
      <c r="F218" s="14" t="s">
        <v>18</v>
      </c>
      <c r="G218" s="1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2.5" customHeight="1">
      <c r="A219" s="17">
        <v>217.0</v>
      </c>
      <c r="B219" s="42">
        <v>66.0</v>
      </c>
      <c r="C219" s="13" t="s">
        <v>4843</v>
      </c>
      <c r="D219" s="13" t="s">
        <v>4844</v>
      </c>
      <c r="E219" s="13" t="s">
        <v>4845</v>
      </c>
      <c r="F219" s="14" t="s">
        <v>18</v>
      </c>
      <c r="G219" s="1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2.5" customHeight="1">
      <c r="A220" s="17">
        <v>218.0</v>
      </c>
      <c r="B220" s="42">
        <v>66.0</v>
      </c>
      <c r="C220" s="13" t="s">
        <v>4846</v>
      </c>
      <c r="D220" s="13" t="s">
        <v>4847</v>
      </c>
      <c r="E220" s="13" t="s">
        <v>4848</v>
      </c>
      <c r="F220" s="15"/>
      <c r="G220" s="1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2.5" customHeight="1">
      <c r="A221" s="17">
        <v>219.0</v>
      </c>
      <c r="B221" s="42">
        <v>66.0</v>
      </c>
      <c r="C221" s="13" t="s">
        <v>4849</v>
      </c>
      <c r="D221" s="13" t="s">
        <v>4850</v>
      </c>
      <c r="E221" s="13" t="s">
        <v>4851</v>
      </c>
      <c r="F221" s="14" t="s">
        <v>18</v>
      </c>
      <c r="G221" s="1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2.5" customHeight="1">
      <c r="A222" s="17">
        <v>220.0</v>
      </c>
      <c r="B222" s="42">
        <v>66.0</v>
      </c>
      <c r="C222" s="13" t="s">
        <v>4852</v>
      </c>
      <c r="D222" s="13" t="s">
        <v>4853</v>
      </c>
      <c r="E222" s="13" t="s">
        <v>4854</v>
      </c>
      <c r="F222" s="14" t="s">
        <v>18</v>
      </c>
      <c r="G222" s="1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2.5" customHeight="1">
      <c r="A223" s="17">
        <v>221.0</v>
      </c>
      <c r="B223" s="42">
        <v>65.0</v>
      </c>
      <c r="C223" s="13" t="s">
        <v>4855</v>
      </c>
      <c r="D223" s="13" t="s">
        <v>4856</v>
      </c>
      <c r="E223" s="13" t="s">
        <v>4857</v>
      </c>
      <c r="F223" s="15"/>
      <c r="G223" s="1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2.5" customHeight="1">
      <c r="A224" s="17">
        <v>222.0</v>
      </c>
      <c r="B224" s="42">
        <v>65.0</v>
      </c>
      <c r="C224" s="13" t="s">
        <v>4858</v>
      </c>
      <c r="D224" s="13" t="s">
        <v>4859</v>
      </c>
      <c r="E224" s="13" t="s">
        <v>4860</v>
      </c>
      <c r="F224" s="14" t="s">
        <v>18</v>
      </c>
      <c r="G224" s="1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2.5" customHeight="1">
      <c r="A225" s="17">
        <v>223.0</v>
      </c>
      <c r="B225" s="42">
        <v>65.0</v>
      </c>
      <c r="C225" s="13" t="s">
        <v>4861</v>
      </c>
      <c r="D225" s="13" t="s">
        <v>4862</v>
      </c>
      <c r="E225" s="13" t="s">
        <v>4863</v>
      </c>
      <c r="F225" s="15"/>
      <c r="G225" s="1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2.5" customHeight="1">
      <c r="A226" s="17">
        <v>224.0</v>
      </c>
      <c r="B226" s="42">
        <v>65.0</v>
      </c>
      <c r="C226" s="13" t="s">
        <v>4864</v>
      </c>
      <c r="D226" s="13" t="s">
        <v>4865</v>
      </c>
      <c r="E226" s="13" t="s">
        <v>4866</v>
      </c>
      <c r="F226" s="14" t="s">
        <v>18</v>
      </c>
      <c r="G226" s="1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2.5" customHeight="1">
      <c r="A227" s="17">
        <v>225.0</v>
      </c>
      <c r="B227" s="42">
        <v>65.0</v>
      </c>
      <c r="C227" s="13" t="s">
        <v>4867</v>
      </c>
      <c r="D227" s="13" t="s">
        <v>4868</v>
      </c>
      <c r="E227" s="13" t="s">
        <v>4869</v>
      </c>
      <c r="F227" s="14" t="s">
        <v>18</v>
      </c>
      <c r="G227" s="1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2.5" customHeight="1">
      <c r="A228" s="17">
        <v>226.0</v>
      </c>
      <c r="B228" s="42">
        <v>64.0</v>
      </c>
      <c r="C228" s="13" t="s">
        <v>4870</v>
      </c>
      <c r="D228" s="13" t="s">
        <v>4871</v>
      </c>
      <c r="E228" s="13" t="s">
        <v>4872</v>
      </c>
      <c r="F228" s="14" t="s">
        <v>18</v>
      </c>
      <c r="G228" s="1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2.5" customHeight="1">
      <c r="A229" s="17">
        <v>227.0</v>
      </c>
      <c r="B229" s="42">
        <v>64.0</v>
      </c>
      <c r="C229" s="13" t="s">
        <v>4873</v>
      </c>
      <c r="D229" s="13" t="s">
        <v>4874</v>
      </c>
      <c r="E229" s="13" t="s">
        <v>4875</v>
      </c>
      <c r="F229" s="14" t="s">
        <v>18</v>
      </c>
      <c r="G229" s="1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2.5" customHeight="1">
      <c r="A230" s="17">
        <v>228.0</v>
      </c>
      <c r="B230" s="42">
        <v>64.0</v>
      </c>
      <c r="C230" s="13" t="s">
        <v>4876</v>
      </c>
      <c r="D230" s="13" t="s">
        <v>4877</v>
      </c>
      <c r="E230" s="13" t="s">
        <v>4878</v>
      </c>
      <c r="F230" s="15"/>
      <c r="G230" s="1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2.5" customHeight="1">
      <c r="A231" s="17">
        <v>229.0</v>
      </c>
      <c r="B231" s="42">
        <v>64.0</v>
      </c>
      <c r="C231" s="13" t="s">
        <v>4879</v>
      </c>
      <c r="D231" s="13" t="s">
        <v>4880</v>
      </c>
      <c r="E231" s="13" t="s">
        <v>4881</v>
      </c>
      <c r="F231" s="15"/>
      <c r="G231" s="1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2.5" customHeight="1">
      <c r="A232" s="17">
        <v>230.0</v>
      </c>
      <c r="B232" s="42">
        <v>64.0</v>
      </c>
      <c r="C232" s="13" t="s">
        <v>4882</v>
      </c>
      <c r="D232" s="13" t="s">
        <v>4883</v>
      </c>
      <c r="E232" s="13" t="s">
        <v>4884</v>
      </c>
      <c r="F232" s="15"/>
      <c r="G232" s="1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2.5" customHeight="1">
      <c r="A233" s="17">
        <v>231.0</v>
      </c>
      <c r="B233" s="42">
        <v>63.0</v>
      </c>
      <c r="C233" s="13" t="s">
        <v>4885</v>
      </c>
      <c r="D233" s="13" t="s">
        <v>4886</v>
      </c>
      <c r="E233" s="13" t="s">
        <v>4887</v>
      </c>
      <c r="F233" s="14" t="s">
        <v>18</v>
      </c>
      <c r="G233" s="1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2.5" customHeight="1">
      <c r="A234" s="17">
        <v>232.0</v>
      </c>
      <c r="B234" s="42">
        <v>63.0</v>
      </c>
      <c r="C234" s="13" t="s">
        <v>4888</v>
      </c>
      <c r="D234" s="13" t="s">
        <v>4889</v>
      </c>
      <c r="E234" s="13" t="s">
        <v>4890</v>
      </c>
      <c r="F234" s="15"/>
      <c r="G234" s="1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2.5" customHeight="1">
      <c r="A235" s="17">
        <v>233.0</v>
      </c>
      <c r="B235" s="42">
        <v>63.0</v>
      </c>
      <c r="C235" s="13" t="s">
        <v>3692</v>
      </c>
      <c r="D235" s="13" t="s">
        <v>4803</v>
      </c>
      <c r="E235" s="13" t="s">
        <v>4804</v>
      </c>
      <c r="F235" s="15"/>
      <c r="G235" s="1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2.5" customHeight="1">
      <c r="A236" s="17">
        <v>234.0</v>
      </c>
      <c r="B236" s="42">
        <v>63.0</v>
      </c>
      <c r="C236" s="13" t="s">
        <v>4891</v>
      </c>
      <c r="D236" s="13" t="s">
        <v>4892</v>
      </c>
      <c r="E236" s="13" t="s">
        <v>4893</v>
      </c>
      <c r="F236" s="14" t="s">
        <v>18</v>
      </c>
      <c r="G236" s="1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2.5" customHeight="1">
      <c r="A237" s="17">
        <v>235.0</v>
      </c>
      <c r="B237" s="42">
        <v>63.0</v>
      </c>
      <c r="C237" s="13" t="s">
        <v>4430</v>
      </c>
      <c r="D237" s="13" t="s">
        <v>4431</v>
      </c>
      <c r="E237" s="13" t="s">
        <v>4758</v>
      </c>
      <c r="F237" s="15"/>
      <c r="G237" s="1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2.5" customHeight="1">
      <c r="A238" s="17">
        <v>236.0</v>
      </c>
      <c r="B238" s="42">
        <v>62.0</v>
      </c>
      <c r="C238" s="13" t="s">
        <v>4894</v>
      </c>
      <c r="D238" s="13" t="s">
        <v>4895</v>
      </c>
      <c r="E238" s="13" t="s">
        <v>4896</v>
      </c>
      <c r="F238" s="14" t="s">
        <v>18</v>
      </c>
      <c r="G238" s="14" t="s">
        <v>18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2.5" customHeight="1">
      <c r="A239" s="17">
        <v>237.0</v>
      </c>
      <c r="B239" s="42">
        <v>62.0</v>
      </c>
      <c r="C239" s="13" t="s">
        <v>4897</v>
      </c>
      <c r="D239" s="13" t="s">
        <v>4898</v>
      </c>
      <c r="E239" s="13" t="s">
        <v>4899</v>
      </c>
      <c r="F239" s="15"/>
      <c r="G239" s="1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2.5" customHeight="1">
      <c r="A240" s="17">
        <v>238.0</v>
      </c>
      <c r="B240" s="42">
        <v>62.0</v>
      </c>
      <c r="C240" s="13" t="s">
        <v>4900</v>
      </c>
      <c r="D240" s="13" t="s">
        <v>4901</v>
      </c>
      <c r="E240" s="13" t="s">
        <v>4902</v>
      </c>
      <c r="F240" s="15"/>
      <c r="G240" s="1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2.5" customHeight="1">
      <c r="A241" s="17">
        <v>239.0</v>
      </c>
      <c r="B241" s="42">
        <v>62.0</v>
      </c>
      <c r="C241" s="13" t="s">
        <v>4903</v>
      </c>
      <c r="D241" s="13" t="s">
        <v>4904</v>
      </c>
      <c r="E241" s="13" t="s">
        <v>4905</v>
      </c>
      <c r="F241" s="14" t="s">
        <v>18</v>
      </c>
      <c r="G241" s="1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2.5" customHeight="1">
      <c r="A242" s="17">
        <v>240.0</v>
      </c>
      <c r="B242" s="42">
        <v>62.0</v>
      </c>
      <c r="C242" s="13" t="s">
        <v>4906</v>
      </c>
      <c r="D242" s="13" t="s">
        <v>4907</v>
      </c>
      <c r="E242" s="13" t="s">
        <v>4908</v>
      </c>
      <c r="F242" s="14" t="s">
        <v>18</v>
      </c>
      <c r="G242" s="1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2.5" customHeight="1">
      <c r="A243" s="17">
        <v>241.0</v>
      </c>
      <c r="B243" s="42">
        <v>61.0</v>
      </c>
      <c r="C243" s="13" t="s">
        <v>4909</v>
      </c>
      <c r="D243" s="13" t="s">
        <v>4910</v>
      </c>
      <c r="E243" s="13" t="s">
        <v>4911</v>
      </c>
      <c r="F243" s="14" t="s">
        <v>18</v>
      </c>
      <c r="G243" s="1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2.5" customHeight="1">
      <c r="A244" s="17">
        <v>242.0</v>
      </c>
      <c r="B244" s="42">
        <v>61.0</v>
      </c>
      <c r="C244" s="13" t="s">
        <v>4912</v>
      </c>
      <c r="D244" s="13" t="s">
        <v>4575</v>
      </c>
      <c r="E244" s="13" t="s">
        <v>4913</v>
      </c>
      <c r="F244" s="14" t="s">
        <v>18</v>
      </c>
      <c r="G244" s="1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2.5" customHeight="1">
      <c r="A245" s="17">
        <v>243.0</v>
      </c>
      <c r="B245" s="42">
        <v>61.0</v>
      </c>
      <c r="C245" s="13" t="s">
        <v>4914</v>
      </c>
      <c r="D245" s="13" t="s">
        <v>4915</v>
      </c>
      <c r="E245" s="13" t="s">
        <v>4916</v>
      </c>
      <c r="F245" s="14" t="s">
        <v>18</v>
      </c>
      <c r="G245" s="1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2.5" customHeight="1">
      <c r="A246" s="17">
        <v>244.0</v>
      </c>
      <c r="B246" s="42">
        <v>61.0</v>
      </c>
      <c r="C246" s="13" t="s">
        <v>4917</v>
      </c>
      <c r="D246" s="13" t="s">
        <v>4918</v>
      </c>
      <c r="E246" s="13" t="s">
        <v>4919</v>
      </c>
      <c r="F246" s="14" t="s">
        <v>18</v>
      </c>
      <c r="G246" s="1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2.5" customHeight="1">
      <c r="A247" s="17">
        <v>245.0</v>
      </c>
      <c r="B247" s="42">
        <v>61.0</v>
      </c>
      <c r="C247" s="13" t="s">
        <v>4920</v>
      </c>
      <c r="D247" s="13" t="s">
        <v>4921</v>
      </c>
      <c r="E247" s="13" t="s">
        <v>4922</v>
      </c>
      <c r="F247" s="15"/>
      <c r="G247" s="1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2.5" customHeight="1">
      <c r="A248" s="17">
        <v>246.0</v>
      </c>
      <c r="B248" s="42">
        <v>60.0</v>
      </c>
      <c r="C248" s="13" t="s">
        <v>4923</v>
      </c>
      <c r="D248" s="13" t="s">
        <v>4924</v>
      </c>
      <c r="E248" s="13" t="s">
        <v>4925</v>
      </c>
      <c r="F248" s="14" t="s">
        <v>18</v>
      </c>
      <c r="G248" s="1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2.5" customHeight="1">
      <c r="A249" s="17">
        <v>247.0</v>
      </c>
      <c r="B249" s="42">
        <v>60.0</v>
      </c>
      <c r="C249" s="13" t="s">
        <v>4926</v>
      </c>
      <c r="D249" s="13" t="s">
        <v>4927</v>
      </c>
      <c r="E249" s="13" t="s">
        <v>4928</v>
      </c>
      <c r="F249" s="15"/>
      <c r="G249" s="1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2.5" customHeight="1">
      <c r="A250" s="17">
        <v>248.0</v>
      </c>
      <c r="B250" s="42">
        <v>60.0</v>
      </c>
      <c r="C250" s="13" t="s">
        <v>4929</v>
      </c>
      <c r="D250" s="13" t="s">
        <v>4930</v>
      </c>
      <c r="E250" s="13" t="s">
        <v>4931</v>
      </c>
      <c r="F250" s="14" t="s">
        <v>18</v>
      </c>
      <c r="G250" s="1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2.5" customHeight="1">
      <c r="A251" s="17">
        <v>249.0</v>
      </c>
      <c r="B251" s="42">
        <v>60.0</v>
      </c>
      <c r="C251" s="13" t="s">
        <v>4932</v>
      </c>
      <c r="D251" s="13" t="s">
        <v>4933</v>
      </c>
      <c r="E251" s="13" t="s">
        <v>4934</v>
      </c>
      <c r="F251" s="15"/>
      <c r="G251" s="1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2.5" customHeight="1">
      <c r="A252" s="17">
        <v>250.0</v>
      </c>
      <c r="B252" s="42">
        <v>60.0</v>
      </c>
      <c r="C252" s="13" t="s">
        <v>4935</v>
      </c>
      <c r="D252" s="13" t="s">
        <v>4936</v>
      </c>
      <c r="E252" s="13" t="s">
        <v>4937</v>
      </c>
      <c r="F252" s="15"/>
      <c r="G252" s="1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2.5" customHeight="1">
      <c r="A253" s="17">
        <v>251.0</v>
      </c>
      <c r="B253" s="42">
        <v>59.0</v>
      </c>
      <c r="C253" s="13" t="s">
        <v>4885</v>
      </c>
      <c r="D253" s="13" t="s">
        <v>4886</v>
      </c>
      <c r="E253" s="13" t="s">
        <v>4938</v>
      </c>
      <c r="F253" s="15"/>
      <c r="G253" s="1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2.5" customHeight="1">
      <c r="A254" s="17">
        <v>252.0</v>
      </c>
      <c r="B254" s="42">
        <v>59.0</v>
      </c>
      <c r="C254" s="13" t="s">
        <v>4939</v>
      </c>
      <c r="D254" s="13" t="s">
        <v>4940</v>
      </c>
      <c r="E254" s="13" t="s">
        <v>4941</v>
      </c>
      <c r="F254" s="15"/>
      <c r="G254" s="1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2.5" customHeight="1">
      <c r="A255" s="17">
        <v>253.0</v>
      </c>
      <c r="B255" s="42">
        <v>59.0</v>
      </c>
      <c r="C255" s="13" t="s">
        <v>4942</v>
      </c>
      <c r="D255" s="13" t="s">
        <v>4943</v>
      </c>
      <c r="E255" s="13" t="s">
        <v>4944</v>
      </c>
      <c r="F255" s="14" t="s">
        <v>18</v>
      </c>
      <c r="G255" s="1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2.5" customHeight="1">
      <c r="A256" s="17">
        <v>254.0</v>
      </c>
      <c r="B256" s="42">
        <v>59.0</v>
      </c>
      <c r="C256" s="13" t="s">
        <v>4623</v>
      </c>
      <c r="D256" s="13" t="s">
        <v>4624</v>
      </c>
      <c r="E256" s="13" t="s">
        <v>4945</v>
      </c>
      <c r="F256" s="15"/>
      <c r="G256" s="1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2.5" customHeight="1">
      <c r="A257" s="17">
        <v>255.0</v>
      </c>
      <c r="B257" s="42">
        <v>59.0</v>
      </c>
      <c r="C257" s="13" t="s">
        <v>4946</v>
      </c>
      <c r="D257" s="13" t="s">
        <v>4947</v>
      </c>
      <c r="E257" s="13" t="s">
        <v>4948</v>
      </c>
      <c r="F257" s="14" t="s">
        <v>18</v>
      </c>
      <c r="G257" s="1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2.5" customHeight="1">
      <c r="A258" s="17">
        <v>256.0</v>
      </c>
      <c r="B258" s="42">
        <v>58.0</v>
      </c>
      <c r="C258" s="13" t="s">
        <v>4266</v>
      </c>
      <c r="D258" s="13" t="s">
        <v>4267</v>
      </c>
      <c r="E258" s="13" t="s">
        <v>4337</v>
      </c>
      <c r="F258" s="14" t="s">
        <v>18</v>
      </c>
      <c r="G258" s="1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2.5" customHeight="1">
      <c r="A259" s="17">
        <v>257.0</v>
      </c>
      <c r="B259" s="42">
        <v>58.0</v>
      </c>
      <c r="C259" s="13" t="s">
        <v>4826</v>
      </c>
      <c r="D259" s="13" t="s">
        <v>4827</v>
      </c>
      <c r="E259" s="13" t="s">
        <v>4949</v>
      </c>
      <c r="F259" s="15"/>
      <c r="G259" s="1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2.5" customHeight="1">
      <c r="A260" s="17">
        <v>258.0</v>
      </c>
      <c r="B260" s="42">
        <v>58.0</v>
      </c>
      <c r="C260" s="13" t="s">
        <v>4950</v>
      </c>
      <c r="D260" s="13" t="s">
        <v>4951</v>
      </c>
      <c r="E260" s="13" t="s">
        <v>4952</v>
      </c>
      <c r="F260" s="14" t="s">
        <v>18</v>
      </c>
      <c r="G260" s="14" t="s">
        <v>18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2.5" customHeight="1">
      <c r="A261" s="17">
        <v>259.0</v>
      </c>
      <c r="B261" s="42">
        <v>58.0</v>
      </c>
      <c r="C261" s="13" t="s">
        <v>4953</v>
      </c>
      <c r="D261" s="13" t="s">
        <v>4954</v>
      </c>
      <c r="E261" s="13" t="s">
        <v>4955</v>
      </c>
      <c r="F261" s="14" t="s">
        <v>18</v>
      </c>
      <c r="G261" s="1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2.5" customHeight="1">
      <c r="A262" s="17">
        <v>260.0</v>
      </c>
      <c r="B262" s="42">
        <v>58.0</v>
      </c>
      <c r="C262" s="13" t="s">
        <v>4956</v>
      </c>
      <c r="D262" s="13" t="s">
        <v>4957</v>
      </c>
      <c r="E262" s="13" t="s">
        <v>4958</v>
      </c>
      <c r="F262" s="14" t="s">
        <v>18</v>
      </c>
      <c r="G262" s="1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2.5" customHeight="1">
      <c r="A263" s="17">
        <v>261.0</v>
      </c>
      <c r="B263" s="42">
        <v>57.0</v>
      </c>
      <c r="C263" s="13" t="s">
        <v>4959</v>
      </c>
      <c r="D263" s="13" t="s">
        <v>4960</v>
      </c>
      <c r="E263" s="13" t="s">
        <v>4961</v>
      </c>
      <c r="F263" s="14" t="s">
        <v>18</v>
      </c>
      <c r="G263" s="1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2.5" customHeight="1">
      <c r="A264" s="17">
        <v>262.0</v>
      </c>
      <c r="B264" s="42">
        <v>57.0</v>
      </c>
      <c r="C264" s="13" t="s">
        <v>4962</v>
      </c>
      <c r="D264" s="13" t="s">
        <v>4963</v>
      </c>
      <c r="E264" s="13" t="s">
        <v>4964</v>
      </c>
      <c r="F264" s="14" t="s">
        <v>18</v>
      </c>
      <c r="G264" s="1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2.5" customHeight="1">
      <c r="A265" s="17">
        <v>263.0</v>
      </c>
      <c r="B265" s="42">
        <v>57.0</v>
      </c>
      <c r="C265" s="13" t="s">
        <v>4965</v>
      </c>
      <c r="D265" s="13" t="s">
        <v>4966</v>
      </c>
      <c r="E265" s="13" t="s">
        <v>4967</v>
      </c>
      <c r="F265" s="14" t="s">
        <v>18</v>
      </c>
      <c r="G265" s="1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2.5" customHeight="1">
      <c r="A266" s="17">
        <v>264.0</v>
      </c>
      <c r="B266" s="42">
        <v>57.0</v>
      </c>
      <c r="C266" s="13" t="s">
        <v>1491</v>
      </c>
      <c r="D266" s="13" t="s">
        <v>4968</v>
      </c>
      <c r="E266" s="13" t="s">
        <v>4097</v>
      </c>
      <c r="F266" s="14" t="s">
        <v>18</v>
      </c>
      <c r="G266" s="1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2.5" customHeight="1">
      <c r="A267" s="17">
        <v>265.0</v>
      </c>
      <c r="B267" s="42">
        <v>57.0</v>
      </c>
      <c r="C267" s="13" t="s">
        <v>4969</v>
      </c>
      <c r="D267" s="13" t="s">
        <v>4970</v>
      </c>
      <c r="E267" s="13" t="s">
        <v>4971</v>
      </c>
      <c r="F267" s="14" t="s">
        <v>18</v>
      </c>
      <c r="G267" s="1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2.5" customHeight="1">
      <c r="A268" s="17">
        <v>266.0</v>
      </c>
      <c r="B268" s="42">
        <v>56.0</v>
      </c>
      <c r="C268" s="13" t="s">
        <v>4972</v>
      </c>
      <c r="D268" s="13" t="s">
        <v>4973</v>
      </c>
      <c r="E268" s="13" t="s">
        <v>4974</v>
      </c>
      <c r="F268" s="15"/>
      <c r="G268" s="1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2.5" customHeight="1">
      <c r="A269" s="17">
        <v>267.0</v>
      </c>
      <c r="B269" s="42">
        <v>56.0</v>
      </c>
      <c r="C269" s="13" t="s">
        <v>4975</v>
      </c>
      <c r="D269" s="13" t="s">
        <v>4976</v>
      </c>
      <c r="E269" s="13" t="s">
        <v>4977</v>
      </c>
      <c r="F269" s="15"/>
      <c r="G269" s="1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2.5" customHeight="1">
      <c r="A270" s="17">
        <v>268.0</v>
      </c>
      <c r="B270" s="42">
        <v>56.0</v>
      </c>
      <c r="C270" s="13" t="s">
        <v>4978</v>
      </c>
      <c r="D270" s="13" t="s">
        <v>4979</v>
      </c>
      <c r="E270" s="13" t="s">
        <v>4980</v>
      </c>
      <c r="F270" s="14" t="s">
        <v>18</v>
      </c>
      <c r="G270" s="1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2.5" customHeight="1">
      <c r="A271" s="17">
        <v>269.0</v>
      </c>
      <c r="B271" s="42">
        <v>56.0</v>
      </c>
      <c r="C271" s="13" t="s">
        <v>4981</v>
      </c>
      <c r="D271" s="13" t="s">
        <v>4982</v>
      </c>
      <c r="E271" s="13" t="s">
        <v>4983</v>
      </c>
      <c r="F271" s="14" t="s">
        <v>18</v>
      </c>
      <c r="G271" s="1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2.5" customHeight="1">
      <c r="A272" s="17">
        <v>270.0</v>
      </c>
      <c r="B272" s="42">
        <v>56.0</v>
      </c>
      <c r="C272" s="13" t="s">
        <v>4984</v>
      </c>
      <c r="D272" s="13" t="s">
        <v>4985</v>
      </c>
      <c r="E272" s="13" t="s">
        <v>4986</v>
      </c>
      <c r="F272" s="14" t="s">
        <v>18</v>
      </c>
      <c r="G272" s="1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2.5" customHeight="1">
      <c r="A273" s="17">
        <v>271.0</v>
      </c>
      <c r="B273" s="42">
        <v>55.0</v>
      </c>
      <c r="C273" s="13" t="s">
        <v>4987</v>
      </c>
      <c r="D273" s="13" t="s">
        <v>4988</v>
      </c>
      <c r="E273" s="13" t="s">
        <v>4989</v>
      </c>
      <c r="F273" s="15"/>
      <c r="G273" s="1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2.5" customHeight="1">
      <c r="A274" s="17">
        <v>272.0</v>
      </c>
      <c r="B274" s="42">
        <v>55.0</v>
      </c>
      <c r="C274" s="13" t="s">
        <v>4990</v>
      </c>
      <c r="D274" s="13" t="s">
        <v>4991</v>
      </c>
      <c r="E274" s="13" t="s">
        <v>4992</v>
      </c>
      <c r="F274" s="15"/>
      <c r="G274" s="1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2.5" customHeight="1">
      <c r="A275" s="17">
        <v>273.0</v>
      </c>
      <c r="B275" s="42">
        <v>55.0</v>
      </c>
      <c r="C275" s="13" t="s">
        <v>4993</v>
      </c>
      <c r="D275" s="13" t="s">
        <v>4994</v>
      </c>
      <c r="E275" s="13" t="s">
        <v>4995</v>
      </c>
      <c r="F275" s="15"/>
      <c r="G275" s="1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2.5" customHeight="1">
      <c r="A276" s="17">
        <v>274.0</v>
      </c>
      <c r="B276" s="42">
        <v>55.0</v>
      </c>
      <c r="C276" s="13" t="s">
        <v>4996</v>
      </c>
      <c r="D276" s="13" t="s">
        <v>4997</v>
      </c>
      <c r="E276" s="13" t="s">
        <v>2497</v>
      </c>
      <c r="F276" s="15"/>
      <c r="G276" s="1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2.5" customHeight="1">
      <c r="A277" s="17">
        <v>275.0</v>
      </c>
      <c r="B277" s="42">
        <v>55.0</v>
      </c>
      <c r="C277" s="13" t="s">
        <v>4998</v>
      </c>
      <c r="D277" s="13" t="s">
        <v>4999</v>
      </c>
      <c r="E277" s="13" t="s">
        <v>5000</v>
      </c>
      <c r="F277" s="14" t="s">
        <v>18</v>
      </c>
      <c r="G277" s="1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2.5" customHeight="1">
      <c r="A278" s="17">
        <v>276.0</v>
      </c>
      <c r="B278" s="42">
        <v>54.0</v>
      </c>
      <c r="C278" s="13" t="s">
        <v>4272</v>
      </c>
      <c r="D278" s="13" t="s">
        <v>4273</v>
      </c>
      <c r="E278" s="13" t="s">
        <v>5001</v>
      </c>
      <c r="F278" s="14" t="s">
        <v>18</v>
      </c>
      <c r="G278" s="1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2.5" customHeight="1">
      <c r="A279" s="17">
        <v>277.0</v>
      </c>
      <c r="B279" s="42">
        <v>54.0</v>
      </c>
      <c r="C279" s="13" t="s">
        <v>4667</v>
      </c>
      <c r="D279" s="13" t="s">
        <v>4668</v>
      </c>
      <c r="E279" s="13" t="s">
        <v>4669</v>
      </c>
      <c r="F279" s="15"/>
      <c r="G279" s="1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2.5" customHeight="1">
      <c r="A280" s="17">
        <v>278.0</v>
      </c>
      <c r="B280" s="42">
        <v>54.0</v>
      </c>
      <c r="C280" s="13" t="s">
        <v>4463</v>
      </c>
      <c r="D280" s="13" t="s">
        <v>4464</v>
      </c>
      <c r="E280" s="13" t="s">
        <v>5002</v>
      </c>
      <c r="F280" s="15"/>
      <c r="G280" s="1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2.5" customHeight="1">
      <c r="A281" s="17">
        <v>279.0</v>
      </c>
      <c r="B281" s="42">
        <v>54.0</v>
      </c>
      <c r="C281" s="13" t="s">
        <v>5003</v>
      </c>
      <c r="D281" s="13" t="s">
        <v>5004</v>
      </c>
      <c r="E281" s="13" t="s">
        <v>5005</v>
      </c>
      <c r="F281" s="14" t="s">
        <v>18</v>
      </c>
      <c r="G281" s="1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2.5" customHeight="1">
      <c r="A282" s="17">
        <v>280.0</v>
      </c>
      <c r="B282" s="42">
        <v>54.0</v>
      </c>
      <c r="C282" s="13" t="s">
        <v>5006</v>
      </c>
      <c r="D282" s="13" t="s">
        <v>5007</v>
      </c>
      <c r="E282" s="13" t="s">
        <v>5008</v>
      </c>
      <c r="F282" s="15"/>
      <c r="G282" s="1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2.5" customHeight="1">
      <c r="A283" s="17">
        <v>281.0</v>
      </c>
      <c r="B283" s="42">
        <v>53.0</v>
      </c>
      <c r="C283" s="13" t="s">
        <v>5009</v>
      </c>
      <c r="D283" s="13" t="s">
        <v>5010</v>
      </c>
      <c r="E283" s="13" t="s">
        <v>5011</v>
      </c>
      <c r="F283" s="14" t="s">
        <v>18</v>
      </c>
      <c r="G283" s="1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2.5" customHeight="1">
      <c r="A284" s="17">
        <v>282.0</v>
      </c>
      <c r="B284" s="42">
        <v>53.0</v>
      </c>
      <c r="C284" s="13" t="s">
        <v>5012</v>
      </c>
      <c r="D284" s="13" t="s">
        <v>5013</v>
      </c>
      <c r="E284" s="13" t="s">
        <v>5014</v>
      </c>
      <c r="F284" s="14" t="s">
        <v>18</v>
      </c>
      <c r="G284" s="1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2.5" customHeight="1">
      <c r="A285" s="17">
        <v>283.0</v>
      </c>
      <c r="B285" s="42">
        <v>53.0</v>
      </c>
      <c r="C285" s="13" t="s">
        <v>5015</v>
      </c>
      <c r="D285" s="13" t="s">
        <v>5016</v>
      </c>
      <c r="E285" s="13" t="s">
        <v>5017</v>
      </c>
      <c r="F285" s="15"/>
      <c r="G285" s="1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2.5" customHeight="1">
      <c r="A286" s="17">
        <v>284.0</v>
      </c>
      <c r="B286" s="42">
        <v>53.0</v>
      </c>
      <c r="C286" s="13" t="s">
        <v>4897</v>
      </c>
      <c r="D286" s="13" t="s">
        <v>4898</v>
      </c>
      <c r="E286" s="13" t="s">
        <v>5018</v>
      </c>
      <c r="F286" s="14" t="s">
        <v>18</v>
      </c>
      <c r="G286" s="1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2.5" customHeight="1">
      <c r="A287" s="17">
        <v>285.0</v>
      </c>
      <c r="B287" s="42">
        <v>53.0</v>
      </c>
      <c r="C287" s="13" t="s">
        <v>5019</v>
      </c>
      <c r="D287" s="13" t="s">
        <v>4775</v>
      </c>
      <c r="E287" s="13" t="s">
        <v>5020</v>
      </c>
      <c r="F287" s="14" t="s">
        <v>18</v>
      </c>
      <c r="G287" s="1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2.5" customHeight="1">
      <c r="A288" s="17">
        <v>286.0</v>
      </c>
      <c r="B288" s="42">
        <v>52.0</v>
      </c>
      <c r="C288" s="13" t="s">
        <v>5021</v>
      </c>
      <c r="D288" s="13" t="s">
        <v>5022</v>
      </c>
      <c r="E288" s="13" t="s">
        <v>5023</v>
      </c>
      <c r="F288" s="15"/>
      <c r="G288" s="1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2.5" customHeight="1">
      <c r="A289" s="17">
        <v>287.0</v>
      </c>
      <c r="B289" s="42">
        <v>52.0</v>
      </c>
      <c r="C289" s="13" t="s">
        <v>5024</v>
      </c>
      <c r="D289" s="13" t="s">
        <v>5025</v>
      </c>
      <c r="E289" s="13" t="s">
        <v>5026</v>
      </c>
      <c r="F289" s="14" t="s">
        <v>18</v>
      </c>
      <c r="G289" s="1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2.5" customHeight="1">
      <c r="A290" s="17">
        <v>288.0</v>
      </c>
      <c r="B290" s="42">
        <v>52.0</v>
      </c>
      <c r="C290" s="13" t="s">
        <v>5027</v>
      </c>
      <c r="D290" s="13" t="s">
        <v>5028</v>
      </c>
      <c r="E290" s="13" t="s">
        <v>5029</v>
      </c>
      <c r="F290" s="14" t="s">
        <v>18</v>
      </c>
      <c r="G290" s="1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2.5" customHeight="1">
      <c r="A291" s="17">
        <v>289.0</v>
      </c>
      <c r="B291" s="42">
        <v>52.0</v>
      </c>
      <c r="C291" s="13" t="s">
        <v>5030</v>
      </c>
      <c r="D291" s="13" t="s">
        <v>5031</v>
      </c>
      <c r="E291" s="13" t="s">
        <v>5032</v>
      </c>
      <c r="F291" s="14" t="s">
        <v>18</v>
      </c>
      <c r="G291" s="1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2.5" customHeight="1">
      <c r="A292" s="17">
        <v>290.0</v>
      </c>
      <c r="B292" s="42">
        <v>52.0</v>
      </c>
      <c r="C292" s="13" t="s">
        <v>5033</v>
      </c>
      <c r="D292" s="13" t="s">
        <v>5034</v>
      </c>
      <c r="E292" s="13" t="s">
        <v>5035</v>
      </c>
      <c r="F292" s="14" t="s">
        <v>18</v>
      </c>
      <c r="G292" s="1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2.5" customHeight="1">
      <c r="A293" s="17">
        <v>291.0</v>
      </c>
      <c r="B293" s="42">
        <v>51.0</v>
      </c>
      <c r="C293" s="13" t="s">
        <v>5036</v>
      </c>
      <c r="D293" s="13" t="s">
        <v>5037</v>
      </c>
      <c r="E293" s="13" t="s">
        <v>5038</v>
      </c>
      <c r="F293" s="15"/>
      <c r="G293" s="1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2.5" customHeight="1">
      <c r="A294" s="17">
        <v>292.0</v>
      </c>
      <c r="B294" s="42">
        <v>51.0</v>
      </c>
      <c r="C294" s="13" t="s">
        <v>5039</v>
      </c>
      <c r="D294" s="13" t="s">
        <v>5040</v>
      </c>
      <c r="E294" s="13" t="s">
        <v>5041</v>
      </c>
      <c r="F294" s="14" t="s">
        <v>18</v>
      </c>
      <c r="G294" s="1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2.5" customHeight="1">
      <c r="A295" s="17">
        <v>293.0</v>
      </c>
      <c r="B295" s="42">
        <v>51.0</v>
      </c>
      <c r="C295" s="13" t="s">
        <v>5042</v>
      </c>
      <c r="D295" s="13" t="s">
        <v>5043</v>
      </c>
      <c r="E295" s="13" t="s">
        <v>5044</v>
      </c>
      <c r="F295" s="14" t="s">
        <v>18</v>
      </c>
      <c r="G295" s="1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2.5" customHeight="1">
      <c r="A296" s="17">
        <v>294.0</v>
      </c>
      <c r="B296" s="42">
        <v>51.0</v>
      </c>
      <c r="C296" s="13" t="s">
        <v>5045</v>
      </c>
      <c r="D296" s="13" t="s">
        <v>5046</v>
      </c>
      <c r="E296" s="13" t="s">
        <v>5047</v>
      </c>
      <c r="F296" s="14" t="s">
        <v>18</v>
      </c>
      <c r="G296" s="1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2.5" customHeight="1">
      <c r="A297" s="17">
        <v>295.0</v>
      </c>
      <c r="B297" s="42">
        <v>51.0</v>
      </c>
      <c r="C297" s="13" t="s">
        <v>5048</v>
      </c>
      <c r="D297" s="13" t="s">
        <v>5049</v>
      </c>
      <c r="E297" s="13" t="s">
        <v>5050</v>
      </c>
      <c r="F297" s="14" t="s">
        <v>18</v>
      </c>
      <c r="G297" s="1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2.5" customHeight="1">
      <c r="A298" s="17">
        <v>296.0</v>
      </c>
      <c r="B298" s="42">
        <v>50.0</v>
      </c>
      <c r="C298" s="13" t="s">
        <v>5051</v>
      </c>
      <c r="D298" s="13" t="s">
        <v>5052</v>
      </c>
      <c r="E298" s="13" t="s">
        <v>5053</v>
      </c>
      <c r="F298" s="14" t="s">
        <v>18</v>
      </c>
      <c r="G298" s="1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2.5" customHeight="1">
      <c r="A299" s="17">
        <v>297.0</v>
      </c>
      <c r="B299" s="42">
        <v>50.0</v>
      </c>
      <c r="C299" s="13" t="s">
        <v>5054</v>
      </c>
      <c r="D299" s="13" t="s">
        <v>5055</v>
      </c>
      <c r="E299" s="13" t="s">
        <v>5056</v>
      </c>
      <c r="F299" s="15"/>
      <c r="G299" s="1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2.5" customHeight="1">
      <c r="A300" s="17">
        <v>298.0</v>
      </c>
      <c r="B300" s="42">
        <v>50.0</v>
      </c>
      <c r="C300" s="13" t="s">
        <v>1643</v>
      </c>
      <c r="D300" s="13" t="s">
        <v>5057</v>
      </c>
      <c r="E300" s="13" t="s">
        <v>3691</v>
      </c>
      <c r="F300" s="15"/>
      <c r="G300" s="1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2.5" customHeight="1">
      <c r="A301" s="17">
        <v>299.0</v>
      </c>
      <c r="B301" s="42">
        <v>50.0</v>
      </c>
      <c r="C301" s="13" t="s">
        <v>4494</v>
      </c>
      <c r="D301" s="13" t="s">
        <v>4495</v>
      </c>
      <c r="E301" s="13" t="s">
        <v>5058</v>
      </c>
      <c r="F301" s="15"/>
      <c r="G301" s="1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2.5" customHeight="1">
      <c r="A302" s="17">
        <v>300.0</v>
      </c>
      <c r="B302" s="42">
        <v>50.0</v>
      </c>
      <c r="C302" s="13" t="s">
        <v>4266</v>
      </c>
      <c r="D302" s="13" t="s">
        <v>4267</v>
      </c>
      <c r="E302" s="13" t="s">
        <v>4337</v>
      </c>
      <c r="F302" s="15"/>
      <c r="G302" s="1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2.5" customHeight="1">
      <c r="A303" s="17">
        <v>301.0</v>
      </c>
      <c r="B303" s="42">
        <v>49.0</v>
      </c>
      <c r="C303" s="13" t="s">
        <v>5059</v>
      </c>
      <c r="D303" s="13" t="s">
        <v>5060</v>
      </c>
      <c r="E303" s="13" t="s">
        <v>5061</v>
      </c>
      <c r="F303" s="14" t="s">
        <v>18</v>
      </c>
      <c r="G303" s="1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2.5" customHeight="1">
      <c r="A304" s="17">
        <v>302.0</v>
      </c>
      <c r="B304" s="42">
        <v>49.0</v>
      </c>
      <c r="C304" s="13" t="s">
        <v>5062</v>
      </c>
      <c r="D304" s="13" t="s">
        <v>5063</v>
      </c>
      <c r="E304" s="13" t="s">
        <v>5064</v>
      </c>
      <c r="F304" s="14" t="s">
        <v>18</v>
      </c>
      <c r="G304" s="1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2.5" customHeight="1">
      <c r="A305" s="17">
        <v>303.0</v>
      </c>
      <c r="B305" s="42">
        <v>49.0</v>
      </c>
      <c r="C305" s="13" t="s">
        <v>5065</v>
      </c>
      <c r="D305" s="13" t="s">
        <v>5066</v>
      </c>
      <c r="E305" s="13" t="s">
        <v>5067</v>
      </c>
      <c r="F305" s="15"/>
      <c r="G305" s="1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2.5" customHeight="1">
      <c r="A306" s="17">
        <v>304.0</v>
      </c>
      <c r="B306" s="42">
        <v>49.0</v>
      </c>
      <c r="C306" s="13" t="s">
        <v>5068</v>
      </c>
      <c r="D306" s="13" t="s">
        <v>5069</v>
      </c>
      <c r="E306" s="13" t="s">
        <v>5070</v>
      </c>
      <c r="F306" s="15"/>
      <c r="G306" s="1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2.5" customHeight="1">
      <c r="A307" s="17">
        <v>305.0</v>
      </c>
      <c r="B307" s="42">
        <v>49.0</v>
      </c>
      <c r="C307" s="13" t="s">
        <v>5071</v>
      </c>
      <c r="D307" s="13" t="s">
        <v>5072</v>
      </c>
      <c r="E307" s="13" t="s">
        <v>5073</v>
      </c>
      <c r="F307" s="14" t="s">
        <v>18</v>
      </c>
      <c r="G307" s="1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2.5" customHeight="1">
      <c r="A308" s="17">
        <v>306.0</v>
      </c>
      <c r="B308" s="42">
        <v>48.0</v>
      </c>
      <c r="C308" s="13" t="s">
        <v>5074</v>
      </c>
      <c r="D308" s="13" t="s">
        <v>5075</v>
      </c>
      <c r="E308" s="13" t="s">
        <v>5076</v>
      </c>
      <c r="F308" s="15"/>
      <c r="G308" s="1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2.5" customHeight="1">
      <c r="A309" s="17">
        <v>307.0</v>
      </c>
      <c r="B309" s="42">
        <v>48.0</v>
      </c>
      <c r="C309" s="13" t="s">
        <v>4837</v>
      </c>
      <c r="D309" s="13" t="s">
        <v>4838</v>
      </c>
      <c r="E309" s="13" t="s">
        <v>5077</v>
      </c>
      <c r="F309" s="15"/>
      <c r="G309" s="1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2.5" customHeight="1">
      <c r="A310" s="17">
        <v>308.0</v>
      </c>
      <c r="B310" s="42">
        <v>48.0</v>
      </c>
      <c r="C310" s="13" t="s">
        <v>5078</v>
      </c>
      <c r="D310" s="13" t="s">
        <v>5079</v>
      </c>
      <c r="E310" s="13" t="s">
        <v>5080</v>
      </c>
      <c r="F310" s="15"/>
      <c r="G310" s="1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2.5" customHeight="1">
      <c r="A311" s="17">
        <v>309.0</v>
      </c>
      <c r="B311" s="42">
        <v>48.0</v>
      </c>
      <c r="C311" s="13" t="s">
        <v>5081</v>
      </c>
      <c r="D311" s="13" t="s">
        <v>5082</v>
      </c>
      <c r="E311" s="13" t="s">
        <v>5083</v>
      </c>
      <c r="F311" s="15"/>
      <c r="G311" s="1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2.5" customHeight="1">
      <c r="A312" s="17">
        <v>310.0</v>
      </c>
      <c r="B312" s="42">
        <v>48.0</v>
      </c>
      <c r="C312" s="13" t="s">
        <v>5084</v>
      </c>
      <c r="D312" s="13" t="s">
        <v>5085</v>
      </c>
      <c r="E312" s="13" t="s">
        <v>5086</v>
      </c>
      <c r="F312" s="14" t="s">
        <v>18</v>
      </c>
      <c r="G312" s="1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2.5" customHeight="1">
      <c r="A313" s="17">
        <v>311.0</v>
      </c>
      <c r="B313" s="42">
        <v>47.0</v>
      </c>
      <c r="C313" s="13" t="s">
        <v>5087</v>
      </c>
      <c r="D313" s="13" t="s">
        <v>5088</v>
      </c>
      <c r="E313" s="13" t="s">
        <v>5089</v>
      </c>
      <c r="F313" s="14" t="s">
        <v>18</v>
      </c>
      <c r="G313" s="1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2.5" customHeight="1">
      <c r="A314" s="17">
        <v>312.0</v>
      </c>
      <c r="B314" s="42">
        <v>47.0</v>
      </c>
      <c r="C314" s="13" t="s">
        <v>4912</v>
      </c>
      <c r="D314" s="13" t="s">
        <v>4575</v>
      </c>
      <c r="E314" s="13" t="s">
        <v>5090</v>
      </c>
      <c r="F314" s="15"/>
      <c r="G314" s="1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2.5" customHeight="1">
      <c r="A315" s="17">
        <v>313.0</v>
      </c>
      <c r="B315" s="42">
        <v>47.0</v>
      </c>
      <c r="C315" s="13" t="s">
        <v>5091</v>
      </c>
      <c r="D315" s="13" t="s">
        <v>5092</v>
      </c>
      <c r="E315" s="13" t="s">
        <v>5093</v>
      </c>
      <c r="F315" s="15"/>
      <c r="G315" s="1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2.5" customHeight="1">
      <c r="A316" s="17">
        <v>314.0</v>
      </c>
      <c r="B316" s="42">
        <v>47.0</v>
      </c>
      <c r="C316" s="13" t="s">
        <v>3486</v>
      </c>
      <c r="D316" s="13" t="s">
        <v>5094</v>
      </c>
      <c r="E316" s="13" t="s">
        <v>5095</v>
      </c>
      <c r="F316" s="15"/>
      <c r="G316" s="1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2.5" customHeight="1">
      <c r="A317" s="17">
        <v>315.0</v>
      </c>
      <c r="B317" s="42">
        <v>47.0</v>
      </c>
      <c r="C317" s="13" t="s">
        <v>5096</v>
      </c>
      <c r="D317" s="13" t="s">
        <v>5097</v>
      </c>
      <c r="E317" s="13" t="s">
        <v>5098</v>
      </c>
      <c r="F317" s="15"/>
      <c r="G317" s="1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2.5" customHeight="1">
      <c r="A318" s="17">
        <v>316.0</v>
      </c>
      <c r="B318" s="42">
        <v>46.0</v>
      </c>
      <c r="C318" s="13" t="s">
        <v>5099</v>
      </c>
      <c r="D318" s="13" t="s">
        <v>5100</v>
      </c>
      <c r="E318" s="13" t="s">
        <v>5101</v>
      </c>
      <c r="F318" s="14" t="s">
        <v>18</v>
      </c>
      <c r="G318" s="1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2.5" customHeight="1">
      <c r="A319" s="17">
        <v>317.0</v>
      </c>
      <c r="B319" s="42">
        <v>46.0</v>
      </c>
      <c r="C319" s="13" t="s">
        <v>5102</v>
      </c>
      <c r="D319" s="13" t="s">
        <v>5103</v>
      </c>
      <c r="E319" s="13" t="s">
        <v>5104</v>
      </c>
      <c r="F319" s="15"/>
      <c r="G319" s="1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2.5" customHeight="1">
      <c r="A320" s="17">
        <v>318.0</v>
      </c>
      <c r="B320" s="42">
        <v>46.0</v>
      </c>
      <c r="C320" s="13" t="s">
        <v>4746</v>
      </c>
      <c r="D320" s="13" t="s">
        <v>4747</v>
      </c>
      <c r="E320" s="13" t="s">
        <v>5105</v>
      </c>
      <c r="F320" s="15"/>
      <c r="G320" s="1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2.5" customHeight="1">
      <c r="A321" s="17">
        <v>319.0</v>
      </c>
      <c r="B321" s="42">
        <v>46.0</v>
      </c>
      <c r="C321" s="13" t="s">
        <v>5106</v>
      </c>
      <c r="D321" s="13" t="s">
        <v>5107</v>
      </c>
      <c r="E321" s="13" t="s">
        <v>5108</v>
      </c>
      <c r="F321" s="15"/>
      <c r="G321" s="1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2.5" customHeight="1">
      <c r="A322" s="17">
        <v>320.0</v>
      </c>
      <c r="B322" s="42">
        <v>46.0</v>
      </c>
      <c r="C322" s="13" t="s">
        <v>5109</v>
      </c>
      <c r="D322" s="13" t="s">
        <v>5110</v>
      </c>
      <c r="E322" s="13" t="s">
        <v>5111</v>
      </c>
      <c r="F322" s="15"/>
      <c r="G322" s="1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2.5" customHeight="1">
      <c r="A323" s="17">
        <v>321.0</v>
      </c>
      <c r="B323" s="42">
        <v>45.0</v>
      </c>
      <c r="C323" s="13" t="s">
        <v>5112</v>
      </c>
      <c r="D323" s="13" t="s">
        <v>5113</v>
      </c>
      <c r="E323" s="13" t="s">
        <v>5114</v>
      </c>
      <c r="F323" s="15"/>
      <c r="G323" s="1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2.5" customHeight="1">
      <c r="A324" s="17">
        <v>322.0</v>
      </c>
      <c r="B324" s="42">
        <v>45.0</v>
      </c>
      <c r="C324" s="13" t="s">
        <v>5115</v>
      </c>
      <c r="D324" s="13" t="s">
        <v>5116</v>
      </c>
      <c r="E324" s="13" t="s">
        <v>5117</v>
      </c>
      <c r="F324" s="15"/>
      <c r="G324" s="1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2.5" customHeight="1">
      <c r="A325" s="17">
        <v>323.0</v>
      </c>
      <c r="B325" s="42">
        <v>45.0</v>
      </c>
      <c r="C325" s="13" t="s">
        <v>4743</v>
      </c>
      <c r="D325" s="13" t="s">
        <v>4744</v>
      </c>
      <c r="E325" s="13" t="s">
        <v>5118</v>
      </c>
      <c r="F325" s="15"/>
      <c r="G325" s="1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2.5" customHeight="1">
      <c r="A326" s="17">
        <v>324.0</v>
      </c>
      <c r="B326" s="42">
        <v>45.0</v>
      </c>
      <c r="C326" s="13" t="s">
        <v>5119</v>
      </c>
      <c r="D326" s="13" t="s">
        <v>5120</v>
      </c>
      <c r="E326" s="13" t="s">
        <v>5121</v>
      </c>
      <c r="F326" s="15"/>
      <c r="G326" s="1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2.5" customHeight="1">
      <c r="A327" s="17">
        <v>325.0</v>
      </c>
      <c r="B327" s="42">
        <v>45.0</v>
      </c>
      <c r="C327" s="13" t="s">
        <v>5122</v>
      </c>
      <c r="D327" s="13" t="s">
        <v>5123</v>
      </c>
      <c r="E327" s="13" t="s">
        <v>5124</v>
      </c>
      <c r="F327" s="14" t="s">
        <v>18</v>
      </c>
      <c r="G327" s="1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2.5" customHeight="1">
      <c r="A328" s="17">
        <v>326.0</v>
      </c>
      <c r="B328" s="42">
        <v>44.0</v>
      </c>
      <c r="C328" s="13" t="s">
        <v>5125</v>
      </c>
      <c r="D328" s="13" t="s">
        <v>5126</v>
      </c>
      <c r="E328" s="13" t="s">
        <v>5127</v>
      </c>
      <c r="F328" s="15"/>
      <c r="G328" s="1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2.5" customHeight="1">
      <c r="A329" s="17">
        <v>327.0</v>
      </c>
      <c r="B329" s="42">
        <v>44.0</v>
      </c>
      <c r="C329" s="13" t="s">
        <v>5128</v>
      </c>
      <c r="D329" s="13" t="s">
        <v>5129</v>
      </c>
      <c r="E329" s="13" t="s">
        <v>5130</v>
      </c>
      <c r="F329" s="15"/>
      <c r="G329" s="1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2.5" customHeight="1">
      <c r="A330" s="17">
        <v>328.0</v>
      </c>
      <c r="B330" s="42">
        <v>44.0</v>
      </c>
      <c r="C330" s="13" t="s">
        <v>4736</v>
      </c>
      <c r="D330" s="13" t="s">
        <v>4737</v>
      </c>
      <c r="E330" s="13" t="s">
        <v>5131</v>
      </c>
      <c r="F330" s="15"/>
      <c r="G330" s="1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2.5" customHeight="1">
      <c r="A331" s="17">
        <v>329.0</v>
      </c>
      <c r="B331" s="42">
        <v>44.0</v>
      </c>
      <c r="C331" s="13" t="s">
        <v>5132</v>
      </c>
      <c r="D331" s="13" t="s">
        <v>5133</v>
      </c>
      <c r="E331" s="13" t="s">
        <v>5134</v>
      </c>
      <c r="F331" s="15"/>
      <c r="G331" s="1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2.5" customHeight="1">
      <c r="A332" s="17">
        <v>330.0</v>
      </c>
      <c r="B332" s="42">
        <v>44.0</v>
      </c>
      <c r="C332" s="13" t="s">
        <v>5135</v>
      </c>
      <c r="D332" s="13" t="s">
        <v>5136</v>
      </c>
      <c r="E332" s="13" t="s">
        <v>5137</v>
      </c>
      <c r="F332" s="15"/>
      <c r="G332" s="1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2.5" customHeight="1">
      <c r="A333" s="17">
        <v>331.0</v>
      </c>
      <c r="B333" s="42">
        <v>43.0</v>
      </c>
      <c r="C333" s="13" t="s">
        <v>4739</v>
      </c>
      <c r="D333" s="13" t="s">
        <v>4545</v>
      </c>
      <c r="E333" s="13" t="s">
        <v>5138</v>
      </c>
      <c r="F333" s="15"/>
      <c r="G333" s="1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2.5" customHeight="1">
      <c r="A334" s="17">
        <v>332.0</v>
      </c>
      <c r="B334" s="42">
        <v>43.0</v>
      </c>
      <c r="C334" s="13" t="s">
        <v>5139</v>
      </c>
      <c r="D334" s="13" t="s">
        <v>5140</v>
      </c>
      <c r="E334" s="13" t="s">
        <v>5141</v>
      </c>
      <c r="F334" s="14" t="s">
        <v>18</v>
      </c>
      <c r="G334" s="1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2.5" customHeight="1">
      <c r="A335" s="17">
        <v>333.0</v>
      </c>
      <c r="B335" s="42">
        <v>43.0</v>
      </c>
      <c r="C335" s="13" t="s">
        <v>5142</v>
      </c>
      <c r="D335" s="13" t="s">
        <v>5143</v>
      </c>
      <c r="E335" s="13" t="s">
        <v>5144</v>
      </c>
      <c r="F335" s="15"/>
      <c r="G335" s="1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2.5" customHeight="1">
      <c r="A336" s="17">
        <v>334.0</v>
      </c>
      <c r="B336" s="42">
        <v>43.0</v>
      </c>
      <c r="C336" s="13" t="s">
        <v>5145</v>
      </c>
      <c r="D336" s="13" t="s">
        <v>5146</v>
      </c>
      <c r="E336" s="13" t="s">
        <v>5147</v>
      </c>
      <c r="F336" s="15"/>
      <c r="G336" s="1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2.5" customHeight="1">
      <c r="A337" s="17">
        <v>335.0</v>
      </c>
      <c r="B337" s="42">
        <v>43.0</v>
      </c>
      <c r="C337" s="13" t="s">
        <v>5148</v>
      </c>
      <c r="D337" s="13" t="s">
        <v>5149</v>
      </c>
      <c r="E337" s="13" t="s">
        <v>5150</v>
      </c>
      <c r="F337" s="15"/>
      <c r="G337" s="1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2.5" customHeight="1">
      <c r="A338" s="17">
        <v>336.0</v>
      </c>
      <c r="B338" s="42">
        <v>42.0</v>
      </c>
      <c r="C338" s="13" t="s">
        <v>5151</v>
      </c>
      <c r="D338" s="13" t="s">
        <v>5152</v>
      </c>
      <c r="E338" s="13" t="s">
        <v>5153</v>
      </c>
      <c r="F338" s="15"/>
      <c r="G338" s="1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2.5" customHeight="1">
      <c r="A339" s="17">
        <v>337.0</v>
      </c>
      <c r="B339" s="42">
        <v>42.0</v>
      </c>
      <c r="C339" s="13" t="s">
        <v>4656</v>
      </c>
      <c r="D339" s="13" t="s">
        <v>4657</v>
      </c>
      <c r="E339" s="13" t="s">
        <v>4658</v>
      </c>
      <c r="F339" s="15"/>
      <c r="G339" s="1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2.5" customHeight="1">
      <c r="A340" s="17">
        <v>338.0</v>
      </c>
      <c r="B340" s="42">
        <v>42.0</v>
      </c>
      <c r="C340" s="13" t="s">
        <v>5154</v>
      </c>
      <c r="D340" s="13" t="s">
        <v>5155</v>
      </c>
      <c r="E340" s="13" t="s">
        <v>5156</v>
      </c>
      <c r="F340" s="15"/>
      <c r="G340" s="1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2.5" customHeight="1">
      <c r="A341" s="17">
        <v>339.0</v>
      </c>
      <c r="B341" s="42">
        <v>42.0</v>
      </c>
      <c r="C341" s="13" t="s">
        <v>5157</v>
      </c>
      <c r="D341" s="13" t="s">
        <v>5158</v>
      </c>
      <c r="E341" s="13" t="s">
        <v>5159</v>
      </c>
      <c r="F341" s="15"/>
      <c r="G341" s="1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2.5" customHeight="1">
      <c r="A342" s="17">
        <v>340.0</v>
      </c>
      <c r="B342" s="42">
        <v>42.0</v>
      </c>
      <c r="C342" s="13" t="s">
        <v>1491</v>
      </c>
      <c r="D342" s="13" t="s">
        <v>5160</v>
      </c>
      <c r="E342" s="13" t="s">
        <v>4097</v>
      </c>
      <c r="F342" s="15"/>
      <c r="G342" s="1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2.5" customHeight="1">
      <c r="A343" s="17">
        <v>341.0</v>
      </c>
      <c r="B343" s="42">
        <v>41.0</v>
      </c>
      <c r="C343" s="13" t="s">
        <v>5161</v>
      </c>
      <c r="D343" s="13" t="s">
        <v>5162</v>
      </c>
      <c r="E343" s="13" t="s">
        <v>5163</v>
      </c>
      <c r="F343" s="15"/>
      <c r="G343" s="1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2.5" customHeight="1">
      <c r="A344" s="17">
        <v>342.0</v>
      </c>
      <c r="B344" s="42">
        <v>41.0</v>
      </c>
      <c r="C344" s="13" t="s">
        <v>5164</v>
      </c>
      <c r="D344" s="13" t="s">
        <v>5165</v>
      </c>
      <c r="E344" s="13" t="s">
        <v>5166</v>
      </c>
      <c r="F344" s="14" t="s">
        <v>18</v>
      </c>
      <c r="G344" s="1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2.5" customHeight="1">
      <c r="A345" s="17">
        <v>343.0</v>
      </c>
      <c r="B345" s="42">
        <v>41.0</v>
      </c>
      <c r="C345" s="13" t="s">
        <v>5167</v>
      </c>
      <c r="D345" s="13" t="s">
        <v>5168</v>
      </c>
      <c r="E345" s="13" t="s">
        <v>5169</v>
      </c>
      <c r="F345" s="15"/>
      <c r="G345" s="1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2.5" customHeight="1">
      <c r="A346" s="17">
        <v>344.0</v>
      </c>
      <c r="B346" s="42">
        <v>41.0</v>
      </c>
      <c r="C346" s="13" t="s">
        <v>5170</v>
      </c>
      <c r="D346" s="13" t="s">
        <v>5171</v>
      </c>
      <c r="E346" s="13" t="s">
        <v>5172</v>
      </c>
      <c r="F346" s="15"/>
      <c r="G346" s="1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2.5" customHeight="1">
      <c r="A347" s="17">
        <v>345.0</v>
      </c>
      <c r="B347" s="42">
        <v>41.0</v>
      </c>
      <c r="C347" s="13" t="s">
        <v>5173</v>
      </c>
      <c r="D347" s="13" t="s">
        <v>5174</v>
      </c>
      <c r="E347" s="13" t="s">
        <v>5175</v>
      </c>
      <c r="F347" s="15"/>
      <c r="G347" s="1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2.5" customHeight="1">
      <c r="A348" s="17">
        <v>346.0</v>
      </c>
      <c r="B348" s="42">
        <v>39.0</v>
      </c>
      <c r="C348" s="13" t="s">
        <v>5176</v>
      </c>
      <c r="D348" s="13" t="s">
        <v>5177</v>
      </c>
      <c r="E348" s="13" t="s">
        <v>5178</v>
      </c>
      <c r="F348" s="14" t="s">
        <v>18</v>
      </c>
      <c r="G348" s="1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2.5" customHeight="1">
      <c r="A349" s="17">
        <v>347.0</v>
      </c>
      <c r="B349" s="42">
        <v>39.0</v>
      </c>
      <c r="C349" s="13" t="s">
        <v>5179</v>
      </c>
      <c r="D349" s="13" t="s">
        <v>5180</v>
      </c>
      <c r="E349" s="13" t="s">
        <v>5181</v>
      </c>
      <c r="F349" s="15"/>
      <c r="G349" s="1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2.5" customHeight="1">
      <c r="A350" s="17">
        <v>348.0</v>
      </c>
      <c r="B350" s="42">
        <v>39.0</v>
      </c>
      <c r="C350" s="13" t="s">
        <v>5170</v>
      </c>
      <c r="D350" s="13" t="s">
        <v>5171</v>
      </c>
      <c r="E350" s="13" t="s">
        <v>5172</v>
      </c>
      <c r="F350" s="15"/>
      <c r="G350" s="1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2.5" customHeight="1">
      <c r="A351" s="17">
        <v>349.0</v>
      </c>
      <c r="B351" s="42">
        <v>39.0</v>
      </c>
      <c r="C351" s="13" t="s">
        <v>5182</v>
      </c>
      <c r="D351" s="13" t="s">
        <v>5183</v>
      </c>
      <c r="E351" s="13" t="s">
        <v>5184</v>
      </c>
      <c r="F351" s="14" t="s">
        <v>18</v>
      </c>
      <c r="G351" s="1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2.5" customHeight="1">
      <c r="A352" s="17">
        <v>350.0</v>
      </c>
      <c r="B352" s="42">
        <v>39.0</v>
      </c>
      <c r="C352" s="13" t="s">
        <v>5185</v>
      </c>
      <c r="D352" s="13" t="s">
        <v>5186</v>
      </c>
      <c r="E352" s="13" t="s">
        <v>5187</v>
      </c>
      <c r="F352" s="15"/>
      <c r="G352" s="1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2.5" customHeight="1">
      <c r="A353" s="17">
        <v>351.0</v>
      </c>
      <c r="B353" s="42">
        <v>38.0</v>
      </c>
      <c r="C353" s="13" t="s">
        <v>5188</v>
      </c>
      <c r="D353" s="13" t="s">
        <v>5189</v>
      </c>
      <c r="E353" s="13" t="s">
        <v>5190</v>
      </c>
      <c r="F353" s="15"/>
      <c r="G353" s="1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2.5" customHeight="1">
      <c r="A354" s="17">
        <v>352.0</v>
      </c>
      <c r="B354" s="42">
        <v>38.0</v>
      </c>
      <c r="C354" s="13" t="s">
        <v>5191</v>
      </c>
      <c r="D354" s="13" t="s">
        <v>5192</v>
      </c>
      <c r="E354" s="13" t="s">
        <v>5193</v>
      </c>
      <c r="F354" s="14" t="s">
        <v>18</v>
      </c>
      <c r="G354" s="1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2.5" customHeight="1">
      <c r="A355" s="17">
        <v>353.0</v>
      </c>
      <c r="B355" s="42">
        <v>38.0</v>
      </c>
      <c r="C355" s="13" t="s">
        <v>5194</v>
      </c>
      <c r="D355" s="13" t="s">
        <v>5195</v>
      </c>
      <c r="E355" s="13" t="s">
        <v>5196</v>
      </c>
      <c r="F355" s="15"/>
      <c r="G355" s="1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2.5" customHeight="1">
      <c r="A356" s="17">
        <v>354.0</v>
      </c>
      <c r="B356" s="42">
        <v>38.0</v>
      </c>
      <c r="C356" s="13" t="s">
        <v>5197</v>
      </c>
      <c r="D356" s="13" t="s">
        <v>5198</v>
      </c>
      <c r="E356" s="13" t="s">
        <v>5199</v>
      </c>
      <c r="F356" s="15"/>
      <c r="G356" s="1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2.5" customHeight="1">
      <c r="A357" s="17">
        <v>355.0</v>
      </c>
      <c r="B357" s="42">
        <v>38.0</v>
      </c>
      <c r="C357" s="13" t="s">
        <v>5200</v>
      </c>
      <c r="D357" s="13" t="s">
        <v>5201</v>
      </c>
      <c r="E357" s="13" t="s">
        <v>1686</v>
      </c>
      <c r="F357" s="15"/>
      <c r="G357" s="1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2.5" customHeight="1">
      <c r="A358" s="17">
        <v>356.0</v>
      </c>
      <c r="B358" s="42">
        <v>38.0</v>
      </c>
      <c r="C358" s="13" t="s">
        <v>5202</v>
      </c>
      <c r="D358" s="13" t="s">
        <v>5203</v>
      </c>
      <c r="E358" s="13" t="s">
        <v>5204</v>
      </c>
      <c r="F358" s="14" t="s">
        <v>18</v>
      </c>
      <c r="G358" s="1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2.5" customHeight="1">
      <c r="A359" s="17">
        <v>357.0</v>
      </c>
      <c r="B359" s="42">
        <v>38.0</v>
      </c>
      <c r="C359" s="13" t="s">
        <v>3933</v>
      </c>
      <c r="D359" s="13" t="s">
        <v>5205</v>
      </c>
      <c r="E359" s="13" t="s">
        <v>5206</v>
      </c>
      <c r="F359" s="15"/>
      <c r="G359" s="1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2.5" customHeight="1">
      <c r="A360" s="17">
        <v>358.0</v>
      </c>
      <c r="B360" s="42">
        <v>38.0</v>
      </c>
      <c r="C360" s="13" t="s">
        <v>5207</v>
      </c>
      <c r="D360" s="13" t="s">
        <v>5208</v>
      </c>
      <c r="E360" s="13" t="s">
        <v>5209</v>
      </c>
      <c r="F360" s="15"/>
      <c r="G360" s="1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2.5" customHeight="1">
      <c r="A361" s="17">
        <v>359.0</v>
      </c>
      <c r="B361" s="42">
        <v>38.0</v>
      </c>
      <c r="C361" s="13" t="s">
        <v>4659</v>
      </c>
      <c r="D361" s="13" t="s">
        <v>4660</v>
      </c>
      <c r="E361" s="13" t="s">
        <v>5210</v>
      </c>
      <c r="F361" s="15"/>
      <c r="G361" s="1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2.5" customHeight="1">
      <c r="A362" s="17">
        <v>360.0</v>
      </c>
      <c r="B362" s="42">
        <v>38.0</v>
      </c>
      <c r="C362" s="13" t="s">
        <v>5211</v>
      </c>
      <c r="D362" s="13" t="s">
        <v>5212</v>
      </c>
      <c r="E362" s="13" t="s">
        <v>5213</v>
      </c>
      <c r="F362" s="15"/>
      <c r="G362" s="1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2.5" customHeight="1">
      <c r="A363" s="17">
        <v>361.0</v>
      </c>
      <c r="B363" s="42">
        <v>37.0</v>
      </c>
      <c r="C363" s="13" t="s">
        <v>5214</v>
      </c>
      <c r="D363" s="13" t="s">
        <v>5215</v>
      </c>
      <c r="E363" s="13" t="s">
        <v>5216</v>
      </c>
      <c r="F363" s="14" t="s">
        <v>18</v>
      </c>
      <c r="G363" s="1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2.5" customHeight="1">
      <c r="A364" s="17">
        <v>362.0</v>
      </c>
      <c r="B364" s="42">
        <v>37.0</v>
      </c>
      <c r="C364" s="13" t="s">
        <v>5217</v>
      </c>
      <c r="D364" s="13" t="s">
        <v>5218</v>
      </c>
      <c r="E364" s="13" t="s">
        <v>5219</v>
      </c>
      <c r="F364" s="15"/>
      <c r="G364" s="1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2.5" customHeight="1">
      <c r="A365" s="17">
        <v>363.0</v>
      </c>
      <c r="B365" s="42">
        <v>37.0</v>
      </c>
      <c r="C365" s="13" t="s">
        <v>4840</v>
      </c>
      <c r="D365" s="13" t="s">
        <v>4841</v>
      </c>
      <c r="E365" s="13" t="s">
        <v>5220</v>
      </c>
      <c r="F365" s="15"/>
      <c r="G365" s="1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2.5" customHeight="1">
      <c r="A366" s="17">
        <v>364.0</v>
      </c>
      <c r="B366" s="42">
        <v>37.0</v>
      </c>
      <c r="C366" s="13" t="s">
        <v>5003</v>
      </c>
      <c r="D366" s="13" t="s">
        <v>5004</v>
      </c>
      <c r="E366" s="13" t="s">
        <v>5221</v>
      </c>
      <c r="F366" s="15"/>
      <c r="G366" s="1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2.5" customHeight="1">
      <c r="A367" s="17">
        <v>365.0</v>
      </c>
      <c r="B367" s="42">
        <v>37.0</v>
      </c>
      <c r="C367" s="13" t="s">
        <v>4656</v>
      </c>
      <c r="D367" s="13" t="s">
        <v>4657</v>
      </c>
      <c r="E367" s="13" t="s">
        <v>4658</v>
      </c>
      <c r="F367" s="15"/>
      <c r="G367" s="1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2.5" customHeight="1">
      <c r="A368" s="17">
        <v>366.0</v>
      </c>
      <c r="B368" s="42">
        <v>36.0</v>
      </c>
      <c r="C368" s="13" t="s">
        <v>5222</v>
      </c>
      <c r="D368" s="13" t="s">
        <v>5223</v>
      </c>
      <c r="E368" s="13" t="s">
        <v>5224</v>
      </c>
      <c r="F368" s="14" t="s">
        <v>18</v>
      </c>
      <c r="G368" s="1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2.5" customHeight="1">
      <c r="A369" s="17">
        <v>367.0</v>
      </c>
      <c r="B369" s="42">
        <v>36.0</v>
      </c>
      <c r="C369" s="13" t="s">
        <v>4765</v>
      </c>
      <c r="D369" s="13" t="s">
        <v>4766</v>
      </c>
      <c r="E369" s="13" t="s">
        <v>5225</v>
      </c>
      <c r="F369" s="15"/>
      <c r="G369" s="1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2.5" customHeight="1">
      <c r="A370" s="17">
        <v>368.0</v>
      </c>
      <c r="B370" s="42">
        <v>36.0</v>
      </c>
      <c r="C370" s="13" t="s">
        <v>5226</v>
      </c>
      <c r="D370" s="13" t="s">
        <v>5227</v>
      </c>
      <c r="E370" s="13" t="s">
        <v>5228</v>
      </c>
      <c r="F370" s="15"/>
      <c r="G370" s="1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2.5" customHeight="1">
      <c r="A371" s="17">
        <v>369.0</v>
      </c>
      <c r="B371" s="42">
        <v>36.0</v>
      </c>
      <c r="C371" s="13" t="s">
        <v>5229</v>
      </c>
      <c r="D371" s="13" t="s">
        <v>5230</v>
      </c>
      <c r="E371" s="13" t="s">
        <v>5231</v>
      </c>
      <c r="F371" s="15"/>
      <c r="G371" s="1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2.5" customHeight="1">
      <c r="A372" s="17">
        <v>370.0</v>
      </c>
      <c r="B372" s="42">
        <v>36.0</v>
      </c>
      <c r="C372" s="13" t="s">
        <v>5232</v>
      </c>
      <c r="D372" s="13" t="s">
        <v>5233</v>
      </c>
      <c r="E372" s="13" t="s">
        <v>5234</v>
      </c>
      <c r="F372" s="15"/>
      <c r="G372" s="1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2.5" customHeight="1">
      <c r="A373" s="17">
        <v>371.0</v>
      </c>
      <c r="B373" s="42">
        <v>35.0</v>
      </c>
      <c r="C373" s="21" t="s">
        <v>5235</v>
      </c>
      <c r="D373" s="21" t="s">
        <v>5236</v>
      </c>
      <c r="E373" s="21" t="s">
        <v>5237</v>
      </c>
      <c r="F373" s="14" t="s">
        <v>18</v>
      </c>
      <c r="G373" s="1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2.5" customHeight="1">
      <c r="A374" s="17">
        <v>372.0</v>
      </c>
      <c r="B374" s="42">
        <v>35.0</v>
      </c>
      <c r="C374" s="21" t="s">
        <v>5238</v>
      </c>
      <c r="D374" s="21" t="s">
        <v>5239</v>
      </c>
      <c r="E374" s="21" t="s">
        <v>5240</v>
      </c>
      <c r="F374" s="15"/>
      <c r="G374" s="1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2.5" customHeight="1">
      <c r="A375" s="17">
        <v>373.0</v>
      </c>
      <c r="B375" s="42">
        <v>35.0</v>
      </c>
      <c r="C375" s="21" t="s">
        <v>4736</v>
      </c>
      <c r="D375" s="21" t="s">
        <v>4737</v>
      </c>
      <c r="E375" s="21" t="s">
        <v>5241</v>
      </c>
      <c r="F375" s="15"/>
      <c r="G375" s="1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2.5" customHeight="1">
      <c r="A376" s="17">
        <v>374.0</v>
      </c>
      <c r="B376" s="42">
        <v>35.0</v>
      </c>
      <c r="C376" s="21" t="s">
        <v>5242</v>
      </c>
      <c r="D376" s="21" t="s">
        <v>5243</v>
      </c>
      <c r="E376" s="21" t="s">
        <v>5244</v>
      </c>
      <c r="F376" s="15"/>
      <c r="G376" s="1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2.5" customHeight="1">
      <c r="A377" s="17">
        <v>375.0</v>
      </c>
      <c r="B377" s="42">
        <v>35.0</v>
      </c>
      <c r="C377" s="21" t="s">
        <v>5245</v>
      </c>
      <c r="D377" s="21" t="s">
        <v>5246</v>
      </c>
      <c r="E377" s="21" t="s">
        <v>5247</v>
      </c>
      <c r="F377" s="15"/>
      <c r="G377" s="1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2.5" customHeight="1">
      <c r="A378" s="17">
        <v>376.0</v>
      </c>
      <c r="B378" s="43">
        <v>112.0</v>
      </c>
      <c r="C378" s="17" t="s">
        <v>5248</v>
      </c>
      <c r="D378" s="17" t="s">
        <v>5249</v>
      </c>
      <c r="E378" s="17" t="s">
        <v>5250</v>
      </c>
      <c r="F378" s="15"/>
      <c r="G378" s="1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2.5" customHeight="1">
      <c r="A379" s="17">
        <v>377.0</v>
      </c>
      <c r="B379" s="43">
        <v>112.0</v>
      </c>
      <c r="C379" s="17" t="s">
        <v>5251</v>
      </c>
      <c r="D379" s="17" t="s">
        <v>5252</v>
      </c>
      <c r="E379" s="17" t="s">
        <v>5253</v>
      </c>
      <c r="F379" s="15"/>
      <c r="G379" s="1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2.5" customHeight="1">
      <c r="A380" s="17">
        <v>378.0</v>
      </c>
      <c r="B380" s="43">
        <v>112.0</v>
      </c>
      <c r="C380" s="17" t="s">
        <v>5254</v>
      </c>
      <c r="D380" s="17" t="s">
        <v>5255</v>
      </c>
      <c r="E380" s="17" t="s">
        <v>5256</v>
      </c>
      <c r="F380" s="15"/>
      <c r="G380" s="1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2.5" customHeight="1">
      <c r="A381" s="17">
        <v>379.0</v>
      </c>
      <c r="B381" s="43">
        <v>112.0</v>
      </c>
      <c r="C381" s="17" t="s">
        <v>5257</v>
      </c>
      <c r="D381" s="17" t="s">
        <v>5258</v>
      </c>
      <c r="E381" s="17" t="s">
        <v>5259</v>
      </c>
      <c r="F381" s="15"/>
      <c r="G381" s="1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2.5" customHeight="1">
      <c r="A382" s="17">
        <v>380.0</v>
      </c>
      <c r="B382" s="43">
        <v>112.0</v>
      </c>
      <c r="C382" s="17" t="s">
        <v>5260</v>
      </c>
      <c r="D382" s="17" t="s">
        <v>5261</v>
      </c>
      <c r="E382" s="17" t="s">
        <v>5262</v>
      </c>
      <c r="F382" s="15"/>
      <c r="G382" s="1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7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7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7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7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7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7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7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7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7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7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7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7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7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7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7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7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7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7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7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7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7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7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7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7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7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7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7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7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7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7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7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7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7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7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7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7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7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7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7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7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7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7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7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7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7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7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7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7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7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7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7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7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7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7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7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7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7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7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7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7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7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7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7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7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7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7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7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7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7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7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7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7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7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7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7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7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7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7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7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7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7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7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7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7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7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7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7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7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7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7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7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7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7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7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7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7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7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7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7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7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7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7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7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7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7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7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7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7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7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7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7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7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7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7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7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7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7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7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7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7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7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7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7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7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7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7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7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7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7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7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7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7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7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7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7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7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7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7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7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7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7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7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7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7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7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7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7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7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7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7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7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7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7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7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7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7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7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7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7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7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7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7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7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7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7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7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7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7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7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7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7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7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7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7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7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7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7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7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7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7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7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7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7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7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7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7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7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7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7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7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7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7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7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7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7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7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7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7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7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7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7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7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7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7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7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7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7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7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7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7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7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7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7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7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7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7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7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7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7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7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7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7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7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7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7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7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7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7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7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7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7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7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7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7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7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7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7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7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7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7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7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7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7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7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7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7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7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7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7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7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7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7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7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7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7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7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7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7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7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7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7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7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7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7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7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7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7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7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7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7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7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7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7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7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7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7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7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7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7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7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7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7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7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7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7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7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7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7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7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7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7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7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7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7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7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7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7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7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7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7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7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7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7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7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7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7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7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7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7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7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7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7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7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7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7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7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7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7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7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7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7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7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7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7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7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7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7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7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7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7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7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7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7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7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7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7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7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7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7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7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7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7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7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7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7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7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7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7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7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7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7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7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7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7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7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7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7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7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7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7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7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7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7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7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7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7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7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7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7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7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7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7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7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7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7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7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7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7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7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7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7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7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7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7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7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7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7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7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7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7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7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7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7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7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7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7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7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7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7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7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7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7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7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7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7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7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7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7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7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7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7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7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7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7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7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7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7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7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7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7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7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7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7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7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7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7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7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7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7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7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7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7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7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7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7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7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7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7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7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7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7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7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7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7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7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7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7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7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7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7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7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7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7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7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7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7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7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7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7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7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7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7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7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7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7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7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7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7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7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7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7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7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7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7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7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7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7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7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7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7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7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7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7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7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7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7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7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7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7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7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7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7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7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7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7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7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7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7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7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7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7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7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7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7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7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7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7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7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7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7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7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7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7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7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7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7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7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7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7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7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7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7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7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7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7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7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7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7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7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7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7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7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7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7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7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7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7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7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7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7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7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7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7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7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7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7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7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7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7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7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7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7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7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</sheetData>
  <dataValidations>
    <dataValidation type="custom" allowBlank="1" showDropDown="1" sqref="B3:B382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3" width="9.75"/>
    <col customWidth="1" min="4" max="4" width="52.75"/>
    <col customWidth="1" min="5" max="6" width="9.75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8" t="s">
        <v>6</v>
      </c>
      <c r="B2" s="9" t="s">
        <v>7</v>
      </c>
      <c r="C2" s="8" t="s">
        <v>8</v>
      </c>
      <c r="D2" s="8" t="s">
        <v>1159</v>
      </c>
      <c r="E2" s="8" t="s">
        <v>859</v>
      </c>
      <c r="F2" s="8" t="s">
        <v>9</v>
      </c>
      <c r="G2" s="10" t="s">
        <v>12</v>
      </c>
      <c r="H2" s="10" t="s">
        <v>13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9">
        <v>1.0</v>
      </c>
      <c r="B3" s="17">
        <v>109.0</v>
      </c>
      <c r="C3" s="17" t="s">
        <v>5263</v>
      </c>
      <c r="D3" s="17" t="s">
        <v>5264</v>
      </c>
      <c r="E3" s="17" t="s">
        <v>5265</v>
      </c>
      <c r="F3" s="17" t="s">
        <v>5266</v>
      </c>
      <c r="G3" s="19" t="s">
        <v>18</v>
      </c>
      <c r="H3" s="1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9">
        <v>2.0</v>
      </c>
      <c r="B4" s="17">
        <v>109.0</v>
      </c>
      <c r="C4" s="17" t="s">
        <v>5267</v>
      </c>
      <c r="D4" s="17" t="s">
        <v>5268</v>
      </c>
      <c r="E4" s="17" t="s">
        <v>5269</v>
      </c>
      <c r="F4" s="17" t="s">
        <v>5270</v>
      </c>
      <c r="G4" s="19" t="s">
        <v>18</v>
      </c>
      <c r="H4" s="1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9">
        <v>3.0</v>
      </c>
      <c r="B5" s="17">
        <v>109.0</v>
      </c>
      <c r="C5" s="17" t="s">
        <v>5271</v>
      </c>
      <c r="D5" s="17" t="s">
        <v>5272</v>
      </c>
      <c r="E5" s="17" t="s">
        <v>5273</v>
      </c>
      <c r="F5" s="17" t="s">
        <v>4437</v>
      </c>
      <c r="G5" s="19" t="s">
        <v>18</v>
      </c>
      <c r="H5" s="1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9">
        <v>4.0</v>
      </c>
      <c r="B6" s="17">
        <v>109.0</v>
      </c>
      <c r="C6" s="17" t="s">
        <v>5274</v>
      </c>
      <c r="D6" s="17" t="s">
        <v>5275</v>
      </c>
      <c r="E6" s="17" t="s">
        <v>5276</v>
      </c>
      <c r="F6" s="17" t="s">
        <v>5277</v>
      </c>
      <c r="G6" s="19" t="s">
        <v>18</v>
      </c>
      <c r="H6" s="1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9">
        <v>5.0</v>
      </c>
      <c r="B7" s="17">
        <v>109.0</v>
      </c>
      <c r="C7" s="17" t="s">
        <v>5278</v>
      </c>
      <c r="D7" s="17" t="s">
        <v>5279</v>
      </c>
      <c r="E7" s="17" t="s">
        <v>5280</v>
      </c>
      <c r="F7" s="17" t="s">
        <v>5281</v>
      </c>
      <c r="G7" s="18"/>
      <c r="H7" s="1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9">
        <v>6.0</v>
      </c>
      <c r="B8" s="13">
        <v>110.0</v>
      </c>
      <c r="C8" s="13" t="s">
        <v>5282</v>
      </c>
      <c r="D8" s="13" t="s">
        <v>5283</v>
      </c>
      <c r="E8" s="13" t="s">
        <v>5284</v>
      </c>
      <c r="F8" s="13" t="s">
        <v>5285</v>
      </c>
      <c r="G8" s="15"/>
      <c r="H8" s="1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9">
        <v>7.0</v>
      </c>
      <c r="B9" s="13">
        <v>110.0</v>
      </c>
      <c r="C9" s="13" t="s">
        <v>5286</v>
      </c>
      <c r="D9" s="13" t="s">
        <v>5287</v>
      </c>
      <c r="E9" s="13" t="s">
        <v>5288</v>
      </c>
      <c r="F9" s="13" t="s">
        <v>5289</v>
      </c>
      <c r="G9" s="14" t="s">
        <v>18</v>
      </c>
      <c r="H9" s="1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9">
        <v>8.0</v>
      </c>
      <c r="B10" s="13">
        <v>110.0</v>
      </c>
      <c r="C10" s="13" t="s">
        <v>5290</v>
      </c>
      <c r="D10" s="13" t="s">
        <v>5291</v>
      </c>
      <c r="E10" s="13" t="s">
        <v>5292</v>
      </c>
      <c r="F10" s="13" t="s">
        <v>5293</v>
      </c>
      <c r="G10" s="14" t="s">
        <v>18</v>
      </c>
      <c r="H10" s="1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9">
        <v>9.0</v>
      </c>
      <c r="B11" s="13">
        <v>110.0</v>
      </c>
      <c r="C11" s="13" t="s">
        <v>5294</v>
      </c>
      <c r="D11" s="13" t="s">
        <v>5295</v>
      </c>
      <c r="E11" s="13" t="s">
        <v>5296</v>
      </c>
      <c r="F11" s="13" t="s">
        <v>5297</v>
      </c>
      <c r="G11" s="14" t="s">
        <v>18</v>
      </c>
      <c r="H11" s="1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2.5" customHeight="1">
      <c r="A12" s="9">
        <v>10.0</v>
      </c>
      <c r="B12" s="13">
        <v>110.0</v>
      </c>
      <c r="C12" s="13" t="s">
        <v>5298</v>
      </c>
      <c r="D12" s="13" t="s">
        <v>5299</v>
      </c>
      <c r="E12" s="13" t="s">
        <v>5300</v>
      </c>
      <c r="F12" s="13" t="s">
        <v>5301</v>
      </c>
      <c r="G12" s="14" t="s">
        <v>18</v>
      </c>
      <c r="H12" s="1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9">
        <v>11.0</v>
      </c>
      <c r="B13" s="13">
        <v>111.0</v>
      </c>
      <c r="C13" s="13" t="s">
        <v>5302</v>
      </c>
      <c r="D13" s="13" t="s">
        <v>5303</v>
      </c>
      <c r="E13" s="13" t="s">
        <v>5304</v>
      </c>
      <c r="F13" s="14" t="s">
        <v>5305</v>
      </c>
      <c r="G13" s="14" t="s">
        <v>18</v>
      </c>
      <c r="H13" s="1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9">
        <v>12.0</v>
      </c>
      <c r="B14" s="13">
        <v>111.0</v>
      </c>
      <c r="C14" s="13" t="s">
        <v>5306</v>
      </c>
      <c r="D14" s="13" t="s">
        <v>5307</v>
      </c>
      <c r="E14" s="13" t="s">
        <v>5308</v>
      </c>
      <c r="F14" s="14" t="s">
        <v>5309</v>
      </c>
      <c r="G14" s="14" t="s">
        <v>18</v>
      </c>
      <c r="H14" s="1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9">
        <v>13.0</v>
      </c>
      <c r="B15" s="13">
        <v>111.0</v>
      </c>
      <c r="C15" s="13" t="s">
        <v>5310</v>
      </c>
      <c r="D15" s="13" t="s">
        <v>5311</v>
      </c>
      <c r="E15" s="13" t="s">
        <v>5312</v>
      </c>
      <c r="F15" s="14" t="s">
        <v>4636</v>
      </c>
      <c r="G15" s="15"/>
      <c r="H15" s="1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9">
        <v>14.0</v>
      </c>
      <c r="B16" s="13">
        <v>111.0</v>
      </c>
      <c r="C16" s="13" t="s">
        <v>5313</v>
      </c>
      <c r="D16" s="13" t="s">
        <v>5314</v>
      </c>
      <c r="E16" s="13" t="s">
        <v>5315</v>
      </c>
      <c r="F16" s="14" t="s">
        <v>5316</v>
      </c>
      <c r="G16" s="15"/>
      <c r="H16" s="1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2.5" customHeight="1">
      <c r="A17" s="9">
        <v>15.0</v>
      </c>
      <c r="B17" s="13">
        <v>111.0</v>
      </c>
      <c r="C17" s="13" t="s">
        <v>5317</v>
      </c>
      <c r="D17" s="13" t="s">
        <v>5318</v>
      </c>
      <c r="E17" s="13" t="s">
        <v>5319</v>
      </c>
      <c r="F17" s="14" t="s">
        <v>1418</v>
      </c>
      <c r="G17" s="14" t="s">
        <v>18</v>
      </c>
      <c r="H17" s="1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9">
        <v>16.0</v>
      </c>
      <c r="B18" s="9">
        <v>108.0</v>
      </c>
      <c r="C18" s="13" t="s">
        <v>5320</v>
      </c>
      <c r="D18" s="13" t="s">
        <v>5321</v>
      </c>
      <c r="E18" s="13" t="s">
        <v>5322</v>
      </c>
      <c r="F18" s="13" t="s">
        <v>5323</v>
      </c>
      <c r="G18" s="15"/>
      <c r="H18" s="1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.5" customHeight="1">
      <c r="A19" s="9">
        <v>17.0</v>
      </c>
      <c r="B19" s="9">
        <v>108.0</v>
      </c>
      <c r="C19" s="13" t="s">
        <v>5324</v>
      </c>
      <c r="D19" s="13" t="s">
        <v>5325</v>
      </c>
      <c r="E19" s="13" t="s">
        <v>5326</v>
      </c>
      <c r="F19" s="13" t="s">
        <v>5327</v>
      </c>
      <c r="G19" s="14" t="s">
        <v>18</v>
      </c>
      <c r="H19" s="1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2.5" customHeight="1">
      <c r="A20" s="9">
        <v>18.0</v>
      </c>
      <c r="B20" s="9">
        <v>108.0</v>
      </c>
      <c r="C20" s="13" t="s">
        <v>5328</v>
      </c>
      <c r="D20" s="13" t="s">
        <v>5329</v>
      </c>
      <c r="E20" s="13" t="s">
        <v>5330</v>
      </c>
      <c r="F20" s="13" t="s">
        <v>5331</v>
      </c>
      <c r="G20" s="15"/>
      <c r="H20" s="1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2.5" customHeight="1">
      <c r="A21" s="9">
        <v>19.0</v>
      </c>
      <c r="B21" s="9">
        <v>108.0</v>
      </c>
      <c r="C21" s="13" t="s">
        <v>5332</v>
      </c>
      <c r="D21" s="13" t="s">
        <v>5333</v>
      </c>
      <c r="E21" s="13" t="s">
        <v>5334</v>
      </c>
      <c r="F21" s="13" t="s">
        <v>5335</v>
      </c>
      <c r="G21" s="14" t="s">
        <v>18</v>
      </c>
      <c r="H21" s="1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2.5" customHeight="1">
      <c r="A22" s="9">
        <v>20.0</v>
      </c>
      <c r="B22" s="9">
        <v>108.0</v>
      </c>
      <c r="C22" s="13" t="s">
        <v>5336</v>
      </c>
      <c r="D22" s="13" t="s">
        <v>5337</v>
      </c>
      <c r="E22" s="13" t="s">
        <v>5338</v>
      </c>
      <c r="F22" s="13" t="s">
        <v>5339</v>
      </c>
      <c r="G22" s="14" t="s">
        <v>18</v>
      </c>
      <c r="H22" s="1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2.5" customHeight="1">
      <c r="A23" s="9">
        <v>21.0</v>
      </c>
      <c r="B23" s="11">
        <v>107.0</v>
      </c>
      <c r="C23" s="13" t="s">
        <v>5340</v>
      </c>
      <c r="D23" s="13" t="s">
        <v>5341</v>
      </c>
      <c r="E23" s="13" t="s">
        <v>5342</v>
      </c>
      <c r="F23" s="13" t="s">
        <v>5343</v>
      </c>
      <c r="G23" s="14" t="s">
        <v>18</v>
      </c>
      <c r="H23" s="15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2.5" customHeight="1">
      <c r="A24" s="9">
        <v>22.0</v>
      </c>
      <c r="B24" s="11">
        <v>107.0</v>
      </c>
      <c r="C24" s="13" t="s">
        <v>5344</v>
      </c>
      <c r="D24" s="13" t="s">
        <v>5345</v>
      </c>
      <c r="E24" s="13" t="s">
        <v>5346</v>
      </c>
      <c r="F24" s="13" t="s">
        <v>5347</v>
      </c>
      <c r="G24" s="15"/>
      <c r="H24" s="1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2.5" customHeight="1">
      <c r="A25" s="9">
        <v>23.0</v>
      </c>
      <c r="B25" s="11">
        <v>107.0</v>
      </c>
      <c r="C25" s="13" t="s">
        <v>5348</v>
      </c>
      <c r="D25" s="13" t="s">
        <v>5349</v>
      </c>
      <c r="E25" s="13" t="s">
        <v>5350</v>
      </c>
      <c r="F25" s="13" t="s">
        <v>5351</v>
      </c>
      <c r="G25" s="15"/>
      <c r="H25" s="1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2.5" customHeight="1">
      <c r="A26" s="9">
        <v>24.0</v>
      </c>
      <c r="B26" s="11">
        <v>107.0</v>
      </c>
      <c r="C26" s="13" t="s">
        <v>5352</v>
      </c>
      <c r="D26" s="13" t="s">
        <v>5000</v>
      </c>
      <c r="E26" s="13" t="s">
        <v>4998</v>
      </c>
      <c r="F26" s="13" t="s">
        <v>4999</v>
      </c>
      <c r="G26" s="14" t="s">
        <v>18</v>
      </c>
      <c r="H26" s="1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2.5" customHeight="1">
      <c r="A27" s="9">
        <v>25.0</v>
      </c>
      <c r="B27" s="11">
        <v>107.0</v>
      </c>
      <c r="C27" s="13" t="s">
        <v>5353</v>
      </c>
      <c r="D27" s="13" t="s">
        <v>5354</v>
      </c>
      <c r="E27" s="13" t="s">
        <v>5355</v>
      </c>
      <c r="F27" s="13" t="s">
        <v>5356</v>
      </c>
      <c r="G27" s="14" t="s">
        <v>18</v>
      </c>
      <c r="H27" s="15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2.5" customHeight="1">
      <c r="A28" s="9">
        <v>26.0</v>
      </c>
      <c r="B28" s="11">
        <v>106.0</v>
      </c>
      <c r="C28" s="13" t="s">
        <v>5357</v>
      </c>
      <c r="D28" s="13" t="s">
        <v>5358</v>
      </c>
      <c r="E28" s="13" t="s">
        <v>5359</v>
      </c>
      <c r="F28" s="13" t="s">
        <v>5360</v>
      </c>
      <c r="G28" s="15"/>
      <c r="H28" s="1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2.5" customHeight="1">
      <c r="A29" s="9">
        <v>27.0</v>
      </c>
      <c r="B29" s="11">
        <v>106.0</v>
      </c>
      <c r="C29" s="13" t="s">
        <v>5361</v>
      </c>
      <c r="D29" s="13" t="s">
        <v>5362</v>
      </c>
      <c r="E29" s="13" t="s">
        <v>5363</v>
      </c>
      <c r="F29" s="13" t="s">
        <v>5364</v>
      </c>
      <c r="G29" s="15"/>
      <c r="H29" s="1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2.5" customHeight="1">
      <c r="A30" s="9">
        <v>28.0</v>
      </c>
      <c r="B30" s="11">
        <v>106.0</v>
      </c>
      <c r="C30" s="13" t="s">
        <v>5365</v>
      </c>
      <c r="D30" s="13" t="s">
        <v>5366</v>
      </c>
      <c r="E30" s="13" t="s">
        <v>5367</v>
      </c>
      <c r="F30" s="13" t="s">
        <v>5368</v>
      </c>
      <c r="G30" s="14" t="s">
        <v>18</v>
      </c>
      <c r="H30" s="1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2.5" customHeight="1">
      <c r="A31" s="9">
        <v>29.0</v>
      </c>
      <c r="B31" s="11">
        <v>106.0</v>
      </c>
      <c r="C31" s="13" t="s">
        <v>5369</v>
      </c>
      <c r="D31" s="13" t="s">
        <v>5370</v>
      </c>
      <c r="E31" s="13" t="s">
        <v>5371</v>
      </c>
      <c r="F31" s="13" t="s">
        <v>5372</v>
      </c>
      <c r="G31" s="14" t="s">
        <v>18</v>
      </c>
      <c r="H31" s="1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2.5" customHeight="1">
      <c r="A32" s="9">
        <v>30.0</v>
      </c>
      <c r="B32" s="11">
        <v>106.0</v>
      </c>
      <c r="C32" s="13" t="s">
        <v>5373</v>
      </c>
      <c r="D32" s="13" t="s">
        <v>5374</v>
      </c>
      <c r="E32" s="13" t="s">
        <v>5375</v>
      </c>
      <c r="F32" s="13" t="s">
        <v>5376</v>
      </c>
      <c r="G32" s="15"/>
      <c r="H32" s="1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2.5" customHeight="1">
      <c r="A33" s="9">
        <v>31.0</v>
      </c>
      <c r="B33" s="11">
        <v>105.0</v>
      </c>
      <c r="C33" s="13" t="s">
        <v>5377</v>
      </c>
      <c r="D33" s="13" t="s">
        <v>5378</v>
      </c>
      <c r="E33" s="13" t="s">
        <v>5379</v>
      </c>
      <c r="F33" s="13" t="s">
        <v>5380</v>
      </c>
      <c r="G33" s="14" t="s">
        <v>18</v>
      </c>
      <c r="H33" s="1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2.5" customHeight="1">
      <c r="A34" s="9">
        <v>32.0</v>
      </c>
      <c r="B34" s="11">
        <v>105.0</v>
      </c>
      <c r="C34" s="13" t="s">
        <v>5381</v>
      </c>
      <c r="D34" s="13" t="s">
        <v>5382</v>
      </c>
      <c r="E34" s="13" t="s">
        <v>5383</v>
      </c>
      <c r="F34" s="13" t="s">
        <v>5384</v>
      </c>
      <c r="G34" s="14" t="s">
        <v>18</v>
      </c>
      <c r="H34" s="1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2.5" customHeight="1">
      <c r="A35" s="9">
        <v>33.0</v>
      </c>
      <c r="B35" s="11">
        <v>105.0</v>
      </c>
      <c r="C35" s="13" t="s">
        <v>5385</v>
      </c>
      <c r="D35" s="13" t="s">
        <v>5386</v>
      </c>
      <c r="E35" s="13" t="s">
        <v>5387</v>
      </c>
      <c r="F35" s="13" t="s">
        <v>5388</v>
      </c>
      <c r="G35" s="14" t="s">
        <v>18</v>
      </c>
      <c r="H35" s="1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2.5" customHeight="1">
      <c r="A36" s="9">
        <v>34.0</v>
      </c>
      <c r="B36" s="11">
        <v>105.0</v>
      </c>
      <c r="C36" s="13" t="s">
        <v>5389</v>
      </c>
      <c r="D36" s="13" t="s">
        <v>5390</v>
      </c>
      <c r="E36" s="13" t="s">
        <v>5391</v>
      </c>
      <c r="F36" s="13" t="s">
        <v>5392</v>
      </c>
      <c r="G36" s="15"/>
      <c r="H36" s="1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2.5" customHeight="1">
      <c r="A37" s="9">
        <v>35.0</v>
      </c>
      <c r="B37" s="11">
        <v>105.0</v>
      </c>
      <c r="C37" s="13" t="s">
        <v>5393</v>
      </c>
      <c r="D37" s="13" t="s">
        <v>5394</v>
      </c>
      <c r="E37" s="13" t="s">
        <v>5395</v>
      </c>
      <c r="F37" s="13" t="s">
        <v>5396</v>
      </c>
      <c r="G37" s="15"/>
      <c r="H37" s="1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2.5" customHeight="1">
      <c r="A38" s="9">
        <v>36.0</v>
      </c>
      <c r="B38" s="11">
        <v>104.0</v>
      </c>
      <c r="C38" s="13" t="s">
        <v>5397</v>
      </c>
      <c r="D38" s="13" t="s">
        <v>5398</v>
      </c>
      <c r="E38" s="13" t="s">
        <v>5399</v>
      </c>
      <c r="F38" s="13" t="s">
        <v>5400</v>
      </c>
      <c r="G38" s="14" t="s">
        <v>18</v>
      </c>
      <c r="H38" s="14" t="s">
        <v>18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2.5" customHeight="1">
      <c r="A39" s="9">
        <v>37.0</v>
      </c>
      <c r="B39" s="11">
        <v>104.0</v>
      </c>
      <c r="C39" s="13" t="s">
        <v>5401</v>
      </c>
      <c r="D39" s="13" t="s">
        <v>5402</v>
      </c>
      <c r="E39" s="13" t="s">
        <v>5403</v>
      </c>
      <c r="F39" s="13" t="s">
        <v>5404</v>
      </c>
      <c r="G39" s="14" t="s">
        <v>18</v>
      </c>
      <c r="H39" s="1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2.5" customHeight="1">
      <c r="A40" s="9">
        <v>38.0</v>
      </c>
      <c r="B40" s="11">
        <v>104.0</v>
      </c>
      <c r="C40" s="13" t="s">
        <v>5405</v>
      </c>
      <c r="D40" s="13" t="s">
        <v>4860</v>
      </c>
      <c r="E40" s="13" t="s">
        <v>4858</v>
      </c>
      <c r="F40" s="13" t="s">
        <v>4859</v>
      </c>
      <c r="G40" s="15"/>
      <c r="H40" s="1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2.5" customHeight="1">
      <c r="A41" s="9">
        <v>39.0</v>
      </c>
      <c r="B41" s="11">
        <v>104.0</v>
      </c>
      <c r="C41" s="13" t="s">
        <v>5406</v>
      </c>
      <c r="D41" s="13" t="s">
        <v>5407</v>
      </c>
      <c r="E41" s="13" t="s">
        <v>5408</v>
      </c>
      <c r="F41" s="13" t="s">
        <v>5409</v>
      </c>
      <c r="G41" s="14" t="s">
        <v>18</v>
      </c>
      <c r="H41" s="1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2.5" customHeight="1">
      <c r="A42" s="9">
        <v>40.0</v>
      </c>
      <c r="B42" s="11">
        <v>104.0</v>
      </c>
      <c r="C42" s="13" t="s">
        <v>5410</v>
      </c>
      <c r="D42" s="13" t="s">
        <v>5411</v>
      </c>
      <c r="E42" s="13" t="s">
        <v>5412</v>
      </c>
      <c r="F42" s="13" t="s">
        <v>5413</v>
      </c>
      <c r="G42" s="14" t="s">
        <v>18</v>
      </c>
      <c r="H42" s="1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2.5" customHeight="1">
      <c r="A43" s="9">
        <v>41.0</v>
      </c>
      <c r="B43" s="11">
        <v>103.0</v>
      </c>
      <c r="C43" s="13" t="s">
        <v>5414</v>
      </c>
      <c r="D43" s="13" t="s">
        <v>5415</v>
      </c>
      <c r="E43" s="13" t="s">
        <v>5416</v>
      </c>
      <c r="F43" s="13" t="s">
        <v>5417</v>
      </c>
      <c r="G43" s="15"/>
      <c r="H43" s="1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2.5" customHeight="1">
      <c r="A44" s="9">
        <v>42.0</v>
      </c>
      <c r="B44" s="11">
        <v>103.0</v>
      </c>
      <c r="C44" s="13" t="s">
        <v>5418</v>
      </c>
      <c r="D44" s="13" t="s">
        <v>5419</v>
      </c>
      <c r="E44" s="13" t="s">
        <v>5420</v>
      </c>
      <c r="F44" s="13" t="s">
        <v>5421</v>
      </c>
      <c r="G44" s="14" t="s">
        <v>18</v>
      </c>
      <c r="H44" s="1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2.5" customHeight="1">
      <c r="A45" s="9">
        <v>43.0</v>
      </c>
      <c r="B45" s="11">
        <v>103.0</v>
      </c>
      <c r="C45" s="13" t="s">
        <v>5422</v>
      </c>
      <c r="D45" s="13" t="s">
        <v>5423</v>
      </c>
      <c r="E45" s="13" t="s">
        <v>5424</v>
      </c>
      <c r="F45" s="13" t="s">
        <v>5425</v>
      </c>
      <c r="G45" s="15"/>
      <c r="H45" s="15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2.5" customHeight="1">
      <c r="A46" s="9">
        <v>44.0</v>
      </c>
      <c r="B46" s="11">
        <v>103.0</v>
      </c>
      <c r="C46" s="13" t="s">
        <v>5426</v>
      </c>
      <c r="D46" s="13" t="s">
        <v>5427</v>
      </c>
      <c r="E46" s="13" t="s">
        <v>5428</v>
      </c>
      <c r="F46" s="13" t="s">
        <v>5429</v>
      </c>
      <c r="G46" s="15"/>
      <c r="H46" s="1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2.5" customHeight="1">
      <c r="A47" s="9">
        <v>45.0</v>
      </c>
      <c r="B47" s="11">
        <v>103.0</v>
      </c>
      <c r="C47" s="13" t="s">
        <v>5430</v>
      </c>
      <c r="D47" s="13" t="s">
        <v>5431</v>
      </c>
      <c r="E47" s="13" t="s">
        <v>5432</v>
      </c>
      <c r="F47" s="13" t="s">
        <v>4835</v>
      </c>
      <c r="G47" s="14" t="s">
        <v>18</v>
      </c>
      <c r="H47" s="1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2.5" customHeight="1">
      <c r="A48" s="9">
        <v>46.0</v>
      </c>
      <c r="B48" s="11">
        <v>102.0</v>
      </c>
      <c r="C48" s="13" t="s">
        <v>5433</v>
      </c>
      <c r="D48" s="13" t="s">
        <v>5434</v>
      </c>
      <c r="E48" s="13" t="s">
        <v>5435</v>
      </c>
      <c r="F48" s="13" t="s">
        <v>5436</v>
      </c>
      <c r="G48" s="15"/>
      <c r="H48" s="1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2.5" customHeight="1">
      <c r="A49" s="9">
        <v>47.0</v>
      </c>
      <c r="B49" s="11">
        <v>102.0</v>
      </c>
      <c r="C49" s="13" t="s">
        <v>5437</v>
      </c>
      <c r="D49" s="13" t="s">
        <v>5438</v>
      </c>
      <c r="E49" s="13" t="s">
        <v>5439</v>
      </c>
      <c r="F49" s="13" t="s">
        <v>5440</v>
      </c>
      <c r="G49" s="14" t="s">
        <v>18</v>
      </c>
      <c r="H49" s="1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2.5" customHeight="1">
      <c r="A50" s="9">
        <v>48.0</v>
      </c>
      <c r="B50" s="11">
        <v>102.0</v>
      </c>
      <c r="C50" s="13" t="s">
        <v>5441</v>
      </c>
      <c r="D50" s="13" t="s">
        <v>5442</v>
      </c>
      <c r="E50" s="13" t="s">
        <v>5443</v>
      </c>
      <c r="F50" s="13" t="s">
        <v>5444</v>
      </c>
      <c r="G50" s="14" t="s">
        <v>18</v>
      </c>
      <c r="H50" s="1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2.5" customHeight="1">
      <c r="A51" s="9">
        <v>49.0</v>
      </c>
      <c r="B51" s="11">
        <v>102.0</v>
      </c>
      <c r="C51" s="13" t="s">
        <v>5445</v>
      </c>
      <c r="D51" s="13" t="s">
        <v>5446</v>
      </c>
      <c r="E51" s="13" t="s">
        <v>5447</v>
      </c>
      <c r="F51" s="13" t="s">
        <v>5448</v>
      </c>
      <c r="G51" s="15"/>
      <c r="H51" s="1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2.5" customHeight="1">
      <c r="A52" s="9">
        <v>50.0</v>
      </c>
      <c r="B52" s="11">
        <v>102.0</v>
      </c>
      <c r="C52" s="13" t="s">
        <v>5449</v>
      </c>
      <c r="D52" s="13" t="s">
        <v>5450</v>
      </c>
      <c r="E52" s="13" t="s">
        <v>5451</v>
      </c>
      <c r="F52" s="13" t="s">
        <v>5452</v>
      </c>
      <c r="G52" s="14" t="s">
        <v>18</v>
      </c>
      <c r="H52" s="14" t="s">
        <v>18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2.5" customHeight="1">
      <c r="A53" s="9">
        <v>51.0</v>
      </c>
      <c r="B53" s="11">
        <v>101.0</v>
      </c>
      <c r="C53" s="13" t="s">
        <v>5453</v>
      </c>
      <c r="D53" s="13" t="s">
        <v>5454</v>
      </c>
      <c r="E53" s="13" t="s">
        <v>5455</v>
      </c>
      <c r="F53" s="13" t="s">
        <v>5456</v>
      </c>
      <c r="G53" s="15"/>
      <c r="H53" s="1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2.5" customHeight="1">
      <c r="A54" s="9">
        <v>52.0</v>
      </c>
      <c r="B54" s="11">
        <v>101.0</v>
      </c>
      <c r="C54" s="13" t="s">
        <v>5457</v>
      </c>
      <c r="D54" s="13" t="s">
        <v>1520</v>
      </c>
      <c r="E54" s="13" t="s">
        <v>5458</v>
      </c>
      <c r="F54" s="13" t="s">
        <v>5459</v>
      </c>
      <c r="G54" s="14" t="s">
        <v>18</v>
      </c>
      <c r="H54" s="1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2.5" customHeight="1">
      <c r="A55" s="9">
        <v>53.0</v>
      </c>
      <c r="B55" s="11">
        <v>101.0</v>
      </c>
      <c r="C55" s="13" t="s">
        <v>5460</v>
      </c>
      <c r="D55" s="13" t="s">
        <v>5461</v>
      </c>
      <c r="E55" s="13" t="s">
        <v>4512</v>
      </c>
      <c r="F55" s="13" t="s">
        <v>4513</v>
      </c>
      <c r="G55" s="14" t="s">
        <v>18</v>
      </c>
      <c r="H55" s="1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2.5" customHeight="1">
      <c r="A56" s="9">
        <v>54.0</v>
      </c>
      <c r="B56" s="11">
        <v>101.0</v>
      </c>
      <c r="C56" s="13" t="s">
        <v>5462</v>
      </c>
      <c r="D56" s="13" t="s">
        <v>5463</v>
      </c>
      <c r="E56" s="13" t="s">
        <v>5464</v>
      </c>
      <c r="F56" s="13" t="s">
        <v>5465</v>
      </c>
      <c r="G56" s="15"/>
      <c r="H56" s="1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2.5" customHeight="1">
      <c r="A57" s="9">
        <v>55.0</v>
      </c>
      <c r="B57" s="11">
        <v>101.0</v>
      </c>
      <c r="C57" s="13" t="s">
        <v>5466</v>
      </c>
      <c r="D57" s="13" t="s">
        <v>5467</v>
      </c>
      <c r="E57" s="13" t="s">
        <v>5468</v>
      </c>
      <c r="F57" s="13" t="s">
        <v>5469</v>
      </c>
      <c r="G57" s="14" t="s">
        <v>18</v>
      </c>
      <c r="H57" s="1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2.5" customHeight="1">
      <c r="A58" s="9">
        <v>56.0</v>
      </c>
      <c r="B58" s="11">
        <v>100.0</v>
      </c>
      <c r="C58" s="13" t="s">
        <v>5470</v>
      </c>
      <c r="D58" s="13" t="s">
        <v>5471</v>
      </c>
      <c r="E58" s="13" t="s">
        <v>5472</v>
      </c>
      <c r="F58" s="13" t="s">
        <v>5473</v>
      </c>
      <c r="G58" s="14" t="s">
        <v>18</v>
      </c>
      <c r="H58" s="1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2.5" customHeight="1">
      <c r="A59" s="9">
        <v>57.0</v>
      </c>
      <c r="B59" s="11">
        <v>100.0</v>
      </c>
      <c r="C59" s="13" t="s">
        <v>5474</v>
      </c>
      <c r="D59" s="13" t="s">
        <v>5475</v>
      </c>
      <c r="E59" s="13" t="s">
        <v>5476</v>
      </c>
      <c r="F59" s="13" t="s">
        <v>5477</v>
      </c>
      <c r="G59" s="14" t="s">
        <v>18</v>
      </c>
      <c r="H59" s="15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2.5" customHeight="1">
      <c r="A60" s="9">
        <v>58.0</v>
      </c>
      <c r="B60" s="11">
        <v>100.0</v>
      </c>
      <c r="C60" s="13" t="s">
        <v>5478</v>
      </c>
      <c r="D60" s="13" t="s">
        <v>5479</v>
      </c>
      <c r="E60" s="13" t="s">
        <v>5480</v>
      </c>
      <c r="F60" s="13" t="s">
        <v>5481</v>
      </c>
      <c r="G60" s="15"/>
      <c r="H60" s="1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2.5" customHeight="1">
      <c r="A61" s="9">
        <v>59.0</v>
      </c>
      <c r="B61" s="11">
        <v>100.0</v>
      </c>
      <c r="C61" s="13" t="s">
        <v>5482</v>
      </c>
      <c r="D61" s="13" t="s">
        <v>5483</v>
      </c>
      <c r="E61" s="13" t="s">
        <v>5484</v>
      </c>
      <c r="F61" s="13" t="s">
        <v>4756</v>
      </c>
      <c r="G61" s="15"/>
      <c r="H61" s="15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2.5" customHeight="1">
      <c r="A62" s="9">
        <v>60.0</v>
      </c>
      <c r="B62" s="11">
        <v>100.0</v>
      </c>
      <c r="C62" s="13" t="s">
        <v>5485</v>
      </c>
      <c r="D62" s="13" t="s">
        <v>5486</v>
      </c>
      <c r="E62" s="13" t="s">
        <v>5487</v>
      </c>
      <c r="F62" s="13" t="s">
        <v>5488</v>
      </c>
      <c r="G62" s="14" t="s">
        <v>18</v>
      </c>
      <c r="H62" s="1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2.5" customHeight="1">
      <c r="A63" s="9">
        <v>61.0</v>
      </c>
      <c r="B63" s="11">
        <v>99.0</v>
      </c>
      <c r="C63" s="13" t="s">
        <v>5489</v>
      </c>
      <c r="D63" s="13" t="s">
        <v>5490</v>
      </c>
      <c r="E63" s="13" t="s">
        <v>5491</v>
      </c>
      <c r="F63" s="13" t="s">
        <v>5492</v>
      </c>
      <c r="G63" s="15"/>
      <c r="H63" s="1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2.5" customHeight="1">
      <c r="A64" s="9">
        <v>62.0</v>
      </c>
      <c r="B64" s="11">
        <v>99.0</v>
      </c>
      <c r="C64" s="13" t="s">
        <v>5493</v>
      </c>
      <c r="D64" s="13" t="s">
        <v>5494</v>
      </c>
      <c r="E64" s="13" t="s">
        <v>5495</v>
      </c>
      <c r="F64" s="13" t="s">
        <v>5496</v>
      </c>
      <c r="G64" s="15"/>
      <c r="H64" s="15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2.5" customHeight="1">
      <c r="A65" s="9">
        <v>63.0</v>
      </c>
      <c r="B65" s="11">
        <v>99.0</v>
      </c>
      <c r="C65" s="13" t="s">
        <v>5497</v>
      </c>
      <c r="D65" s="13" t="s">
        <v>5498</v>
      </c>
      <c r="E65" s="13" t="s">
        <v>5499</v>
      </c>
      <c r="F65" s="13" t="s">
        <v>5500</v>
      </c>
      <c r="G65" s="14" t="s">
        <v>18</v>
      </c>
      <c r="H65" s="14" t="s">
        <v>18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2.5" customHeight="1">
      <c r="A66" s="9">
        <v>64.0</v>
      </c>
      <c r="B66" s="11">
        <v>99.0</v>
      </c>
      <c r="C66" s="13" t="s">
        <v>5501</v>
      </c>
      <c r="D66" s="13" t="s">
        <v>5502</v>
      </c>
      <c r="E66" s="13" t="s">
        <v>5503</v>
      </c>
      <c r="F66" s="13" t="s">
        <v>5440</v>
      </c>
      <c r="G66" s="15"/>
      <c r="H66" s="1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2.5" customHeight="1">
      <c r="A67" s="9">
        <v>65.0</v>
      </c>
      <c r="B67" s="11">
        <v>99.0</v>
      </c>
      <c r="C67" s="13" t="s">
        <v>5504</v>
      </c>
      <c r="D67" s="13" t="s">
        <v>5505</v>
      </c>
      <c r="E67" s="13" t="s">
        <v>4831</v>
      </c>
      <c r="F67" s="13" t="s">
        <v>4832</v>
      </c>
      <c r="G67" s="15"/>
      <c r="H67" s="15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2.5" customHeight="1">
      <c r="A68" s="9">
        <v>66.0</v>
      </c>
      <c r="B68" s="11">
        <v>98.0</v>
      </c>
      <c r="C68" s="13" t="s">
        <v>5506</v>
      </c>
      <c r="D68" s="13" t="s">
        <v>5507</v>
      </c>
      <c r="E68" s="13" t="s">
        <v>5508</v>
      </c>
      <c r="F68" s="13" t="s">
        <v>5509</v>
      </c>
      <c r="G68" s="14" t="s">
        <v>18</v>
      </c>
      <c r="H68" s="14" t="s">
        <v>18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2.5" customHeight="1">
      <c r="A69" s="9">
        <v>67.0</v>
      </c>
      <c r="B69" s="11">
        <v>98.0</v>
      </c>
      <c r="C69" s="13" t="s">
        <v>5510</v>
      </c>
      <c r="D69" s="13" t="s">
        <v>5511</v>
      </c>
      <c r="E69" s="13" t="s">
        <v>5512</v>
      </c>
      <c r="F69" s="13" t="s">
        <v>5513</v>
      </c>
      <c r="G69" s="15"/>
      <c r="H69" s="1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2.5" customHeight="1">
      <c r="A70" s="9">
        <v>68.0</v>
      </c>
      <c r="B70" s="11">
        <v>98.0</v>
      </c>
      <c r="C70" s="13" t="s">
        <v>5514</v>
      </c>
      <c r="D70" s="13" t="s">
        <v>5515</v>
      </c>
      <c r="E70" s="13" t="s">
        <v>5288</v>
      </c>
      <c r="F70" s="13" t="s">
        <v>5289</v>
      </c>
      <c r="G70" s="14" t="s">
        <v>18</v>
      </c>
      <c r="H70" s="1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2.5" customHeight="1">
      <c r="A71" s="9">
        <v>69.0</v>
      </c>
      <c r="B71" s="11">
        <v>98.0</v>
      </c>
      <c r="C71" s="13" t="s">
        <v>5516</v>
      </c>
      <c r="D71" s="13" t="s">
        <v>5517</v>
      </c>
      <c r="E71" s="13" t="s">
        <v>2094</v>
      </c>
      <c r="F71" s="13" t="s">
        <v>5518</v>
      </c>
      <c r="G71" s="15"/>
      <c r="H71" s="1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2.5" customHeight="1">
      <c r="A72" s="9">
        <v>70.0</v>
      </c>
      <c r="B72" s="11">
        <v>98.0</v>
      </c>
      <c r="C72" s="13" t="s">
        <v>5519</v>
      </c>
      <c r="D72" s="13" t="s">
        <v>5520</v>
      </c>
      <c r="E72" s="13" t="s">
        <v>5521</v>
      </c>
      <c r="F72" s="13" t="s">
        <v>5522</v>
      </c>
      <c r="G72" s="14" t="s">
        <v>18</v>
      </c>
      <c r="H72" s="1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2.5" customHeight="1">
      <c r="A73" s="9">
        <v>71.0</v>
      </c>
      <c r="B73" s="11">
        <v>97.0</v>
      </c>
      <c r="C73" s="13" t="s">
        <v>5523</v>
      </c>
      <c r="D73" s="13" t="s">
        <v>5524</v>
      </c>
      <c r="E73" s="13" t="s">
        <v>5525</v>
      </c>
      <c r="F73" s="13" t="s">
        <v>5526</v>
      </c>
      <c r="G73" s="14" t="s">
        <v>18</v>
      </c>
      <c r="H73" s="1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2.5" customHeight="1">
      <c r="A74" s="9">
        <v>72.0</v>
      </c>
      <c r="B74" s="11">
        <v>97.0</v>
      </c>
      <c r="C74" s="13" t="s">
        <v>5527</v>
      </c>
      <c r="D74" s="13" t="s">
        <v>5528</v>
      </c>
      <c r="E74" s="13" t="s">
        <v>5529</v>
      </c>
      <c r="F74" s="13" t="s">
        <v>5530</v>
      </c>
      <c r="G74" s="14" t="s">
        <v>18</v>
      </c>
      <c r="H74" s="14" t="s">
        <v>18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2.5" customHeight="1">
      <c r="A75" s="9">
        <v>73.0</v>
      </c>
      <c r="B75" s="11">
        <v>97.0</v>
      </c>
      <c r="C75" s="13" t="s">
        <v>5531</v>
      </c>
      <c r="D75" s="13" t="s">
        <v>5532</v>
      </c>
      <c r="E75" s="13" t="s">
        <v>5533</v>
      </c>
      <c r="F75" s="13" t="s">
        <v>5534</v>
      </c>
      <c r="G75" s="14" t="s">
        <v>18</v>
      </c>
      <c r="H75" s="15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2.5" customHeight="1">
      <c r="A76" s="9">
        <v>74.0</v>
      </c>
      <c r="B76" s="11">
        <v>97.0</v>
      </c>
      <c r="C76" s="13" t="s">
        <v>5535</v>
      </c>
      <c r="D76" s="13" t="s">
        <v>4631</v>
      </c>
      <c r="E76" s="13" t="s">
        <v>4436</v>
      </c>
      <c r="F76" s="13" t="s">
        <v>4437</v>
      </c>
      <c r="G76" s="14" t="s">
        <v>18</v>
      </c>
      <c r="H76" s="1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2.5" customHeight="1">
      <c r="A77" s="9">
        <v>75.0</v>
      </c>
      <c r="B77" s="11">
        <v>97.0</v>
      </c>
      <c r="C77" s="13" t="s">
        <v>5536</v>
      </c>
      <c r="D77" s="13" t="s">
        <v>5537</v>
      </c>
      <c r="E77" s="13" t="s">
        <v>5538</v>
      </c>
      <c r="F77" s="13" t="s">
        <v>5539</v>
      </c>
      <c r="G77" s="15"/>
      <c r="H77" s="1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2.5" customHeight="1">
      <c r="A78" s="9">
        <v>76.0</v>
      </c>
      <c r="B78" s="11">
        <v>96.0</v>
      </c>
      <c r="C78" s="13" t="s">
        <v>5540</v>
      </c>
      <c r="D78" s="13" t="s">
        <v>5541</v>
      </c>
      <c r="E78" s="13" t="s">
        <v>5542</v>
      </c>
      <c r="F78" s="13" t="s">
        <v>5543</v>
      </c>
      <c r="G78" s="15"/>
      <c r="H78" s="1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2.5" customHeight="1">
      <c r="A79" s="9">
        <v>77.0</v>
      </c>
      <c r="B79" s="11">
        <v>96.0</v>
      </c>
      <c r="C79" s="13" t="s">
        <v>5544</v>
      </c>
      <c r="D79" s="13" t="s">
        <v>4890</v>
      </c>
      <c r="E79" s="13" t="s">
        <v>4888</v>
      </c>
      <c r="F79" s="13" t="s">
        <v>4889</v>
      </c>
      <c r="G79" s="15"/>
      <c r="H79" s="1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2.5" customHeight="1">
      <c r="A80" s="9">
        <v>78.0</v>
      </c>
      <c r="B80" s="11">
        <v>96.0</v>
      </c>
      <c r="C80" s="13" t="s">
        <v>5545</v>
      </c>
      <c r="D80" s="13" t="s">
        <v>5546</v>
      </c>
      <c r="E80" s="13" t="s">
        <v>5547</v>
      </c>
      <c r="F80" s="13" t="s">
        <v>5548</v>
      </c>
      <c r="G80" s="15"/>
      <c r="H80" s="1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2.5" customHeight="1">
      <c r="A81" s="9">
        <v>79.0</v>
      </c>
      <c r="B81" s="11">
        <v>96.0</v>
      </c>
      <c r="C81" s="13" t="s">
        <v>5549</v>
      </c>
      <c r="D81" s="13" t="s">
        <v>5550</v>
      </c>
      <c r="E81" s="13" t="s">
        <v>5551</v>
      </c>
      <c r="F81" s="13" t="s">
        <v>5552</v>
      </c>
      <c r="G81" s="15"/>
      <c r="H81" s="1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2.5" customHeight="1">
      <c r="A82" s="9">
        <v>80.0</v>
      </c>
      <c r="B82" s="11">
        <v>96.0</v>
      </c>
      <c r="C82" s="13" t="s">
        <v>5553</v>
      </c>
      <c r="D82" s="13" t="s">
        <v>5554</v>
      </c>
      <c r="E82" s="13" t="s">
        <v>5555</v>
      </c>
      <c r="F82" s="13" t="s">
        <v>5556</v>
      </c>
      <c r="G82" s="15"/>
      <c r="H82" s="1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2.5" customHeight="1">
      <c r="A83" s="9">
        <v>81.0</v>
      </c>
      <c r="B83" s="11">
        <v>95.0</v>
      </c>
      <c r="C83" s="13" t="s">
        <v>5557</v>
      </c>
      <c r="D83" s="13" t="s">
        <v>5558</v>
      </c>
      <c r="E83" s="13" t="s">
        <v>5559</v>
      </c>
      <c r="F83" s="13" t="s">
        <v>5560</v>
      </c>
      <c r="G83" s="15"/>
      <c r="H83" s="1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2.5" customHeight="1">
      <c r="A84" s="9">
        <v>82.0</v>
      </c>
      <c r="B84" s="11">
        <v>95.0</v>
      </c>
      <c r="C84" s="13" t="s">
        <v>5561</v>
      </c>
      <c r="D84" s="13" t="s">
        <v>4866</v>
      </c>
      <c r="E84" s="13" t="s">
        <v>4864</v>
      </c>
      <c r="F84" s="13" t="s">
        <v>4865</v>
      </c>
      <c r="G84" s="14" t="s">
        <v>18</v>
      </c>
      <c r="H84" s="1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2.5" customHeight="1">
      <c r="A85" s="9">
        <v>83.0</v>
      </c>
      <c r="B85" s="11">
        <v>95.0</v>
      </c>
      <c r="C85" s="13" t="s">
        <v>5562</v>
      </c>
      <c r="D85" s="13" t="s">
        <v>5563</v>
      </c>
      <c r="E85" s="13" t="s">
        <v>5564</v>
      </c>
      <c r="F85" s="13" t="s">
        <v>5565</v>
      </c>
      <c r="G85" s="14" t="s">
        <v>18</v>
      </c>
      <c r="H85" s="1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2.5" customHeight="1">
      <c r="A86" s="9">
        <v>84.0</v>
      </c>
      <c r="B86" s="11">
        <v>95.0</v>
      </c>
      <c r="C86" s="13" t="s">
        <v>5497</v>
      </c>
      <c r="D86" s="13" t="s">
        <v>5498</v>
      </c>
      <c r="E86" s="13" t="s">
        <v>5499</v>
      </c>
      <c r="F86" s="13" t="s">
        <v>5500</v>
      </c>
      <c r="G86" s="15"/>
      <c r="H86" s="1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2.5" customHeight="1">
      <c r="A87" s="9">
        <v>85.0</v>
      </c>
      <c r="B87" s="11">
        <v>95.0</v>
      </c>
      <c r="C87" s="13" t="s">
        <v>5566</v>
      </c>
      <c r="D87" s="13" t="s">
        <v>2997</v>
      </c>
      <c r="E87" s="13" t="s">
        <v>2998</v>
      </c>
      <c r="F87" s="13" t="s">
        <v>5567</v>
      </c>
      <c r="G87" s="14" t="s">
        <v>18</v>
      </c>
      <c r="H87" s="1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2.5" customHeight="1">
      <c r="A88" s="9">
        <v>86.0</v>
      </c>
      <c r="B88" s="11">
        <v>94.0</v>
      </c>
      <c r="C88" s="13" t="s">
        <v>5568</v>
      </c>
      <c r="D88" s="13" t="s">
        <v>5569</v>
      </c>
      <c r="E88" s="13" t="s">
        <v>1716</v>
      </c>
      <c r="F88" s="13" t="s">
        <v>5570</v>
      </c>
      <c r="G88" s="15"/>
      <c r="H88" s="1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2.5" customHeight="1">
      <c r="A89" s="9">
        <v>87.0</v>
      </c>
      <c r="B89" s="11">
        <v>94.0</v>
      </c>
      <c r="C89" s="13" t="s">
        <v>5571</v>
      </c>
      <c r="D89" s="13" t="s">
        <v>5572</v>
      </c>
      <c r="E89" s="13" t="s">
        <v>5573</v>
      </c>
      <c r="F89" s="13" t="s">
        <v>5574</v>
      </c>
      <c r="G89" s="15"/>
      <c r="H89" s="1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2.5" customHeight="1">
      <c r="A90" s="9">
        <v>88.0</v>
      </c>
      <c r="B90" s="11">
        <v>94.0</v>
      </c>
      <c r="C90" s="13" t="s">
        <v>5575</v>
      </c>
      <c r="D90" s="13" t="s">
        <v>5576</v>
      </c>
      <c r="E90" s="13" t="s">
        <v>5577</v>
      </c>
      <c r="F90" s="13" t="s">
        <v>5578</v>
      </c>
      <c r="G90" s="15"/>
      <c r="H90" s="1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2.5" customHeight="1">
      <c r="A91" s="9">
        <v>89.0</v>
      </c>
      <c r="B91" s="11">
        <v>94.0</v>
      </c>
      <c r="C91" s="13" t="s">
        <v>5579</v>
      </c>
      <c r="D91" s="13" t="s">
        <v>5580</v>
      </c>
      <c r="E91" s="13" t="s">
        <v>4322</v>
      </c>
      <c r="F91" s="13" t="s">
        <v>4323</v>
      </c>
      <c r="G91" s="15"/>
      <c r="H91" s="1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2.5" customHeight="1">
      <c r="A92" s="9">
        <v>90.0</v>
      </c>
      <c r="B92" s="11">
        <v>94.0</v>
      </c>
      <c r="C92" s="13" t="s">
        <v>5581</v>
      </c>
      <c r="D92" s="13" t="s">
        <v>5582</v>
      </c>
      <c r="E92" s="13" t="s">
        <v>5583</v>
      </c>
      <c r="F92" s="13" t="s">
        <v>5584</v>
      </c>
      <c r="G92" s="14" t="s">
        <v>18</v>
      </c>
      <c r="H92" s="1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2.5" customHeight="1">
      <c r="A93" s="9">
        <v>91.0</v>
      </c>
      <c r="B93" s="11">
        <v>93.0</v>
      </c>
      <c r="C93" s="13" t="s">
        <v>5585</v>
      </c>
      <c r="D93" s="13" t="s">
        <v>5586</v>
      </c>
      <c r="E93" s="13" t="s">
        <v>5587</v>
      </c>
      <c r="F93" s="13" t="s">
        <v>5588</v>
      </c>
      <c r="G93" s="14" t="s">
        <v>18</v>
      </c>
      <c r="H93" s="1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2.5" customHeight="1">
      <c r="A94" s="9">
        <v>92.0</v>
      </c>
      <c r="B94" s="11">
        <v>93.0</v>
      </c>
      <c r="C94" s="13" t="s">
        <v>5589</v>
      </c>
      <c r="D94" s="13" t="s">
        <v>5590</v>
      </c>
      <c r="E94" s="13" t="s">
        <v>5591</v>
      </c>
      <c r="F94" s="13" t="s">
        <v>5534</v>
      </c>
      <c r="G94" s="14" t="s">
        <v>18</v>
      </c>
      <c r="H94" s="1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2.5" customHeight="1">
      <c r="A95" s="9">
        <v>93.0</v>
      </c>
      <c r="B95" s="11">
        <v>93.0</v>
      </c>
      <c r="C95" s="13" t="s">
        <v>5592</v>
      </c>
      <c r="D95" s="13" t="s">
        <v>5593</v>
      </c>
      <c r="E95" s="13" t="s">
        <v>5594</v>
      </c>
      <c r="F95" s="13" t="s">
        <v>5595</v>
      </c>
      <c r="G95" s="15"/>
      <c r="H95" s="1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2.5" customHeight="1">
      <c r="A96" s="9">
        <v>94.0</v>
      </c>
      <c r="B96" s="11">
        <v>93.0</v>
      </c>
      <c r="C96" s="13" t="s">
        <v>5596</v>
      </c>
      <c r="D96" s="13" t="s">
        <v>5597</v>
      </c>
      <c r="E96" s="13" t="s">
        <v>5598</v>
      </c>
      <c r="F96" s="13" t="s">
        <v>4489</v>
      </c>
      <c r="G96" s="15"/>
      <c r="H96" s="1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2.5" customHeight="1">
      <c r="A97" s="9">
        <v>95.0</v>
      </c>
      <c r="B97" s="11">
        <v>93.0</v>
      </c>
      <c r="C97" s="13" t="s">
        <v>5599</v>
      </c>
      <c r="D97" s="13" t="s">
        <v>5600</v>
      </c>
      <c r="E97" s="13" t="s">
        <v>5601</v>
      </c>
      <c r="F97" s="13" t="s">
        <v>5602</v>
      </c>
      <c r="G97" s="15"/>
      <c r="H97" s="1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2.5" customHeight="1">
      <c r="A98" s="9">
        <v>96.0</v>
      </c>
      <c r="B98" s="11">
        <v>92.0</v>
      </c>
      <c r="C98" s="13" t="s">
        <v>5603</v>
      </c>
      <c r="D98" s="13" t="s">
        <v>5604</v>
      </c>
      <c r="E98" s="13" t="s">
        <v>5605</v>
      </c>
      <c r="F98" s="13" t="s">
        <v>5606</v>
      </c>
      <c r="G98" s="14" t="s">
        <v>18</v>
      </c>
      <c r="H98" s="14" t="s">
        <v>18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2.5" customHeight="1">
      <c r="A99" s="9">
        <v>97.0</v>
      </c>
      <c r="B99" s="11">
        <v>92.0</v>
      </c>
      <c r="C99" s="13" t="s">
        <v>5607</v>
      </c>
      <c r="D99" s="13" t="s">
        <v>5608</v>
      </c>
      <c r="E99" s="13" t="s">
        <v>5609</v>
      </c>
      <c r="F99" s="13" t="s">
        <v>4954</v>
      </c>
      <c r="G99" s="15"/>
      <c r="H99" s="1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2.5" customHeight="1">
      <c r="A100" s="9">
        <v>98.0</v>
      </c>
      <c r="B100" s="11">
        <v>92.0</v>
      </c>
      <c r="C100" s="13" t="s">
        <v>5610</v>
      </c>
      <c r="D100" s="13" t="s">
        <v>3355</v>
      </c>
      <c r="E100" s="13" t="s">
        <v>5611</v>
      </c>
      <c r="F100" s="13" t="s">
        <v>5612</v>
      </c>
      <c r="G100" s="14" t="s">
        <v>18</v>
      </c>
      <c r="H100" s="1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2.5" customHeight="1">
      <c r="A101" s="9">
        <v>99.0</v>
      </c>
      <c r="B101" s="11">
        <v>92.0</v>
      </c>
      <c r="C101" s="13" t="s">
        <v>5613</v>
      </c>
      <c r="D101" s="13" t="s">
        <v>5614</v>
      </c>
      <c r="E101" s="13" t="s">
        <v>5615</v>
      </c>
      <c r="F101" s="13" t="s">
        <v>5616</v>
      </c>
      <c r="G101" s="15"/>
      <c r="H101" s="1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2.5" customHeight="1">
      <c r="A102" s="9">
        <v>100.0</v>
      </c>
      <c r="B102" s="11">
        <v>92.0</v>
      </c>
      <c r="C102" s="13" t="s">
        <v>5617</v>
      </c>
      <c r="D102" s="13" t="s">
        <v>5618</v>
      </c>
      <c r="E102" s="13" t="s">
        <v>5619</v>
      </c>
      <c r="F102" s="13" t="s">
        <v>5620</v>
      </c>
      <c r="G102" s="15"/>
      <c r="H102" s="1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2.5" customHeight="1">
      <c r="A103" s="9">
        <v>101.0</v>
      </c>
      <c r="B103" s="11">
        <v>91.0</v>
      </c>
      <c r="C103" s="13" t="s">
        <v>5621</v>
      </c>
      <c r="D103" s="13" t="s">
        <v>5622</v>
      </c>
      <c r="E103" s="13" t="s">
        <v>5288</v>
      </c>
      <c r="F103" s="13" t="s">
        <v>5289</v>
      </c>
      <c r="G103" s="15"/>
      <c r="H103" s="1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2.5" customHeight="1">
      <c r="A104" s="9">
        <v>102.0</v>
      </c>
      <c r="B104" s="11">
        <v>91.0</v>
      </c>
      <c r="C104" s="13" t="s">
        <v>5623</v>
      </c>
      <c r="D104" s="13" t="s">
        <v>5624</v>
      </c>
      <c r="E104" s="13" t="s">
        <v>5625</v>
      </c>
      <c r="F104" s="13" t="s">
        <v>5626</v>
      </c>
      <c r="G104" s="15"/>
      <c r="H104" s="1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2.5" customHeight="1">
      <c r="A105" s="9">
        <v>103.0</v>
      </c>
      <c r="B105" s="11">
        <v>91.0</v>
      </c>
      <c r="C105" s="13" t="s">
        <v>5627</v>
      </c>
      <c r="D105" s="13" t="s">
        <v>5628</v>
      </c>
      <c r="E105" s="13" t="s">
        <v>5629</v>
      </c>
      <c r="F105" s="13" t="s">
        <v>5285</v>
      </c>
      <c r="G105" s="15"/>
      <c r="H105" s="1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2.5" customHeight="1">
      <c r="A106" s="9">
        <v>104.0</v>
      </c>
      <c r="B106" s="11">
        <v>91.0</v>
      </c>
      <c r="C106" s="13" t="s">
        <v>5630</v>
      </c>
      <c r="D106" s="13" t="s">
        <v>5631</v>
      </c>
      <c r="E106" s="13" t="s">
        <v>5632</v>
      </c>
      <c r="F106" s="13" t="s">
        <v>5633</v>
      </c>
      <c r="G106" s="15"/>
      <c r="H106" s="1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2.5" customHeight="1">
      <c r="A107" s="9">
        <v>105.0</v>
      </c>
      <c r="B107" s="11">
        <v>91.0</v>
      </c>
      <c r="C107" s="13" t="s">
        <v>5634</v>
      </c>
      <c r="D107" s="13" t="s">
        <v>2990</v>
      </c>
      <c r="E107" s="13" t="s">
        <v>5635</v>
      </c>
      <c r="F107" s="13" t="s">
        <v>5636</v>
      </c>
      <c r="G107" s="14" t="s">
        <v>18</v>
      </c>
      <c r="H107" s="1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2.5" customHeight="1">
      <c r="A108" s="9">
        <v>106.0</v>
      </c>
      <c r="B108" s="11">
        <v>90.0</v>
      </c>
      <c r="C108" s="13" t="s">
        <v>5637</v>
      </c>
      <c r="D108" s="13" t="s">
        <v>5638</v>
      </c>
      <c r="E108" s="13" t="s">
        <v>5639</v>
      </c>
      <c r="F108" s="13" t="s">
        <v>9</v>
      </c>
      <c r="G108" s="14" t="s">
        <v>18</v>
      </c>
      <c r="H108" s="1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2.5" customHeight="1">
      <c r="A109" s="9">
        <v>107.0</v>
      </c>
      <c r="B109" s="11">
        <v>90.0</v>
      </c>
      <c r="C109" s="13" t="s">
        <v>5640</v>
      </c>
      <c r="D109" s="13" t="s">
        <v>5641</v>
      </c>
      <c r="E109" s="13" t="s">
        <v>5642</v>
      </c>
      <c r="F109" s="13" t="s">
        <v>5643</v>
      </c>
      <c r="G109" s="14" t="s">
        <v>18</v>
      </c>
      <c r="H109" s="1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2.5" customHeight="1">
      <c r="A110" s="9">
        <v>108.0</v>
      </c>
      <c r="B110" s="11">
        <v>90.0</v>
      </c>
      <c r="C110" s="13" t="s">
        <v>5644</v>
      </c>
      <c r="D110" s="13" t="s">
        <v>5645</v>
      </c>
      <c r="E110" s="13" t="s">
        <v>5646</v>
      </c>
      <c r="F110" s="13" t="s">
        <v>5647</v>
      </c>
      <c r="G110" s="14" t="s">
        <v>18</v>
      </c>
      <c r="H110" s="1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2.5" customHeight="1">
      <c r="A111" s="9">
        <v>109.0</v>
      </c>
      <c r="B111" s="11">
        <v>90.0</v>
      </c>
      <c r="C111" s="13" t="s">
        <v>5648</v>
      </c>
      <c r="D111" s="13" t="s">
        <v>5649</v>
      </c>
      <c r="E111" s="13" t="s">
        <v>5650</v>
      </c>
      <c r="F111" s="13" t="s">
        <v>5651</v>
      </c>
      <c r="G111" s="15"/>
      <c r="H111" s="1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2.5" customHeight="1">
      <c r="A112" s="9">
        <v>110.0</v>
      </c>
      <c r="B112" s="11">
        <v>90.0</v>
      </c>
      <c r="C112" s="13" t="s">
        <v>5652</v>
      </c>
      <c r="D112" s="13" t="s">
        <v>5653</v>
      </c>
      <c r="E112" s="13" t="s">
        <v>5654</v>
      </c>
      <c r="F112" s="13" t="s">
        <v>5655</v>
      </c>
      <c r="G112" s="15"/>
      <c r="H112" s="1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2.5" customHeight="1">
      <c r="A113" s="9">
        <v>111.0</v>
      </c>
      <c r="B113" s="11">
        <v>87.0</v>
      </c>
      <c r="C113" s="13" t="s">
        <v>5656</v>
      </c>
      <c r="D113" s="13" t="s">
        <v>5657</v>
      </c>
      <c r="E113" s="13" t="s">
        <v>5658</v>
      </c>
      <c r="F113" s="13" t="s">
        <v>5659</v>
      </c>
      <c r="G113" s="15"/>
      <c r="H113" s="1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2.5" customHeight="1">
      <c r="A114" s="9">
        <v>112.0</v>
      </c>
      <c r="B114" s="11">
        <v>87.0</v>
      </c>
      <c r="C114" s="13" t="s">
        <v>5660</v>
      </c>
      <c r="D114" s="13" t="s">
        <v>5661</v>
      </c>
      <c r="E114" s="13" t="s">
        <v>5662</v>
      </c>
      <c r="F114" s="13" t="s">
        <v>5663</v>
      </c>
      <c r="G114" s="14" t="s">
        <v>18</v>
      </c>
      <c r="H114" s="1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2.5" customHeight="1">
      <c r="A115" s="9">
        <v>113.0</v>
      </c>
      <c r="B115" s="11">
        <v>87.0</v>
      </c>
      <c r="C115" s="13" t="s">
        <v>5664</v>
      </c>
      <c r="D115" s="13" t="s">
        <v>5665</v>
      </c>
      <c r="E115" s="13" t="s">
        <v>5666</v>
      </c>
      <c r="F115" s="13" t="s">
        <v>5667</v>
      </c>
      <c r="G115" s="15"/>
      <c r="H115" s="1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2.5" customHeight="1">
      <c r="A116" s="9">
        <v>114.0</v>
      </c>
      <c r="B116" s="11">
        <v>87.0</v>
      </c>
      <c r="C116" s="13" t="s">
        <v>5668</v>
      </c>
      <c r="D116" s="13" t="s">
        <v>5669</v>
      </c>
      <c r="E116" s="13" t="s">
        <v>5670</v>
      </c>
      <c r="F116" s="13" t="s">
        <v>5671</v>
      </c>
      <c r="G116" s="15"/>
      <c r="H116" s="1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2.5" customHeight="1">
      <c r="A117" s="9">
        <v>115.0</v>
      </c>
      <c r="B117" s="11">
        <v>87.0</v>
      </c>
      <c r="C117" s="13" t="s">
        <v>5672</v>
      </c>
      <c r="D117" s="13" t="s">
        <v>5673</v>
      </c>
      <c r="E117" s="13" t="s">
        <v>5674</v>
      </c>
      <c r="F117" s="13" t="s">
        <v>5675</v>
      </c>
      <c r="G117" s="15"/>
      <c r="H117" s="1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2.5" customHeight="1">
      <c r="A118" s="9">
        <v>116.0</v>
      </c>
      <c r="B118" s="11">
        <v>86.0</v>
      </c>
      <c r="C118" s="13" t="s">
        <v>5676</v>
      </c>
      <c r="D118" s="13" t="s">
        <v>5677</v>
      </c>
      <c r="E118" s="13" t="s">
        <v>5678</v>
      </c>
      <c r="F118" s="13" t="s">
        <v>5679</v>
      </c>
      <c r="G118" s="15"/>
      <c r="H118" s="1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2.5" customHeight="1">
      <c r="A119" s="9">
        <v>117.0</v>
      </c>
      <c r="B119" s="11">
        <v>86.0</v>
      </c>
      <c r="C119" s="13" t="s">
        <v>5680</v>
      </c>
      <c r="D119" s="13" t="s">
        <v>5681</v>
      </c>
      <c r="E119" s="13" t="s">
        <v>5682</v>
      </c>
      <c r="F119" s="13" t="s">
        <v>5683</v>
      </c>
      <c r="G119" s="14" t="s">
        <v>18</v>
      </c>
      <c r="H119" s="1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2.5" customHeight="1">
      <c r="A120" s="9">
        <v>118.0</v>
      </c>
      <c r="B120" s="11">
        <v>86.0</v>
      </c>
      <c r="C120" s="13" t="s">
        <v>5684</v>
      </c>
      <c r="D120" s="13" t="s">
        <v>5685</v>
      </c>
      <c r="E120" s="13" t="s">
        <v>5686</v>
      </c>
      <c r="F120" s="13" t="s">
        <v>5687</v>
      </c>
      <c r="G120" s="15"/>
      <c r="H120" s="1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2.5" customHeight="1">
      <c r="A121" s="9">
        <v>119.0</v>
      </c>
      <c r="B121" s="11">
        <v>86.0</v>
      </c>
      <c r="C121" s="13" t="s">
        <v>5688</v>
      </c>
      <c r="D121" s="13" t="s">
        <v>5689</v>
      </c>
      <c r="E121" s="13" t="s">
        <v>5690</v>
      </c>
      <c r="F121" s="13" t="s">
        <v>5691</v>
      </c>
      <c r="G121" s="15"/>
      <c r="H121" s="1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2.5" customHeight="1">
      <c r="A122" s="9">
        <v>120.0</v>
      </c>
      <c r="B122" s="11">
        <v>86.0</v>
      </c>
      <c r="C122" s="13" t="s">
        <v>5692</v>
      </c>
      <c r="D122" s="13" t="s">
        <v>5693</v>
      </c>
      <c r="E122" s="13" t="s">
        <v>5694</v>
      </c>
      <c r="F122" s="13" t="s">
        <v>5695</v>
      </c>
      <c r="G122" s="15"/>
      <c r="H122" s="1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2.5" customHeight="1">
      <c r="A123" s="9">
        <v>121.0</v>
      </c>
      <c r="B123" s="11">
        <v>85.0</v>
      </c>
      <c r="C123" s="13" t="s">
        <v>5696</v>
      </c>
      <c r="D123" s="13" t="s">
        <v>5697</v>
      </c>
      <c r="E123" s="13" t="s">
        <v>5698</v>
      </c>
      <c r="F123" s="13" t="s">
        <v>5699</v>
      </c>
      <c r="G123" s="14" t="s">
        <v>18</v>
      </c>
      <c r="H123" s="1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2.5" customHeight="1">
      <c r="A124" s="9">
        <v>122.0</v>
      </c>
      <c r="B124" s="11">
        <v>85.0</v>
      </c>
      <c r="C124" s="13" t="s">
        <v>5700</v>
      </c>
      <c r="D124" s="13" t="s">
        <v>5701</v>
      </c>
      <c r="E124" s="13" t="s">
        <v>5702</v>
      </c>
      <c r="F124" s="13" t="s">
        <v>5703</v>
      </c>
      <c r="G124" s="15"/>
      <c r="H124" s="1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2.5" customHeight="1">
      <c r="A125" s="9">
        <v>123.0</v>
      </c>
      <c r="B125" s="11">
        <v>85.0</v>
      </c>
      <c r="C125" s="13" t="s">
        <v>5704</v>
      </c>
      <c r="D125" s="13" t="s">
        <v>5705</v>
      </c>
      <c r="E125" s="13" t="s">
        <v>5706</v>
      </c>
      <c r="F125" s="13" t="s">
        <v>5707</v>
      </c>
      <c r="G125" s="15"/>
      <c r="H125" s="1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2.5" customHeight="1">
      <c r="A126" s="9">
        <v>124.0</v>
      </c>
      <c r="B126" s="11">
        <v>85.0</v>
      </c>
      <c r="C126" s="13" t="s">
        <v>5708</v>
      </c>
      <c r="D126" s="13" t="s">
        <v>5709</v>
      </c>
      <c r="E126" s="13" t="s">
        <v>5710</v>
      </c>
      <c r="F126" s="13" t="s">
        <v>5711</v>
      </c>
      <c r="G126" s="15"/>
      <c r="H126" s="1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2.5" customHeight="1">
      <c r="A127" s="9">
        <v>125.0</v>
      </c>
      <c r="B127" s="11">
        <v>85.0</v>
      </c>
      <c r="C127" s="13" t="s">
        <v>5545</v>
      </c>
      <c r="D127" s="13" t="s">
        <v>5712</v>
      </c>
      <c r="E127" s="13" t="s">
        <v>5547</v>
      </c>
      <c r="F127" s="13" t="s">
        <v>5548</v>
      </c>
      <c r="G127" s="14" t="s">
        <v>18</v>
      </c>
      <c r="H127" s="1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2.5" customHeight="1">
      <c r="A128" s="9">
        <v>126.0</v>
      </c>
      <c r="B128" s="11">
        <v>84.0</v>
      </c>
      <c r="C128" s="13" t="s">
        <v>5713</v>
      </c>
      <c r="D128" s="13" t="s">
        <v>5714</v>
      </c>
      <c r="E128" s="13" t="s">
        <v>5715</v>
      </c>
      <c r="F128" s="13" t="s">
        <v>5716</v>
      </c>
      <c r="G128" s="14" t="s">
        <v>18</v>
      </c>
      <c r="H128" s="1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2.5" customHeight="1">
      <c r="A129" s="9">
        <v>127.0</v>
      </c>
      <c r="B129" s="11">
        <v>84.0</v>
      </c>
      <c r="C129" s="13" t="s">
        <v>5717</v>
      </c>
      <c r="D129" s="13" t="s">
        <v>5718</v>
      </c>
      <c r="E129" s="13" t="s">
        <v>5719</v>
      </c>
      <c r="F129" s="13" t="s">
        <v>4636</v>
      </c>
      <c r="G129" s="15"/>
      <c r="H129" s="15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2.5" customHeight="1">
      <c r="A130" s="9">
        <v>128.0</v>
      </c>
      <c r="B130" s="11">
        <v>84.0</v>
      </c>
      <c r="C130" s="13" t="s">
        <v>5720</v>
      </c>
      <c r="D130" s="13" t="s">
        <v>5721</v>
      </c>
      <c r="E130" s="13" t="s">
        <v>5722</v>
      </c>
      <c r="F130" s="13" t="s">
        <v>5723</v>
      </c>
      <c r="G130" s="14" t="s">
        <v>18</v>
      </c>
      <c r="H130" s="1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2.5" customHeight="1">
      <c r="A131" s="9">
        <v>129.0</v>
      </c>
      <c r="B131" s="11">
        <v>84.0</v>
      </c>
      <c r="C131" s="13" t="s">
        <v>5724</v>
      </c>
      <c r="D131" s="13" t="s">
        <v>5725</v>
      </c>
      <c r="E131" s="13" t="s">
        <v>5726</v>
      </c>
      <c r="F131" s="13" t="s">
        <v>5727</v>
      </c>
      <c r="G131" s="15"/>
      <c r="H131" s="15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2.5" customHeight="1">
      <c r="A132" s="9">
        <v>130.0</v>
      </c>
      <c r="B132" s="11">
        <v>84.0</v>
      </c>
      <c r="C132" s="13" t="s">
        <v>5728</v>
      </c>
      <c r="D132" s="13" t="s">
        <v>5729</v>
      </c>
      <c r="E132" s="13" t="s">
        <v>5662</v>
      </c>
      <c r="F132" s="13" t="s">
        <v>5663</v>
      </c>
      <c r="G132" s="14" t="s">
        <v>18</v>
      </c>
      <c r="H132" s="1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2.5" customHeight="1">
      <c r="A133" s="9">
        <v>131.0</v>
      </c>
      <c r="B133" s="11">
        <v>83.0</v>
      </c>
      <c r="C133" s="13" t="s">
        <v>5730</v>
      </c>
      <c r="D133" s="13" t="s">
        <v>5731</v>
      </c>
      <c r="E133" s="13" t="s">
        <v>5732</v>
      </c>
      <c r="F133" s="13" t="s">
        <v>5733</v>
      </c>
      <c r="G133" s="15"/>
      <c r="H133" s="1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2.5" customHeight="1">
      <c r="A134" s="9">
        <v>132.0</v>
      </c>
      <c r="B134" s="11">
        <v>83.0</v>
      </c>
      <c r="C134" s="13" t="s">
        <v>5734</v>
      </c>
      <c r="D134" s="13" t="s">
        <v>5735</v>
      </c>
      <c r="E134" s="13" t="s">
        <v>5736</v>
      </c>
      <c r="F134" s="13" t="s">
        <v>5737</v>
      </c>
      <c r="G134" s="15"/>
      <c r="H134" s="15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2.5" customHeight="1">
      <c r="A135" s="9">
        <v>133.0</v>
      </c>
      <c r="B135" s="11">
        <v>83.0</v>
      </c>
      <c r="C135" s="13" t="s">
        <v>5738</v>
      </c>
      <c r="D135" s="13" t="s">
        <v>5739</v>
      </c>
      <c r="E135" s="13" t="s">
        <v>5740</v>
      </c>
      <c r="F135" s="13" t="s">
        <v>5741</v>
      </c>
      <c r="G135" s="14" t="s">
        <v>18</v>
      </c>
      <c r="H135" s="15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2.5" customHeight="1">
      <c r="A136" s="9">
        <v>134.0</v>
      </c>
      <c r="B136" s="11">
        <v>83.0</v>
      </c>
      <c r="C136" s="13" t="s">
        <v>5742</v>
      </c>
      <c r="D136" s="13" t="s">
        <v>5743</v>
      </c>
      <c r="E136" s="13" t="s">
        <v>5744</v>
      </c>
      <c r="F136" s="13" t="s">
        <v>5227</v>
      </c>
      <c r="G136" s="14" t="s">
        <v>18</v>
      </c>
      <c r="H136" s="15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2.5" customHeight="1">
      <c r="A137" s="9">
        <v>135.0</v>
      </c>
      <c r="B137" s="11">
        <v>83.0</v>
      </c>
      <c r="C137" s="13" t="s">
        <v>5745</v>
      </c>
      <c r="D137" s="13" t="s">
        <v>5746</v>
      </c>
      <c r="E137" s="13" t="s">
        <v>5747</v>
      </c>
      <c r="F137" s="13" t="s">
        <v>5748</v>
      </c>
      <c r="G137" s="15"/>
      <c r="H137" s="15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2.5" customHeight="1">
      <c r="A138" s="9">
        <v>136.0</v>
      </c>
      <c r="B138" s="11">
        <v>82.0</v>
      </c>
      <c r="C138" s="13" t="s">
        <v>5493</v>
      </c>
      <c r="D138" s="13" t="s">
        <v>5494</v>
      </c>
      <c r="E138" s="13" t="s">
        <v>5495</v>
      </c>
      <c r="F138" s="13" t="s">
        <v>5496</v>
      </c>
      <c r="G138" s="15"/>
      <c r="H138" s="15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2.5" customHeight="1">
      <c r="A139" s="9">
        <v>137.0</v>
      </c>
      <c r="B139" s="11">
        <v>82.0</v>
      </c>
      <c r="C139" s="13" t="s">
        <v>5497</v>
      </c>
      <c r="D139" s="13" t="s">
        <v>3440</v>
      </c>
      <c r="E139" s="13" t="s">
        <v>5499</v>
      </c>
      <c r="F139" s="13" t="s">
        <v>5500</v>
      </c>
      <c r="G139" s="15"/>
      <c r="H139" s="15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2.5" customHeight="1">
      <c r="A140" s="9">
        <v>138.0</v>
      </c>
      <c r="B140" s="11">
        <v>82.0</v>
      </c>
      <c r="C140" s="13" t="s">
        <v>5749</v>
      </c>
      <c r="D140" s="13" t="s">
        <v>5721</v>
      </c>
      <c r="E140" s="13" t="s">
        <v>5750</v>
      </c>
      <c r="F140" s="13" t="s">
        <v>5723</v>
      </c>
      <c r="G140" s="14" t="s">
        <v>18</v>
      </c>
      <c r="H140" s="15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2.5" customHeight="1">
      <c r="A141" s="9">
        <v>139.0</v>
      </c>
      <c r="B141" s="11">
        <v>82.0</v>
      </c>
      <c r="C141" s="13" t="s">
        <v>5724</v>
      </c>
      <c r="D141" s="13" t="s">
        <v>5751</v>
      </c>
      <c r="E141" s="13" t="s">
        <v>5726</v>
      </c>
      <c r="F141" s="13" t="s">
        <v>5727</v>
      </c>
      <c r="G141" s="15"/>
      <c r="H141" s="15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2.5" customHeight="1">
      <c r="A142" s="9">
        <v>140.0</v>
      </c>
      <c r="B142" s="11">
        <v>82.0</v>
      </c>
      <c r="C142" s="13" t="s">
        <v>5660</v>
      </c>
      <c r="D142" s="13" t="s">
        <v>5752</v>
      </c>
      <c r="E142" s="13" t="s">
        <v>5662</v>
      </c>
      <c r="F142" s="13" t="s">
        <v>5663</v>
      </c>
      <c r="G142" s="15"/>
      <c r="H142" s="15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2.5" customHeight="1">
      <c r="A143" s="9">
        <v>141.0</v>
      </c>
      <c r="B143" s="11">
        <v>81.0</v>
      </c>
      <c r="C143" s="13" t="s">
        <v>5753</v>
      </c>
      <c r="D143" s="13" t="s">
        <v>5754</v>
      </c>
      <c r="E143" s="13" t="s">
        <v>5755</v>
      </c>
      <c r="F143" s="13" t="s">
        <v>5756</v>
      </c>
      <c r="G143" s="15"/>
      <c r="H143" s="15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2.5" customHeight="1">
      <c r="A144" s="9">
        <v>142.0</v>
      </c>
      <c r="B144" s="11">
        <v>81.0</v>
      </c>
      <c r="C144" s="13" t="s">
        <v>5757</v>
      </c>
      <c r="D144" s="13" t="s">
        <v>4788</v>
      </c>
      <c r="E144" s="13" t="s">
        <v>4786</v>
      </c>
      <c r="F144" s="13" t="s">
        <v>4787</v>
      </c>
      <c r="G144" s="14" t="s">
        <v>18</v>
      </c>
      <c r="H144" s="15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2.5" customHeight="1">
      <c r="A145" s="9">
        <v>143.0</v>
      </c>
      <c r="B145" s="11">
        <v>81.0</v>
      </c>
      <c r="C145" s="13" t="s">
        <v>5688</v>
      </c>
      <c r="D145" s="13" t="s">
        <v>5689</v>
      </c>
      <c r="E145" s="13" t="s">
        <v>5690</v>
      </c>
      <c r="F145" s="13" t="s">
        <v>5691</v>
      </c>
      <c r="G145" s="15"/>
      <c r="H145" s="15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2.5" customHeight="1">
      <c r="A146" s="9">
        <v>144.0</v>
      </c>
      <c r="B146" s="11">
        <v>81.0</v>
      </c>
      <c r="C146" s="13" t="s">
        <v>5758</v>
      </c>
      <c r="D146" s="13" t="s">
        <v>4708</v>
      </c>
      <c r="E146" s="13" t="s">
        <v>4706</v>
      </c>
      <c r="F146" s="13" t="s">
        <v>4707</v>
      </c>
      <c r="G146" s="15"/>
      <c r="H146" s="15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2.5" customHeight="1">
      <c r="A147" s="9">
        <v>145.0</v>
      </c>
      <c r="B147" s="11">
        <v>81.0</v>
      </c>
      <c r="C147" s="13" t="s">
        <v>5553</v>
      </c>
      <c r="D147" s="13" t="s">
        <v>5759</v>
      </c>
      <c r="E147" s="13" t="s">
        <v>5555</v>
      </c>
      <c r="F147" s="13" t="s">
        <v>5556</v>
      </c>
      <c r="G147" s="15"/>
      <c r="H147" s="15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2.5" customHeight="1">
      <c r="A148" s="9">
        <v>146.0</v>
      </c>
      <c r="B148" s="11">
        <v>80.0</v>
      </c>
      <c r="C148" s="13" t="s">
        <v>5760</v>
      </c>
      <c r="D148" s="13" t="s">
        <v>4555</v>
      </c>
      <c r="E148" s="13" t="s">
        <v>4553</v>
      </c>
      <c r="F148" s="13" t="s">
        <v>4554</v>
      </c>
      <c r="G148" s="15"/>
      <c r="H148" s="15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2.5" customHeight="1">
      <c r="A149" s="9">
        <v>147.0</v>
      </c>
      <c r="B149" s="11">
        <v>80.0</v>
      </c>
      <c r="C149" s="13" t="s">
        <v>5761</v>
      </c>
      <c r="D149" s="13" t="s">
        <v>5762</v>
      </c>
      <c r="E149" s="13" t="s">
        <v>5763</v>
      </c>
      <c r="F149" s="13" t="s">
        <v>5764</v>
      </c>
      <c r="G149" s="14" t="s">
        <v>18</v>
      </c>
      <c r="H149" s="15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2.5" customHeight="1">
      <c r="A150" s="9">
        <v>148.0</v>
      </c>
      <c r="B150" s="11">
        <v>80.0</v>
      </c>
      <c r="C150" s="13" t="s">
        <v>5765</v>
      </c>
      <c r="D150" s="13" t="s">
        <v>5766</v>
      </c>
      <c r="E150" s="13" t="s">
        <v>5767</v>
      </c>
      <c r="F150" s="13" t="s">
        <v>5768</v>
      </c>
      <c r="G150" s="15"/>
      <c r="H150" s="15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2.5" customHeight="1">
      <c r="A151" s="9">
        <v>149.0</v>
      </c>
      <c r="B151" s="11">
        <v>80.0</v>
      </c>
      <c r="C151" s="13" t="s">
        <v>5769</v>
      </c>
      <c r="D151" s="13" t="s">
        <v>5770</v>
      </c>
      <c r="E151" s="13" t="s">
        <v>5771</v>
      </c>
      <c r="F151" s="13" t="s">
        <v>5772</v>
      </c>
      <c r="G151" s="15"/>
      <c r="H151" s="15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2.5" customHeight="1">
      <c r="A152" s="9">
        <v>150.0</v>
      </c>
      <c r="B152" s="11">
        <v>80.0</v>
      </c>
      <c r="C152" s="13" t="s">
        <v>5773</v>
      </c>
      <c r="D152" s="13" t="s">
        <v>5774</v>
      </c>
      <c r="E152" s="13" t="s">
        <v>5775</v>
      </c>
      <c r="F152" s="13" t="s">
        <v>5776</v>
      </c>
      <c r="G152" s="14" t="s">
        <v>18</v>
      </c>
      <c r="H152" s="15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2.5" customHeight="1">
      <c r="A153" s="9">
        <v>151.0</v>
      </c>
      <c r="B153" s="11">
        <v>79.0</v>
      </c>
      <c r="C153" s="13" t="s">
        <v>5777</v>
      </c>
      <c r="D153" s="13" t="s">
        <v>5778</v>
      </c>
      <c r="E153" s="13" t="s">
        <v>5779</v>
      </c>
      <c r="F153" s="13" t="s">
        <v>5780</v>
      </c>
      <c r="G153" s="15"/>
      <c r="H153" s="15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2.5" customHeight="1">
      <c r="A154" s="9">
        <v>152.0</v>
      </c>
      <c r="B154" s="11">
        <v>79.0</v>
      </c>
      <c r="C154" s="13" t="s">
        <v>5781</v>
      </c>
      <c r="D154" s="13" t="s">
        <v>5782</v>
      </c>
      <c r="E154" s="13" t="s">
        <v>5783</v>
      </c>
      <c r="F154" s="13" t="s">
        <v>5784</v>
      </c>
      <c r="G154" s="15"/>
      <c r="H154" s="15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2.5" customHeight="1">
      <c r="A155" s="9">
        <v>153.0</v>
      </c>
      <c r="B155" s="11">
        <v>79.0</v>
      </c>
      <c r="C155" s="13" t="s">
        <v>5785</v>
      </c>
      <c r="D155" s="13" t="s">
        <v>5786</v>
      </c>
      <c r="E155" s="13" t="s">
        <v>5787</v>
      </c>
      <c r="F155" s="13" t="s">
        <v>5788</v>
      </c>
      <c r="G155" s="14" t="s">
        <v>18</v>
      </c>
      <c r="H155" s="15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2.5" customHeight="1">
      <c r="A156" s="9">
        <v>154.0</v>
      </c>
      <c r="B156" s="11">
        <v>79.0</v>
      </c>
      <c r="C156" s="13" t="s">
        <v>5789</v>
      </c>
      <c r="D156" s="13" t="s">
        <v>5790</v>
      </c>
      <c r="E156" s="13" t="s">
        <v>5791</v>
      </c>
      <c r="F156" s="13" t="s">
        <v>5792</v>
      </c>
      <c r="G156" s="14" t="s">
        <v>18</v>
      </c>
      <c r="H156" s="14" t="s">
        <v>18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2.5" customHeight="1">
      <c r="A157" s="9">
        <v>155.0</v>
      </c>
      <c r="B157" s="11">
        <v>79.0</v>
      </c>
      <c r="C157" s="13" t="s">
        <v>5353</v>
      </c>
      <c r="D157" s="13" t="s">
        <v>5793</v>
      </c>
      <c r="E157" s="13" t="s">
        <v>5355</v>
      </c>
      <c r="F157" s="13" t="s">
        <v>5356</v>
      </c>
      <c r="G157" s="15"/>
      <c r="H157" s="15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2.5" customHeight="1">
      <c r="A158" s="9">
        <v>156.0</v>
      </c>
      <c r="B158" s="11">
        <v>78.0</v>
      </c>
      <c r="C158" s="13" t="s">
        <v>5794</v>
      </c>
      <c r="D158" s="13" t="s">
        <v>5795</v>
      </c>
      <c r="E158" s="13" t="s">
        <v>5796</v>
      </c>
      <c r="F158" s="13" t="s">
        <v>5797</v>
      </c>
      <c r="G158" s="15"/>
      <c r="H158" s="15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2.5" customHeight="1">
      <c r="A159" s="9">
        <v>157.0</v>
      </c>
      <c r="B159" s="11">
        <v>78.0</v>
      </c>
      <c r="C159" s="13" t="s">
        <v>5798</v>
      </c>
      <c r="D159" s="13" t="s">
        <v>5799</v>
      </c>
      <c r="E159" s="13" t="s">
        <v>5800</v>
      </c>
      <c r="F159" s="13" t="s">
        <v>5801</v>
      </c>
      <c r="G159" s="15"/>
      <c r="H159" s="15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2.5" customHeight="1">
      <c r="A160" s="9">
        <v>158.0</v>
      </c>
      <c r="B160" s="11">
        <v>78.0</v>
      </c>
      <c r="C160" s="13" t="s">
        <v>5802</v>
      </c>
      <c r="D160" s="13" t="s">
        <v>5803</v>
      </c>
      <c r="E160" s="13" t="s">
        <v>5804</v>
      </c>
      <c r="F160" s="13" t="s">
        <v>5805</v>
      </c>
      <c r="G160" s="14" t="s">
        <v>18</v>
      </c>
      <c r="H160" s="15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2.5" customHeight="1">
      <c r="A161" s="9">
        <v>159.0</v>
      </c>
      <c r="B161" s="11">
        <v>78.0</v>
      </c>
      <c r="C161" s="13" t="s">
        <v>5806</v>
      </c>
      <c r="D161" s="13" t="s">
        <v>5807</v>
      </c>
      <c r="E161" s="13" t="s">
        <v>5808</v>
      </c>
      <c r="F161" s="13" t="s">
        <v>5809</v>
      </c>
      <c r="G161" s="14" t="s">
        <v>18</v>
      </c>
      <c r="H161" s="15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2.5" customHeight="1">
      <c r="A162" s="9">
        <v>160.0</v>
      </c>
      <c r="B162" s="11">
        <v>78.0</v>
      </c>
      <c r="C162" s="13" t="s">
        <v>5536</v>
      </c>
      <c r="D162" s="13" t="s">
        <v>5810</v>
      </c>
      <c r="E162" s="13" t="s">
        <v>5538</v>
      </c>
      <c r="F162" s="13" t="s">
        <v>5539</v>
      </c>
      <c r="G162" s="15"/>
      <c r="H162" s="15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2.5" customHeight="1">
      <c r="A163" s="9">
        <v>161.0</v>
      </c>
      <c r="B163" s="11">
        <v>77.0</v>
      </c>
      <c r="C163" s="13" t="s">
        <v>5811</v>
      </c>
      <c r="D163" s="13" t="s">
        <v>5812</v>
      </c>
      <c r="E163" s="13" t="s">
        <v>5813</v>
      </c>
      <c r="F163" s="13" t="s">
        <v>5814</v>
      </c>
      <c r="G163" s="14" t="s">
        <v>18</v>
      </c>
      <c r="H163" s="15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2.5" customHeight="1">
      <c r="A164" s="9">
        <v>162.0</v>
      </c>
      <c r="B164" s="11">
        <v>77.0</v>
      </c>
      <c r="C164" s="13" t="s">
        <v>5815</v>
      </c>
      <c r="D164" s="13" t="s">
        <v>5816</v>
      </c>
      <c r="E164" s="13" t="s">
        <v>5591</v>
      </c>
      <c r="F164" s="13" t="s">
        <v>5534</v>
      </c>
      <c r="G164" s="14" t="s">
        <v>18</v>
      </c>
      <c r="H164" s="15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2.5" customHeight="1">
      <c r="A165" s="9">
        <v>163.0</v>
      </c>
      <c r="B165" s="11">
        <v>77.0</v>
      </c>
      <c r="C165" s="13" t="s">
        <v>5817</v>
      </c>
      <c r="D165" s="13" t="s">
        <v>5818</v>
      </c>
      <c r="E165" s="13" t="s">
        <v>5819</v>
      </c>
      <c r="F165" s="13" t="s">
        <v>5820</v>
      </c>
      <c r="G165" s="14" t="s">
        <v>18</v>
      </c>
      <c r="H165" s="15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2.5" customHeight="1">
      <c r="A166" s="9">
        <v>164.0</v>
      </c>
      <c r="B166" s="11">
        <v>77.0</v>
      </c>
      <c r="C166" s="13" t="s">
        <v>5821</v>
      </c>
      <c r="D166" s="13" t="s">
        <v>5822</v>
      </c>
      <c r="E166" s="13" t="s">
        <v>5823</v>
      </c>
      <c r="F166" s="13" t="s">
        <v>5824</v>
      </c>
      <c r="G166" s="14" t="s">
        <v>18</v>
      </c>
      <c r="H166" s="15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2.5" customHeight="1">
      <c r="A167" s="9">
        <v>165.0</v>
      </c>
      <c r="B167" s="11">
        <v>77.0</v>
      </c>
      <c r="C167" s="13" t="s">
        <v>5825</v>
      </c>
      <c r="D167" s="13" t="s">
        <v>5826</v>
      </c>
      <c r="E167" s="13" t="s">
        <v>5827</v>
      </c>
      <c r="F167" s="13" t="s">
        <v>5828</v>
      </c>
      <c r="G167" s="14" t="s">
        <v>18</v>
      </c>
      <c r="H167" s="15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2.5" customHeight="1">
      <c r="A168" s="9">
        <v>166.0</v>
      </c>
      <c r="B168" s="11">
        <v>76.0</v>
      </c>
      <c r="C168" s="13" t="s">
        <v>5829</v>
      </c>
      <c r="D168" s="13" t="s">
        <v>5830</v>
      </c>
      <c r="E168" s="13" t="s">
        <v>5831</v>
      </c>
      <c r="F168" s="13" t="s">
        <v>5832</v>
      </c>
      <c r="G168" s="15"/>
      <c r="H168" s="15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2.5" customHeight="1">
      <c r="A169" s="9">
        <v>167.0</v>
      </c>
      <c r="B169" s="11">
        <v>76.0</v>
      </c>
      <c r="C169" s="13" t="s">
        <v>5769</v>
      </c>
      <c r="D169" s="13" t="s">
        <v>5770</v>
      </c>
      <c r="E169" s="13" t="s">
        <v>5771</v>
      </c>
      <c r="F169" s="13" t="s">
        <v>5772</v>
      </c>
      <c r="G169" s="15"/>
      <c r="H169" s="15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2.5" customHeight="1">
      <c r="A170" s="9">
        <v>168.0</v>
      </c>
      <c r="B170" s="11">
        <v>76.0</v>
      </c>
      <c r="C170" s="13" t="s">
        <v>5833</v>
      </c>
      <c r="D170" s="13" t="s">
        <v>5834</v>
      </c>
      <c r="E170" s="13" t="s">
        <v>5796</v>
      </c>
      <c r="F170" s="13" t="s">
        <v>5797</v>
      </c>
      <c r="G170" s="15"/>
      <c r="H170" s="15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2.5" customHeight="1">
      <c r="A171" s="9">
        <v>169.0</v>
      </c>
      <c r="B171" s="11">
        <v>76.0</v>
      </c>
      <c r="C171" s="13" t="s">
        <v>5835</v>
      </c>
      <c r="D171" s="13" t="s">
        <v>5836</v>
      </c>
      <c r="E171" s="13" t="s">
        <v>5837</v>
      </c>
      <c r="F171" s="13" t="s">
        <v>5838</v>
      </c>
      <c r="G171" s="14" t="s">
        <v>18</v>
      </c>
      <c r="H171" s="15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2.5" customHeight="1">
      <c r="A172" s="9">
        <v>170.0</v>
      </c>
      <c r="B172" s="11">
        <v>76.0</v>
      </c>
      <c r="C172" s="13" t="s">
        <v>5839</v>
      </c>
      <c r="D172" s="13" t="s">
        <v>5649</v>
      </c>
      <c r="E172" s="13" t="s">
        <v>5650</v>
      </c>
      <c r="F172" s="13" t="s">
        <v>5651</v>
      </c>
      <c r="G172" s="14" t="s">
        <v>18</v>
      </c>
      <c r="H172" s="15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2.5" customHeight="1">
      <c r="A173" s="9">
        <v>171.0</v>
      </c>
      <c r="B173" s="11">
        <v>75.0</v>
      </c>
      <c r="C173" s="13" t="s">
        <v>5840</v>
      </c>
      <c r="D173" s="13" t="s">
        <v>5841</v>
      </c>
      <c r="E173" s="13" t="s">
        <v>5842</v>
      </c>
      <c r="F173" s="13" t="s">
        <v>5843</v>
      </c>
      <c r="G173" s="15"/>
      <c r="H173" s="15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2.5" customHeight="1">
      <c r="A174" s="9">
        <v>172.0</v>
      </c>
      <c r="B174" s="11">
        <v>75.0</v>
      </c>
      <c r="C174" s="13" t="s">
        <v>5844</v>
      </c>
      <c r="D174" s="13" t="s">
        <v>5845</v>
      </c>
      <c r="E174" s="13" t="s">
        <v>5846</v>
      </c>
      <c r="F174" s="13" t="s">
        <v>5847</v>
      </c>
      <c r="G174" s="14" t="s">
        <v>18</v>
      </c>
      <c r="H174" s="15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2.5" customHeight="1">
      <c r="A175" s="9">
        <v>173.0</v>
      </c>
      <c r="B175" s="11">
        <v>75.0</v>
      </c>
      <c r="C175" s="13" t="s">
        <v>5848</v>
      </c>
      <c r="D175" s="13" t="s">
        <v>5849</v>
      </c>
      <c r="E175" s="13" t="s">
        <v>5850</v>
      </c>
      <c r="F175" s="13" t="s">
        <v>5612</v>
      </c>
      <c r="G175" s="14" t="s">
        <v>18</v>
      </c>
      <c r="H175" s="15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2.5" customHeight="1">
      <c r="A176" s="9">
        <v>174.0</v>
      </c>
      <c r="B176" s="11">
        <v>75.0</v>
      </c>
      <c r="C176" s="13" t="s">
        <v>5851</v>
      </c>
      <c r="D176" s="13" t="s">
        <v>5852</v>
      </c>
      <c r="E176" s="13" t="s">
        <v>5853</v>
      </c>
      <c r="F176" s="13" t="s">
        <v>5854</v>
      </c>
      <c r="G176" s="14" t="s">
        <v>18</v>
      </c>
      <c r="H176" s="15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2.5" customHeight="1">
      <c r="A177" s="9">
        <v>175.0</v>
      </c>
      <c r="B177" s="11">
        <v>75.0</v>
      </c>
      <c r="C177" s="13" t="s">
        <v>5855</v>
      </c>
      <c r="D177" s="13" t="s">
        <v>5856</v>
      </c>
      <c r="E177" s="13" t="s">
        <v>5857</v>
      </c>
      <c r="F177" s="13" t="s">
        <v>5858</v>
      </c>
      <c r="G177" s="14" t="s">
        <v>18</v>
      </c>
      <c r="H177" s="15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2.5" customHeight="1">
      <c r="A178" s="9">
        <v>176.0</v>
      </c>
      <c r="B178" s="11">
        <v>74.0</v>
      </c>
      <c r="C178" s="13" t="s">
        <v>5859</v>
      </c>
      <c r="D178" s="13" t="s">
        <v>5860</v>
      </c>
      <c r="E178" s="13" t="s">
        <v>5861</v>
      </c>
      <c r="F178" s="13" t="s">
        <v>5862</v>
      </c>
      <c r="G178" s="14" t="s">
        <v>18</v>
      </c>
      <c r="H178" s="15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2.5" customHeight="1">
      <c r="A179" s="9">
        <v>177.0</v>
      </c>
      <c r="B179" s="11">
        <v>74.0</v>
      </c>
      <c r="C179" s="13" t="s">
        <v>5863</v>
      </c>
      <c r="D179" s="13" t="s">
        <v>5864</v>
      </c>
      <c r="E179" s="13" t="s">
        <v>5865</v>
      </c>
      <c r="F179" s="13" t="s">
        <v>5866</v>
      </c>
      <c r="G179" s="14" t="s">
        <v>18</v>
      </c>
      <c r="H179" s="15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2.5" customHeight="1">
      <c r="A180" s="9">
        <v>178.0</v>
      </c>
      <c r="B180" s="11">
        <v>74.0</v>
      </c>
      <c r="C180" s="13" t="s">
        <v>5867</v>
      </c>
      <c r="D180" s="13" t="s">
        <v>5868</v>
      </c>
      <c r="E180" s="13" t="s">
        <v>5869</v>
      </c>
      <c r="F180" s="13" t="s">
        <v>5870</v>
      </c>
      <c r="G180" s="15"/>
      <c r="H180" s="15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2.5" customHeight="1">
      <c r="A181" s="9">
        <v>179.0</v>
      </c>
      <c r="B181" s="11">
        <v>74.0</v>
      </c>
      <c r="C181" s="13" t="s">
        <v>5871</v>
      </c>
      <c r="D181" s="13" t="s">
        <v>5872</v>
      </c>
      <c r="E181" s="13" t="s">
        <v>5873</v>
      </c>
      <c r="F181" s="13" t="s">
        <v>5874</v>
      </c>
      <c r="G181" s="14" t="s">
        <v>18</v>
      </c>
      <c r="H181" s="15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2.5" customHeight="1">
      <c r="A182" s="9">
        <v>180.0</v>
      </c>
      <c r="B182" s="11">
        <v>74.0</v>
      </c>
      <c r="C182" s="13" t="s">
        <v>5875</v>
      </c>
      <c r="D182" s="13" t="s">
        <v>5876</v>
      </c>
      <c r="E182" s="13" t="s">
        <v>5877</v>
      </c>
      <c r="F182" s="13" t="s">
        <v>5878</v>
      </c>
      <c r="G182" s="14" t="s">
        <v>18</v>
      </c>
      <c r="H182" s="15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2.5" customHeight="1">
      <c r="A183" s="9">
        <v>181.0</v>
      </c>
      <c r="B183" s="11">
        <v>73.0</v>
      </c>
      <c r="C183" s="13" t="s">
        <v>5542</v>
      </c>
      <c r="D183" s="13" t="s">
        <v>5879</v>
      </c>
      <c r="E183" s="13" t="s">
        <v>5880</v>
      </c>
      <c r="F183" s="13" t="s">
        <v>5543</v>
      </c>
      <c r="G183" s="14" t="s">
        <v>18</v>
      </c>
      <c r="H183" s="15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2.5" customHeight="1">
      <c r="A184" s="9">
        <v>182.0</v>
      </c>
      <c r="B184" s="11">
        <v>73.0</v>
      </c>
      <c r="C184" s="13" t="s">
        <v>5881</v>
      </c>
      <c r="D184" s="13" t="s">
        <v>5882</v>
      </c>
      <c r="E184" s="13" t="s">
        <v>5883</v>
      </c>
      <c r="F184" s="13" t="s">
        <v>5884</v>
      </c>
      <c r="G184" s="15"/>
      <c r="H184" s="15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2.5" customHeight="1">
      <c r="A185" s="9">
        <v>183.0</v>
      </c>
      <c r="B185" s="11">
        <v>73.0</v>
      </c>
      <c r="C185" s="13" t="s">
        <v>5632</v>
      </c>
      <c r="D185" s="13" t="s">
        <v>5885</v>
      </c>
      <c r="E185" s="13" t="s">
        <v>5886</v>
      </c>
      <c r="F185" s="13" t="s">
        <v>5633</v>
      </c>
      <c r="G185" s="15"/>
      <c r="H185" s="15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2.5" customHeight="1">
      <c r="A186" s="9">
        <v>184.0</v>
      </c>
      <c r="B186" s="11">
        <v>73.0</v>
      </c>
      <c r="C186" s="13" t="s">
        <v>5887</v>
      </c>
      <c r="D186" s="13" t="s">
        <v>2475</v>
      </c>
      <c r="E186" s="13" t="s">
        <v>5888</v>
      </c>
      <c r="F186" s="13" t="s">
        <v>5889</v>
      </c>
      <c r="G186" s="15"/>
      <c r="H186" s="15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2.5" customHeight="1">
      <c r="A187" s="9">
        <v>185.0</v>
      </c>
      <c r="B187" s="11">
        <v>73.0</v>
      </c>
      <c r="C187" s="13" t="s">
        <v>5890</v>
      </c>
      <c r="D187" s="13" t="s">
        <v>5515</v>
      </c>
      <c r="E187" s="13" t="s">
        <v>5891</v>
      </c>
      <c r="F187" s="13" t="s">
        <v>5289</v>
      </c>
      <c r="G187" s="14" t="s">
        <v>18</v>
      </c>
      <c r="H187" s="15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2.5" customHeight="1">
      <c r="A188" s="9">
        <v>186.0</v>
      </c>
      <c r="B188" s="11">
        <v>72.0</v>
      </c>
      <c r="C188" s="13" t="s">
        <v>5892</v>
      </c>
      <c r="D188" s="13" t="s">
        <v>5893</v>
      </c>
      <c r="E188" s="13" t="s">
        <v>5894</v>
      </c>
      <c r="F188" s="13" t="s">
        <v>5776</v>
      </c>
      <c r="G188" s="15"/>
      <c r="H188" s="15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2.5" customHeight="1">
      <c r="A189" s="9">
        <v>187.0</v>
      </c>
      <c r="B189" s="11">
        <v>72.0</v>
      </c>
      <c r="C189" s="13" t="s">
        <v>5769</v>
      </c>
      <c r="D189" s="13" t="s">
        <v>5770</v>
      </c>
      <c r="E189" s="13" t="s">
        <v>5771</v>
      </c>
      <c r="F189" s="13" t="s">
        <v>5772</v>
      </c>
      <c r="G189" s="14" t="s">
        <v>18</v>
      </c>
      <c r="H189" s="15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2.5" customHeight="1">
      <c r="A190" s="9">
        <v>188.0</v>
      </c>
      <c r="B190" s="11">
        <v>72.0</v>
      </c>
      <c r="C190" s="13" t="s">
        <v>5829</v>
      </c>
      <c r="D190" s="13" t="s">
        <v>5895</v>
      </c>
      <c r="E190" s="13" t="s">
        <v>5831</v>
      </c>
      <c r="F190" s="13" t="s">
        <v>5832</v>
      </c>
      <c r="G190" s="15"/>
      <c r="H190" s="15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2.5" customHeight="1">
      <c r="A191" s="9">
        <v>189.0</v>
      </c>
      <c r="B191" s="11">
        <v>72.0</v>
      </c>
      <c r="C191" s="13" t="s">
        <v>5833</v>
      </c>
      <c r="D191" s="13" t="s">
        <v>5795</v>
      </c>
      <c r="E191" s="13" t="s">
        <v>5796</v>
      </c>
      <c r="F191" s="13" t="s">
        <v>5797</v>
      </c>
      <c r="G191" s="15"/>
      <c r="H191" s="15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2.5" customHeight="1">
      <c r="A192" s="9">
        <v>190.0</v>
      </c>
      <c r="B192" s="11">
        <v>72.0</v>
      </c>
      <c r="C192" s="13" t="s">
        <v>5896</v>
      </c>
      <c r="D192" s="13" t="s">
        <v>5897</v>
      </c>
      <c r="E192" s="13" t="s">
        <v>5898</v>
      </c>
      <c r="F192" s="13" t="s">
        <v>5899</v>
      </c>
      <c r="G192" s="14" t="s">
        <v>18</v>
      </c>
      <c r="H192" s="15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2.5" customHeight="1">
      <c r="A193" s="9">
        <v>191.0</v>
      </c>
      <c r="B193" s="11">
        <v>71.0</v>
      </c>
      <c r="C193" s="13" t="s">
        <v>5900</v>
      </c>
      <c r="D193" s="13" t="s">
        <v>5901</v>
      </c>
      <c r="E193" s="13" t="s">
        <v>5902</v>
      </c>
      <c r="F193" s="13" t="s">
        <v>5903</v>
      </c>
      <c r="G193" s="14" t="s">
        <v>18</v>
      </c>
      <c r="H193" s="14" t="s">
        <v>18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2.5" customHeight="1">
      <c r="A194" s="9">
        <v>192.0</v>
      </c>
      <c r="B194" s="11">
        <v>71.0</v>
      </c>
      <c r="C194" s="13" t="s">
        <v>5904</v>
      </c>
      <c r="D194" s="13" t="s">
        <v>5905</v>
      </c>
      <c r="E194" s="13" t="s">
        <v>5379</v>
      </c>
      <c r="F194" s="13" t="s">
        <v>5380</v>
      </c>
      <c r="G194" s="15"/>
      <c r="H194" s="15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2.5" customHeight="1">
      <c r="A195" s="9">
        <v>193.0</v>
      </c>
      <c r="B195" s="11">
        <v>71.0</v>
      </c>
      <c r="C195" s="13" t="s">
        <v>5906</v>
      </c>
      <c r="D195" s="13" t="s">
        <v>5907</v>
      </c>
      <c r="E195" s="13" t="s">
        <v>5908</v>
      </c>
      <c r="F195" s="13" t="s">
        <v>5909</v>
      </c>
      <c r="G195" s="15"/>
      <c r="H195" s="15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2.5" customHeight="1">
      <c r="A196" s="9">
        <v>194.0</v>
      </c>
      <c r="B196" s="11">
        <v>71.0</v>
      </c>
      <c r="C196" s="13" t="s">
        <v>4527</v>
      </c>
      <c r="D196" s="13" t="s">
        <v>5910</v>
      </c>
      <c r="E196" s="13" t="s">
        <v>5911</v>
      </c>
      <c r="F196" s="13" t="s">
        <v>4528</v>
      </c>
      <c r="G196" s="14" t="s">
        <v>18</v>
      </c>
      <c r="H196" s="15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2.5" customHeight="1">
      <c r="A197" s="9">
        <v>195.0</v>
      </c>
      <c r="B197" s="11">
        <v>71.0</v>
      </c>
      <c r="C197" s="13" t="s">
        <v>5912</v>
      </c>
      <c r="D197" s="13" t="s">
        <v>5913</v>
      </c>
      <c r="E197" s="13" t="s">
        <v>4530</v>
      </c>
      <c r="F197" s="13" t="s">
        <v>4531</v>
      </c>
      <c r="G197" s="14" t="s">
        <v>18</v>
      </c>
      <c r="H197" s="15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2.5" customHeight="1">
      <c r="A198" s="9">
        <v>196.0</v>
      </c>
      <c r="B198" s="11">
        <v>70.0</v>
      </c>
      <c r="C198" s="13" t="s">
        <v>5914</v>
      </c>
      <c r="D198" s="13" t="s">
        <v>5915</v>
      </c>
      <c r="E198" s="13" t="s">
        <v>5916</v>
      </c>
      <c r="F198" s="13" t="s">
        <v>5917</v>
      </c>
      <c r="G198" s="14" t="s">
        <v>18</v>
      </c>
      <c r="H198" s="15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2.5" customHeight="1">
      <c r="A199" s="9">
        <v>197.0</v>
      </c>
      <c r="B199" s="11">
        <v>70.0</v>
      </c>
      <c r="C199" s="13" t="s">
        <v>5918</v>
      </c>
      <c r="D199" s="13" t="s">
        <v>5834</v>
      </c>
      <c r="E199" s="13" t="s">
        <v>5796</v>
      </c>
      <c r="F199" s="13" t="s">
        <v>5797</v>
      </c>
      <c r="G199" s="15"/>
      <c r="H199" s="15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2.5" customHeight="1">
      <c r="A200" s="9">
        <v>198.0</v>
      </c>
      <c r="B200" s="11">
        <v>70.0</v>
      </c>
      <c r="C200" s="13" t="s">
        <v>5919</v>
      </c>
      <c r="D200" s="13" t="s">
        <v>5920</v>
      </c>
      <c r="E200" s="13" t="s">
        <v>5921</v>
      </c>
      <c r="F200" s="13" t="s">
        <v>5922</v>
      </c>
      <c r="G200" s="14" t="s">
        <v>18</v>
      </c>
      <c r="H200" s="15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2.5" customHeight="1">
      <c r="A201" s="9">
        <v>199.0</v>
      </c>
      <c r="B201" s="11">
        <v>70.0</v>
      </c>
      <c r="C201" s="13" t="s">
        <v>5923</v>
      </c>
      <c r="D201" s="13" t="s">
        <v>5924</v>
      </c>
      <c r="E201" s="13" t="s">
        <v>5499</v>
      </c>
      <c r="F201" s="13" t="s">
        <v>5500</v>
      </c>
      <c r="G201" s="15"/>
      <c r="H201" s="15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2.5" customHeight="1">
      <c r="A202" s="9">
        <v>200.0</v>
      </c>
      <c r="B202" s="11">
        <v>70.0</v>
      </c>
      <c r="C202" s="13" t="s">
        <v>5925</v>
      </c>
      <c r="D202" s="13" t="s">
        <v>5926</v>
      </c>
      <c r="E202" s="13" t="s">
        <v>5927</v>
      </c>
      <c r="F202" s="13" t="s">
        <v>5928</v>
      </c>
      <c r="G202" s="15"/>
      <c r="H202" s="15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2.5" customHeight="1">
      <c r="A203" s="9">
        <v>201.0</v>
      </c>
      <c r="B203" s="11">
        <v>69.0</v>
      </c>
      <c r="C203" s="13" t="s">
        <v>5929</v>
      </c>
      <c r="D203" s="13" t="s">
        <v>5930</v>
      </c>
      <c r="E203" s="13" t="s">
        <v>5931</v>
      </c>
      <c r="F203" s="13" t="s">
        <v>5932</v>
      </c>
      <c r="G203" s="14" t="s">
        <v>18</v>
      </c>
      <c r="H203" s="15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2.5" customHeight="1">
      <c r="A204" s="9">
        <v>202.0</v>
      </c>
      <c r="B204" s="11">
        <v>69.0</v>
      </c>
      <c r="C204" s="13" t="s">
        <v>5933</v>
      </c>
      <c r="D204" s="13" t="s">
        <v>5934</v>
      </c>
      <c r="E204" s="13" t="s">
        <v>5935</v>
      </c>
      <c r="F204" s="13" t="s">
        <v>5936</v>
      </c>
      <c r="G204" s="14" t="s">
        <v>18</v>
      </c>
      <c r="H204" s="15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2.5" customHeight="1">
      <c r="A205" s="9">
        <v>203.0</v>
      </c>
      <c r="B205" s="11">
        <v>69.0</v>
      </c>
      <c r="C205" s="13" t="s">
        <v>5937</v>
      </c>
      <c r="D205" s="13" t="s">
        <v>5505</v>
      </c>
      <c r="E205" s="13" t="s">
        <v>4831</v>
      </c>
      <c r="F205" s="13" t="s">
        <v>4832</v>
      </c>
      <c r="G205" s="15"/>
      <c r="H205" s="15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2.5" customHeight="1">
      <c r="A206" s="9">
        <v>204.0</v>
      </c>
      <c r="B206" s="11">
        <v>69.0</v>
      </c>
      <c r="C206" s="13" t="s">
        <v>5938</v>
      </c>
      <c r="D206" s="13" t="s">
        <v>2199</v>
      </c>
      <c r="E206" s="13" t="s">
        <v>2200</v>
      </c>
      <c r="F206" s="13" t="s">
        <v>5939</v>
      </c>
      <c r="G206" s="14" t="s">
        <v>18</v>
      </c>
      <c r="H206" s="15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2.5" customHeight="1">
      <c r="A207" s="9">
        <v>205.0</v>
      </c>
      <c r="B207" s="11">
        <v>69.0</v>
      </c>
      <c r="C207" s="13" t="s">
        <v>5940</v>
      </c>
      <c r="D207" s="13" t="s">
        <v>5374</v>
      </c>
      <c r="E207" s="13" t="s">
        <v>5375</v>
      </c>
      <c r="F207" s="13" t="s">
        <v>5376</v>
      </c>
      <c r="G207" s="14" t="s">
        <v>18</v>
      </c>
      <c r="H207" s="14" t="s">
        <v>18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2.5" customHeight="1">
      <c r="A208" s="9">
        <v>206.0</v>
      </c>
      <c r="B208" s="11">
        <v>68.0</v>
      </c>
      <c r="C208" s="13" t="s">
        <v>5941</v>
      </c>
      <c r="D208" s="13" t="s">
        <v>5942</v>
      </c>
      <c r="E208" s="13" t="s">
        <v>5943</v>
      </c>
      <c r="F208" s="13" t="s">
        <v>5944</v>
      </c>
      <c r="G208" s="14" t="s">
        <v>18</v>
      </c>
      <c r="H208" s="15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2.5" customHeight="1">
      <c r="A209" s="9">
        <v>207.0</v>
      </c>
      <c r="B209" s="11">
        <v>68.0</v>
      </c>
      <c r="C209" s="13" t="s">
        <v>5945</v>
      </c>
      <c r="D209" s="13" t="s">
        <v>5689</v>
      </c>
      <c r="E209" s="13" t="s">
        <v>5690</v>
      </c>
      <c r="F209" s="13" t="s">
        <v>5691</v>
      </c>
      <c r="G209" s="14" t="s">
        <v>18</v>
      </c>
      <c r="H209" s="15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2.5" customHeight="1">
      <c r="A210" s="9">
        <v>208.0</v>
      </c>
      <c r="B210" s="11">
        <v>68.0</v>
      </c>
      <c r="C210" s="13" t="s">
        <v>5719</v>
      </c>
      <c r="D210" s="13" t="s">
        <v>5946</v>
      </c>
      <c r="E210" s="13" t="s">
        <v>5312</v>
      </c>
      <c r="F210" s="13" t="s">
        <v>4636</v>
      </c>
      <c r="G210" s="15"/>
      <c r="H210" s="15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2.5" customHeight="1">
      <c r="A211" s="9">
        <v>209.0</v>
      </c>
      <c r="B211" s="11">
        <v>68.0</v>
      </c>
      <c r="C211" s="13" t="s">
        <v>5947</v>
      </c>
      <c r="D211" s="13" t="s">
        <v>5948</v>
      </c>
      <c r="E211" s="13" t="s">
        <v>5949</v>
      </c>
      <c r="F211" s="13" t="s">
        <v>5950</v>
      </c>
      <c r="G211" s="15"/>
      <c r="H211" s="15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2.5" customHeight="1">
      <c r="A212" s="9">
        <v>210.0</v>
      </c>
      <c r="B212" s="11">
        <v>68.0</v>
      </c>
      <c r="C212" s="13" t="s">
        <v>5951</v>
      </c>
      <c r="D212" s="13" t="s">
        <v>5952</v>
      </c>
      <c r="E212" s="13" t="s">
        <v>5953</v>
      </c>
      <c r="F212" s="13" t="s">
        <v>5954</v>
      </c>
      <c r="G212" s="14" t="s">
        <v>18</v>
      </c>
      <c r="H212" s="15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2.5" customHeight="1">
      <c r="A213" s="9">
        <v>211.0</v>
      </c>
      <c r="B213" s="11">
        <v>67.0</v>
      </c>
      <c r="C213" s="13" t="s">
        <v>5955</v>
      </c>
      <c r="D213" s="13" t="s">
        <v>5956</v>
      </c>
      <c r="E213" s="13" t="s">
        <v>5957</v>
      </c>
      <c r="F213" s="13" t="s">
        <v>5958</v>
      </c>
      <c r="G213" s="15"/>
      <c r="H213" s="15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2.5" customHeight="1">
      <c r="A214" s="9">
        <v>212.0</v>
      </c>
      <c r="B214" s="11">
        <v>67.0</v>
      </c>
      <c r="C214" s="13" t="s">
        <v>5959</v>
      </c>
      <c r="D214" s="13" t="s">
        <v>5960</v>
      </c>
      <c r="E214" s="13" t="s">
        <v>5961</v>
      </c>
      <c r="F214" s="13" t="s">
        <v>5962</v>
      </c>
      <c r="G214" s="15"/>
      <c r="H214" s="15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2.5" customHeight="1">
      <c r="A215" s="9">
        <v>213.0</v>
      </c>
      <c r="B215" s="11">
        <v>67.0</v>
      </c>
      <c r="C215" s="13" t="s">
        <v>5963</v>
      </c>
      <c r="D215" s="13" t="s">
        <v>5964</v>
      </c>
      <c r="E215" s="13" t="s">
        <v>5965</v>
      </c>
      <c r="F215" s="13" t="s">
        <v>5966</v>
      </c>
      <c r="G215" s="14" t="s">
        <v>18</v>
      </c>
      <c r="H215" s="15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2.5" customHeight="1">
      <c r="A216" s="9">
        <v>214.0</v>
      </c>
      <c r="B216" s="11">
        <v>67.0</v>
      </c>
      <c r="C216" s="13" t="s">
        <v>5967</v>
      </c>
      <c r="D216" s="13" t="s">
        <v>5968</v>
      </c>
      <c r="E216" s="13" t="s">
        <v>5969</v>
      </c>
      <c r="F216" s="13" t="s">
        <v>5970</v>
      </c>
      <c r="G216" s="15"/>
      <c r="H216" s="15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2.5" customHeight="1">
      <c r="A217" s="9">
        <v>215.0</v>
      </c>
      <c r="B217" s="11">
        <v>67.0</v>
      </c>
      <c r="C217" s="13" t="s">
        <v>5561</v>
      </c>
      <c r="D217" s="13" t="s">
        <v>4866</v>
      </c>
      <c r="E217" s="13" t="s">
        <v>4864</v>
      </c>
      <c r="F217" s="13" t="s">
        <v>4865</v>
      </c>
      <c r="G217" s="15"/>
      <c r="H217" s="15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2.5" customHeight="1">
      <c r="A218" s="9">
        <v>216.0</v>
      </c>
      <c r="B218" s="11">
        <v>66.0</v>
      </c>
      <c r="C218" s="13" t="s">
        <v>5971</v>
      </c>
      <c r="D218" s="13" t="s">
        <v>5498</v>
      </c>
      <c r="E218" s="13" t="s">
        <v>5499</v>
      </c>
      <c r="F218" s="13" t="s">
        <v>5500</v>
      </c>
      <c r="G218" s="15"/>
      <c r="H218" s="15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2.5" customHeight="1">
      <c r="A219" s="9">
        <v>217.0</v>
      </c>
      <c r="B219" s="11">
        <v>66.0</v>
      </c>
      <c r="C219" s="13" t="s">
        <v>5972</v>
      </c>
      <c r="D219" s="13" t="s">
        <v>5973</v>
      </c>
      <c r="E219" s="13" t="s">
        <v>5974</v>
      </c>
      <c r="F219" s="13" t="s">
        <v>5975</v>
      </c>
      <c r="G219" s="15"/>
      <c r="H219" s="15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2.5" customHeight="1">
      <c r="A220" s="9">
        <v>218.0</v>
      </c>
      <c r="B220" s="11">
        <v>66.0</v>
      </c>
      <c r="C220" s="13" t="s">
        <v>5976</v>
      </c>
      <c r="D220" s="13" t="s">
        <v>5977</v>
      </c>
      <c r="E220" s="13" t="s">
        <v>5978</v>
      </c>
      <c r="F220" s="13" t="s">
        <v>1188</v>
      </c>
      <c r="G220" s="15"/>
      <c r="H220" s="15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2.5" customHeight="1">
      <c r="A221" s="9">
        <v>219.0</v>
      </c>
      <c r="B221" s="11">
        <v>66.0</v>
      </c>
      <c r="C221" s="13" t="s">
        <v>5979</v>
      </c>
      <c r="D221" s="13" t="s">
        <v>5980</v>
      </c>
      <c r="E221" s="13" t="s">
        <v>5981</v>
      </c>
      <c r="F221" s="13" t="s">
        <v>5982</v>
      </c>
      <c r="G221" s="15"/>
      <c r="H221" s="15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2.5" customHeight="1">
      <c r="A222" s="9">
        <v>220.0</v>
      </c>
      <c r="B222" s="11">
        <v>66.0</v>
      </c>
      <c r="C222" s="13" t="s">
        <v>5983</v>
      </c>
      <c r="D222" s="13" t="s">
        <v>5984</v>
      </c>
      <c r="E222" s="13" t="s">
        <v>1849</v>
      </c>
      <c r="F222" s="13" t="s">
        <v>5985</v>
      </c>
      <c r="G222" s="14" t="s">
        <v>18</v>
      </c>
      <c r="H222" s="15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2.5" customHeight="1">
      <c r="A223" s="9">
        <v>221.0</v>
      </c>
      <c r="B223" s="11">
        <v>65.0</v>
      </c>
      <c r="C223" s="13" t="s">
        <v>5986</v>
      </c>
      <c r="D223" s="13" t="s">
        <v>4810</v>
      </c>
      <c r="E223" s="13" t="s">
        <v>4808</v>
      </c>
      <c r="F223" s="13" t="s">
        <v>4809</v>
      </c>
      <c r="G223" s="14" t="s">
        <v>18</v>
      </c>
      <c r="H223" s="15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2.5" customHeight="1">
      <c r="A224" s="9">
        <v>222.0</v>
      </c>
      <c r="B224" s="11">
        <v>65.0</v>
      </c>
      <c r="C224" s="13" t="s">
        <v>5987</v>
      </c>
      <c r="D224" s="13" t="s">
        <v>5988</v>
      </c>
      <c r="E224" s="13" t="s">
        <v>5989</v>
      </c>
      <c r="F224" s="13" t="s">
        <v>5990</v>
      </c>
      <c r="G224" s="14" t="s">
        <v>18</v>
      </c>
      <c r="H224" s="15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2.5" customHeight="1">
      <c r="A225" s="9">
        <v>223.0</v>
      </c>
      <c r="B225" s="11">
        <v>65.0</v>
      </c>
      <c r="C225" s="13" t="s">
        <v>5991</v>
      </c>
      <c r="D225" s="13" t="s">
        <v>5992</v>
      </c>
      <c r="E225" s="13" t="s">
        <v>5993</v>
      </c>
      <c r="F225" s="13" t="s">
        <v>5994</v>
      </c>
      <c r="G225" s="15"/>
      <c r="H225" s="15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2.5" customHeight="1">
      <c r="A226" s="9">
        <v>224.0</v>
      </c>
      <c r="B226" s="11">
        <v>65.0</v>
      </c>
      <c r="C226" s="13" t="s">
        <v>5995</v>
      </c>
      <c r="D226" s="13" t="s">
        <v>5996</v>
      </c>
      <c r="E226" s="13" t="s">
        <v>5997</v>
      </c>
      <c r="F226" s="13" t="s">
        <v>5998</v>
      </c>
      <c r="G226" s="15"/>
      <c r="H226" s="15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2.5" customHeight="1">
      <c r="A227" s="9">
        <v>225.0</v>
      </c>
      <c r="B227" s="11">
        <v>65.0</v>
      </c>
      <c r="C227" s="13" t="s">
        <v>5999</v>
      </c>
      <c r="D227" s="13" t="s">
        <v>6000</v>
      </c>
      <c r="E227" s="13" t="s">
        <v>6001</v>
      </c>
      <c r="F227" s="13" t="s">
        <v>6002</v>
      </c>
      <c r="G227" s="14" t="s">
        <v>18</v>
      </c>
      <c r="H227" s="15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2.5" customHeight="1">
      <c r="A228" s="9">
        <v>226.0</v>
      </c>
      <c r="B228" s="11">
        <v>64.0</v>
      </c>
      <c r="C228" s="13" t="s">
        <v>6003</v>
      </c>
      <c r="D228" s="13" t="s">
        <v>6004</v>
      </c>
      <c r="E228" s="13" t="s">
        <v>6005</v>
      </c>
      <c r="F228" s="13" t="s">
        <v>6006</v>
      </c>
      <c r="G228" s="14" t="s">
        <v>18</v>
      </c>
      <c r="H228" s="15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2.5" customHeight="1">
      <c r="A229" s="9">
        <v>227.0</v>
      </c>
      <c r="B229" s="11">
        <v>64.0</v>
      </c>
      <c r="C229" s="13" t="s">
        <v>6007</v>
      </c>
      <c r="D229" s="13" t="s">
        <v>6008</v>
      </c>
      <c r="E229" s="13" t="s">
        <v>6009</v>
      </c>
      <c r="F229" s="13" t="s">
        <v>6010</v>
      </c>
      <c r="G229" s="14" t="s">
        <v>18</v>
      </c>
      <c r="H229" s="15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2.5" customHeight="1">
      <c r="A230" s="9">
        <v>228.0</v>
      </c>
      <c r="B230" s="11">
        <v>64.0</v>
      </c>
      <c r="C230" s="13" t="s">
        <v>6011</v>
      </c>
      <c r="D230" s="13" t="s">
        <v>6012</v>
      </c>
      <c r="E230" s="13" t="s">
        <v>6013</v>
      </c>
      <c r="F230" s="13" t="s">
        <v>6014</v>
      </c>
      <c r="G230" s="15"/>
      <c r="H230" s="15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2.5" customHeight="1">
      <c r="A231" s="9">
        <v>229.0</v>
      </c>
      <c r="B231" s="11">
        <v>64.0</v>
      </c>
      <c r="C231" s="13" t="s">
        <v>6015</v>
      </c>
      <c r="D231" s="13" t="s">
        <v>6016</v>
      </c>
      <c r="E231" s="13" t="s">
        <v>6017</v>
      </c>
      <c r="F231" s="13" t="s">
        <v>5316</v>
      </c>
      <c r="G231" s="14" t="s">
        <v>18</v>
      </c>
      <c r="H231" s="15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2.5" customHeight="1">
      <c r="A232" s="9">
        <v>230.0</v>
      </c>
      <c r="B232" s="11">
        <v>64.0</v>
      </c>
      <c r="C232" s="13" t="s">
        <v>6018</v>
      </c>
      <c r="D232" s="13" t="s">
        <v>6019</v>
      </c>
      <c r="E232" s="13" t="s">
        <v>6020</v>
      </c>
      <c r="F232" s="13" t="s">
        <v>6021</v>
      </c>
      <c r="G232" s="15"/>
      <c r="H232" s="15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2.5" customHeight="1">
      <c r="A233" s="9">
        <v>231.0</v>
      </c>
      <c r="B233" s="11">
        <v>63.0</v>
      </c>
      <c r="C233" s="13" t="s">
        <v>5953</v>
      </c>
      <c r="D233" s="13" t="s">
        <v>6022</v>
      </c>
      <c r="E233" s="13" t="s">
        <v>5951</v>
      </c>
      <c r="F233" s="13" t="s">
        <v>5954</v>
      </c>
      <c r="G233" s="14" t="s">
        <v>18</v>
      </c>
      <c r="H233" s="15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2.5" customHeight="1">
      <c r="A234" s="9">
        <v>232.0</v>
      </c>
      <c r="B234" s="11">
        <v>63.0</v>
      </c>
      <c r="C234" s="13" t="s">
        <v>4635</v>
      </c>
      <c r="D234" s="13" t="s">
        <v>6023</v>
      </c>
      <c r="E234" s="13" t="s">
        <v>5719</v>
      </c>
      <c r="F234" s="13" t="s">
        <v>4636</v>
      </c>
      <c r="G234" s="14" t="s">
        <v>18</v>
      </c>
      <c r="H234" s="15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2.5" customHeight="1">
      <c r="A235" s="9">
        <v>233.0</v>
      </c>
      <c r="B235" s="11">
        <v>63.0</v>
      </c>
      <c r="C235" s="13" t="s">
        <v>5850</v>
      </c>
      <c r="D235" s="13" t="s">
        <v>6024</v>
      </c>
      <c r="E235" s="13" t="s">
        <v>5848</v>
      </c>
      <c r="F235" s="13" t="s">
        <v>5612</v>
      </c>
      <c r="G235" s="15"/>
      <c r="H235" s="15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2.5" customHeight="1">
      <c r="A236" s="9">
        <v>234.0</v>
      </c>
      <c r="B236" s="11">
        <v>63.0</v>
      </c>
      <c r="C236" s="13" t="s">
        <v>6025</v>
      </c>
      <c r="D236" s="13" t="s">
        <v>6026</v>
      </c>
      <c r="E236" s="13" t="s">
        <v>4428</v>
      </c>
      <c r="F236" s="13" t="s">
        <v>4396</v>
      </c>
      <c r="G236" s="14" t="s">
        <v>18</v>
      </c>
      <c r="H236" s="15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2.5" customHeight="1">
      <c r="A237" s="9">
        <v>235.0</v>
      </c>
      <c r="B237" s="11">
        <v>63.0</v>
      </c>
      <c r="C237" s="13" t="s">
        <v>5904</v>
      </c>
      <c r="D237" s="13" t="s">
        <v>5905</v>
      </c>
      <c r="E237" s="13" t="s">
        <v>5379</v>
      </c>
      <c r="F237" s="13" t="s">
        <v>5380</v>
      </c>
      <c r="G237" s="14" t="s">
        <v>18</v>
      </c>
      <c r="H237" s="15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2.5" customHeight="1">
      <c r="A238" s="9">
        <v>236.0</v>
      </c>
      <c r="B238" s="11">
        <v>62.0</v>
      </c>
      <c r="C238" s="13" t="s">
        <v>6027</v>
      </c>
      <c r="D238" s="13" t="s">
        <v>6028</v>
      </c>
      <c r="E238" s="13" t="s">
        <v>6029</v>
      </c>
      <c r="F238" s="13" t="s">
        <v>6030</v>
      </c>
      <c r="G238" s="14" t="s">
        <v>18</v>
      </c>
      <c r="H238" s="15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2.5" customHeight="1">
      <c r="A239" s="9">
        <v>237.0</v>
      </c>
      <c r="B239" s="11">
        <v>62.0</v>
      </c>
      <c r="C239" s="13" t="s">
        <v>6031</v>
      </c>
      <c r="D239" s="13" t="s">
        <v>6032</v>
      </c>
      <c r="E239" s="13" t="s">
        <v>6033</v>
      </c>
      <c r="F239" s="13" t="s">
        <v>6034</v>
      </c>
      <c r="G239" s="14" t="s">
        <v>18</v>
      </c>
      <c r="H239" s="15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2.5" customHeight="1">
      <c r="A240" s="9">
        <v>238.0</v>
      </c>
      <c r="B240" s="11">
        <v>62.0</v>
      </c>
      <c r="C240" s="13" t="s">
        <v>6035</v>
      </c>
      <c r="D240" s="13" t="s">
        <v>6036</v>
      </c>
      <c r="E240" s="13" t="s">
        <v>6037</v>
      </c>
      <c r="F240" s="13" t="s">
        <v>6038</v>
      </c>
      <c r="G240" s="14" t="s">
        <v>18</v>
      </c>
      <c r="H240" s="15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2.5" customHeight="1">
      <c r="A241" s="9">
        <v>239.0</v>
      </c>
      <c r="B241" s="11">
        <v>62.0</v>
      </c>
      <c r="C241" s="13" t="s">
        <v>6039</v>
      </c>
      <c r="D241" s="13" t="s">
        <v>6040</v>
      </c>
      <c r="E241" s="13" t="s">
        <v>6041</v>
      </c>
      <c r="F241" s="13" t="s">
        <v>6042</v>
      </c>
      <c r="G241" s="15"/>
      <c r="H241" s="15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2.5" customHeight="1">
      <c r="A242" s="9">
        <v>240.0</v>
      </c>
      <c r="B242" s="11">
        <v>62.0</v>
      </c>
      <c r="C242" s="13" t="s">
        <v>6043</v>
      </c>
      <c r="D242" s="13" t="s">
        <v>6044</v>
      </c>
      <c r="E242" s="13" t="s">
        <v>6045</v>
      </c>
      <c r="F242" s="13" t="s">
        <v>6046</v>
      </c>
      <c r="G242" s="15"/>
      <c r="H242" s="15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2.5" customHeight="1">
      <c r="A243" s="9">
        <v>241.0</v>
      </c>
      <c r="B243" s="11">
        <v>61.0</v>
      </c>
      <c r="C243" s="13" t="s">
        <v>5553</v>
      </c>
      <c r="D243" s="13" t="s">
        <v>6047</v>
      </c>
      <c r="E243" s="13" t="s">
        <v>5555</v>
      </c>
      <c r="F243" s="13" t="s">
        <v>5556</v>
      </c>
      <c r="G243" s="14" t="s">
        <v>18</v>
      </c>
      <c r="H243" s="14" t="s">
        <v>18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2.5" customHeight="1">
      <c r="A244" s="9">
        <v>242.0</v>
      </c>
      <c r="B244" s="11">
        <v>61.0</v>
      </c>
      <c r="C244" s="13" t="s">
        <v>6048</v>
      </c>
      <c r="D244" s="13" t="s">
        <v>4869</v>
      </c>
      <c r="E244" s="13" t="s">
        <v>4867</v>
      </c>
      <c r="F244" s="13" t="s">
        <v>4868</v>
      </c>
      <c r="G244" s="15"/>
      <c r="H244" s="15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2.5" customHeight="1">
      <c r="A245" s="9">
        <v>243.0</v>
      </c>
      <c r="B245" s="11">
        <v>61.0</v>
      </c>
      <c r="C245" s="13" t="s">
        <v>6049</v>
      </c>
      <c r="D245" s="13" t="s">
        <v>6050</v>
      </c>
      <c r="E245" s="13" t="s">
        <v>6051</v>
      </c>
      <c r="F245" s="13" t="s">
        <v>6052</v>
      </c>
      <c r="G245" s="14" t="s">
        <v>18</v>
      </c>
      <c r="H245" s="15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2.5" customHeight="1">
      <c r="A246" s="9">
        <v>244.0</v>
      </c>
      <c r="B246" s="11">
        <v>61.0</v>
      </c>
      <c r="C246" s="13" t="s">
        <v>6053</v>
      </c>
      <c r="D246" s="13" t="s">
        <v>6054</v>
      </c>
      <c r="E246" s="13" t="s">
        <v>6055</v>
      </c>
      <c r="F246" s="13" t="s">
        <v>6056</v>
      </c>
      <c r="G246" s="15"/>
      <c r="H246" s="15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2.5" customHeight="1">
      <c r="A247" s="9">
        <v>245.0</v>
      </c>
      <c r="B247" s="11">
        <v>61.0</v>
      </c>
      <c r="C247" s="13" t="s">
        <v>6057</v>
      </c>
      <c r="D247" s="13" t="s">
        <v>6058</v>
      </c>
      <c r="E247" s="13" t="s">
        <v>6059</v>
      </c>
      <c r="F247" s="13" t="s">
        <v>6060</v>
      </c>
      <c r="G247" s="15"/>
      <c r="H247" s="15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2.5" customHeight="1">
      <c r="A248" s="9">
        <v>246.0</v>
      </c>
      <c r="B248" s="11">
        <v>60.0</v>
      </c>
      <c r="C248" s="13" t="s">
        <v>6061</v>
      </c>
      <c r="D248" s="13" t="s">
        <v>6062</v>
      </c>
      <c r="E248" s="13" t="s">
        <v>6063</v>
      </c>
      <c r="F248" s="13" t="s">
        <v>6064</v>
      </c>
      <c r="G248" s="15"/>
      <c r="H248" s="15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2.5" customHeight="1">
      <c r="A249" s="9">
        <v>247.0</v>
      </c>
      <c r="B249" s="11">
        <v>60.0</v>
      </c>
      <c r="C249" s="13" t="s">
        <v>5310</v>
      </c>
      <c r="D249" s="13" t="s">
        <v>6065</v>
      </c>
      <c r="E249" s="13" t="s">
        <v>4635</v>
      </c>
      <c r="F249" s="13" t="s">
        <v>4636</v>
      </c>
      <c r="G249" s="15"/>
      <c r="H249" s="15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2.5" customHeight="1">
      <c r="A250" s="9">
        <v>248.0</v>
      </c>
      <c r="B250" s="11">
        <v>60.0</v>
      </c>
      <c r="C250" s="13" t="s">
        <v>6066</v>
      </c>
      <c r="D250" s="13" t="s">
        <v>6067</v>
      </c>
      <c r="E250" s="13" t="s">
        <v>6068</v>
      </c>
      <c r="F250" s="13" t="s">
        <v>6069</v>
      </c>
      <c r="G250" s="15"/>
      <c r="H250" s="15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2.5" customHeight="1">
      <c r="A251" s="9">
        <v>249.0</v>
      </c>
      <c r="B251" s="11">
        <v>60.0</v>
      </c>
      <c r="C251" s="13" t="s">
        <v>6070</v>
      </c>
      <c r="D251" s="13" t="s">
        <v>6071</v>
      </c>
      <c r="E251" s="13" t="s">
        <v>6072</v>
      </c>
      <c r="F251" s="13" t="s">
        <v>6073</v>
      </c>
      <c r="G251" s="14" t="s">
        <v>18</v>
      </c>
      <c r="H251" s="15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2.5" customHeight="1">
      <c r="A252" s="9">
        <v>250.0</v>
      </c>
      <c r="B252" s="11">
        <v>60.0</v>
      </c>
      <c r="C252" s="13" t="s">
        <v>6074</v>
      </c>
      <c r="D252" s="13" t="s">
        <v>6075</v>
      </c>
      <c r="E252" s="13" t="s">
        <v>6076</v>
      </c>
      <c r="F252" s="13" t="s">
        <v>4734</v>
      </c>
      <c r="G252" s="14" t="s">
        <v>18</v>
      </c>
      <c r="H252" s="15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2.5" customHeight="1">
      <c r="A253" s="9">
        <v>251.0</v>
      </c>
      <c r="B253" s="11">
        <v>59.0</v>
      </c>
      <c r="C253" s="13" t="s">
        <v>6077</v>
      </c>
      <c r="D253" s="13" t="s">
        <v>6078</v>
      </c>
      <c r="E253" s="13" t="s">
        <v>6079</v>
      </c>
      <c r="F253" s="13" t="s">
        <v>5788</v>
      </c>
      <c r="G253" s="15"/>
      <c r="H253" s="15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2.5" customHeight="1">
      <c r="A254" s="9">
        <v>252.0</v>
      </c>
      <c r="B254" s="11">
        <v>59.0</v>
      </c>
      <c r="C254" s="13" t="s">
        <v>6080</v>
      </c>
      <c r="D254" s="13" t="s">
        <v>6081</v>
      </c>
      <c r="E254" s="13" t="s">
        <v>4204</v>
      </c>
      <c r="F254" s="13" t="s">
        <v>6082</v>
      </c>
      <c r="G254" s="15"/>
      <c r="H254" s="15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2.5" customHeight="1">
      <c r="A255" s="9">
        <v>253.0</v>
      </c>
      <c r="B255" s="11">
        <v>59.0</v>
      </c>
      <c r="C255" s="13" t="s">
        <v>6083</v>
      </c>
      <c r="D255" s="13" t="s">
        <v>6084</v>
      </c>
      <c r="E255" s="13" t="s">
        <v>6085</v>
      </c>
      <c r="F255" s="13" t="s">
        <v>6086</v>
      </c>
      <c r="G255" s="15"/>
      <c r="H255" s="15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2.5" customHeight="1">
      <c r="A256" s="9">
        <v>254.0</v>
      </c>
      <c r="B256" s="11">
        <v>59.0</v>
      </c>
      <c r="C256" s="13" t="s">
        <v>6087</v>
      </c>
      <c r="D256" s="13" t="s">
        <v>6088</v>
      </c>
      <c r="E256" s="13" t="s">
        <v>6089</v>
      </c>
      <c r="F256" s="13" t="s">
        <v>6090</v>
      </c>
      <c r="G256" s="14" t="s">
        <v>18</v>
      </c>
      <c r="H256" s="14" t="s">
        <v>18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2.5" customHeight="1">
      <c r="A257" s="9">
        <v>255.0</v>
      </c>
      <c r="B257" s="11">
        <v>59.0</v>
      </c>
      <c r="C257" s="13" t="s">
        <v>6091</v>
      </c>
      <c r="D257" s="13" t="s">
        <v>6022</v>
      </c>
      <c r="E257" s="13" t="s">
        <v>5951</v>
      </c>
      <c r="F257" s="13" t="s">
        <v>5954</v>
      </c>
      <c r="G257" s="15"/>
      <c r="H257" s="15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2.5" customHeight="1">
      <c r="A258" s="9">
        <v>256.0</v>
      </c>
      <c r="B258" s="11">
        <v>58.0</v>
      </c>
      <c r="C258" s="13" t="s">
        <v>6092</v>
      </c>
      <c r="D258" s="13" t="s">
        <v>6093</v>
      </c>
      <c r="E258" s="13" t="s">
        <v>6094</v>
      </c>
      <c r="F258" s="13" t="s">
        <v>6095</v>
      </c>
      <c r="G258" s="14" t="s">
        <v>18</v>
      </c>
      <c r="H258" s="15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2.5" customHeight="1">
      <c r="A259" s="9">
        <v>257.0</v>
      </c>
      <c r="B259" s="11">
        <v>58.0</v>
      </c>
      <c r="C259" s="13" t="s">
        <v>6096</v>
      </c>
      <c r="D259" s="13" t="s">
        <v>6097</v>
      </c>
      <c r="E259" s="13" t="s">
        <v>6098</v>
      </c>
      <c r="F259" s="13" t="s">
        <v>6099</v>
      </c>
      <c r="G259" s="14" t="s">
        <v>18</v>
      </c>
      <c r="H259" s="15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2.5" customHeight="1">
      <c r="A260" s="9">
        <v>258.0</v>
      </c>
      <c r="B260" s="11">
        <v>58.0</v>
      </c>
      <c r="C260" s="13" t="s">
        <v>6100</v>
      </c>
      <c r="D260" s="13" t="s">
        <v>6101</v>
      </c>
      <c r="E260" s="13" t="s">
        <v>6102</v>
      </c>
      <c r="F260" s="13" t="s">
        <v>6103</v>
      </c>
      <c r="G260" s="15"/>
      <c r="H260" s="15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2.5" customHeight="1">
      <c r="A261" s="9">
        <v>259.0</v>
      </c>
      <c r="B261" s="11">
        <v>58.0</v>
      </c>
      <c r="C261" s="13" t="s">
        <v>6104</v>
      </c>
      <c r="D261" s="13" t="s">
        <v>6105</v>
      </c>
      <c r="E261" s="13" t="s">
        <v>6106</v>
      </c>
      <c r="F261" s="13" t="s">
        <v>6107</v>
      </c>
      <c r="G261" s="14" t="s">
        <v>18</v>
      </c>
      <c r="H261" s="15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2.5" customHeight="1">
      <c r="A262" s="9">
        <v>260.0</v>
      </c>
      <c r="B262" s="11">
        <v>58.0</v>
      </c>
      <c r="C262" s="13" t="s">
        <v>6108</v>
      </c>
      <c r="D262" s="13" t="s">
        <v>6109</v>
      </c>
      <c r="E262" s="13" t="s">
        <v>6110</v>
      </c>
      <c r="F262" s="13" t="s">
        <v>6111</v>
      </c>
      <c r="G262" s="15"/>
      <c r="H262" s="15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2.5" customHeight="1">
      <c r="A263" s="9">
        <v>261.0</v>
      </c>
      <c r="B263" s="11">
        <v>57.0</v>
      </c>
      <c r="C263" s="13" t="s">
        <v>6112</v>
      </c>
      <c r="D263" s="13" t="s">
        <v>6113</v>
      </c>
      <c r="E263" s="13" t="s">
        <v>1931</v>
      </c>
      <c r="F263" s="13" t="s">
        <v>6114</v>
      </c>
      <c r="G263" s="15"/>
      <c r="H263" s="15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2.5" customHeight="1">
      <c r="A264" s="9">
        <v>262.0</v>
      </c>
      <c r="B264" s="11">
        <v>57.0</v>
      </c>
      <c r="C264" s="13" t="s">
        <v>5544</v>
      </c>
      <c r="D264" s="13" t="s">
        <v>4890</v>
      </c>
      <c r="E264" s="13" t="s">
        <v>4888</v>
      </c>
      <c r="F264" s="13" t="s">
        <v>4889</v>
      </c>
      <c r="G264" s="14" t="s">
        <v>18</v>
      </c>
      <c r="H264" s="15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2.5" customHeight="1">
      <c r="A265" s="9">
        <v>263.0</v>
      </c>
      <c r="B265" s="11">
        <v>57.0</v>
      </c>
      <c r="C265" s="13" t="s">
        <v>6115</v>
      </c>
      <c r="D265" s="13" t="s">
        <v>6116</v>
      </c>
      <c r="E265" s="13" t="s">
        <v>6117</v>
      </c>
      <c r="F265" s="13" t="s">
        <v>6118</v>
      </c>
      <c r="G265" s="15"/>
      <c r="H265" s="15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2.5" customHeight="1">
      <c r="A266" s="9">
        <v>264.0</v>
      </c>
      <c r="B266" s="11">
        <v>57.0</v>
      </c>
      <c r="C266" s="13" t="s">
        <v>6119</v>
      </c>
      <c r="D266" s="13" t="s">
        <v>6120</v>
      </c>
      <c r="E266" s="13" t="s">
        <v>6121</v>
      </c>
      <c r="F266" s="13" t="s">
        <v>6122</v>
      </c>
      <c r="G266" s="14" t="s">
        <v>18</v>
      </c>
      <c r="H266" s="15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2.5" customHeight="1">
      <c r="A267" s="9">
        <v>265.0</v>
      </c>
      <c r="B267" s="11">
        <v>57.0</v>
      </c>
      <c r="C267" s="13" t="s">
        <v>6123</v>
      </c>
      <c r="D267" s="13" t="s">
        <v>6124</v>
      </c>
      <c r="E267" s="13" t="s">
        <v>6125</v>
      </c>
      <c r="F267" s="13" t="s">
        <v>6126</v>
      </c>
      <c r="G267" s="14" t="s">
        <v>18</v>
      </c>
      <c r="H267" s="15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2.5" customHeight="1">
      <c r="A268" s="9">
        <v>266.0</v>
      </c>
      <c r="B268" s="11">
        <v>56.0</v>
      </c>
      <c r="C268" s="13" t="s">
        <v>6127</v>
      </c>
      <c r="D268" s="13" t="s">
        <v>6128</v>
      </c>
      <c r="E268" s="13" t="s">
        <v>6129</v>
      </c>
      <c r="F268" s="13" t="s">
        <v>6130</v>
      </c>
      <c r="G268" s="14" t="s">
        <v>18</v>
      </c>
      <c r="H268" s="15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2.5" customHeight="1">
      <c r="A269" s="9">
        <v>267.0</v>
      </c>
      <c r="B269" s="11">
        <v>56.0</v>
      </c>
      <c r="C269" s="13" t="s">
        <v>6131</v>
      </c>
      <c r="D269" s="13" t="s">
        <v>6132</v>
      </c>
      <c r="E269" s="13" t="s">
        <v>6133</v>
      </c>
      <c r="F269" s="13" t="s">
        <v>6134</v>
      </c>
      <c r="G269" s="15"/>
      <c r="H269" s="15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2.5" customHeight="1">
      <c r="A270" s="9">
        <v>268.0</v>
      </c>
      <c r="B270" s="11">
        <v>56.0</v>
      </c>
      <c r="C270" s="13" t="s">
        <v>6135</v>
      </c>
      <c r="D270" s="13" t="s">
        <v>6136</v>
      </c>
      <c r="E270" s="13" t="s">
        <v>6137</v>
      </c>
      <c r="F270" s="13" t="s">
        <v>6138</v>
      </c>
      <c r="G270" s="15"/>
      <c r="H270" s="15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2.5" customHeight="1">
      <c r="A271" s="9">
        <v>269.0</v>
      </c>
      <c r="B271" s="11">
        <v>56.0</v>
      </c>
      <c r="C271" s="13" t="s">
        <v>6139</v>
      </c>
      <c r="D271" s="13" t="s">
        <v>6140</v>
      </c>
      <c r="E271" s="13" t="s">
        <v>6141</v>
      </c>
      <c r="F271" s="13" t="s">
        <v>6142</v>
      </c>
      <c r="G271" s="15"/>
      <c r="H271" s="15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2.5" customHeight="1">
      <c r="A272" s="9">
        <v>270.0</v>
      </c>
      <c r="B272" s="11">
        <v>56.0</v>
      </c>
      <c r="C272" s="13" t="s">
        <v>6143</v>
      </c>
      <c r="D272" s="13" t="s">
        <v>6144</v>
      </c>
      <c r="E272" s="13" t="s">
        <v>6018</v>
      </c>
      <c r="F272" s="13" t="s">
        <v>6021</v>
      </c>
      <c r="G272" s="14" t="s">
        <v>18</v>
      </c>
      <c r="H272" s="15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2.5" customHeight="1">
      <c r="A273" s="9">
        <v>271.0</v>
      </c>
      <c r="B273" s="11">
        <v>55.0</v>
      </c>
      <c r="C273" s="13" t="s">
        <v>6145</v>
      </c>
      <c r="D273" s="13" t="s">
        <v>6146</v>
      </c>
      <c r="E273" s="13" t="s">
        <v>6147</v>
      </c>
      <c r="F273" s="13" t="s">
        <v>6148</v>
      </c>
      <c r="G273" s="9" t="s">
        <v>18</v>
      </c>
      <c r="H273" s="15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2.5" customHeight="1">
      <c r="A274" s="9">
        <v>272.0</v>
      </c>
      <c r="B274" s="11">
        <v>55.0</v>
      </c>
      <c r="C274" s="13" t="s">
        <v>6149</v>
      </c>
      <c r="D274" s="13" t="s">
        <v>6150</v>
      </c>
      <c r="E274" s="13" t="s">
        <v>6151</v>
      </c>
      <c r="F274" s="13" t="s">
        <v>6152</v>
      </c>
      <c r="G274" s="9" t="s">
        <v>18</v>
      </c>
      <c r="H274" s="15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2.5" customHeight="1">
      <c r="A275" s="9">
        <v>273.0</v>
      </c>
      <c r="B275" s="11">
        <v>55.0</v>
      </c>
      <c r="C275" s="13" t="s">
        <v>6153</v>
      </c>
      <c r="D275" s="13" t="s">
        <v>6154</v>
      </c>
      <c r="E275" s="13" t="s">
        <v>6155</v>
      </c>
      <c r="F275" s="13" t="s">
        <v>4862</v>
      </c>
      <c r="G275" s="44"/>
      <c r="H275" s="15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2.5" customHeight="1">
      <c r="A276" s="9">
        <v>274.0</v>
      </c>
      <c r="B276" s="11">
        <v>55.0</v>
      </c>
      <c r="C276" s="13" t="s">
        <v>6156</v>
      </c>
      <c r="D276" s="13" t="s">
        <v>6157</v>
      </c>
      <c r="E276" s="13" t="s">
        <v>6158</v>
      </c>
      <c r="F276" s="13" t="s">
        <v>6159</v>
      </c>
      <c r="G276" s="44"/>
      <c r="H276" s="15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2.5" customHeight="1">
      <c r="A277" s="9">
        <v>275.0</v>
      </c>
      <c r="B277" s="11">
        <v>55.0</v>
      </c>
      <c r="C277" s="13" t="s">
        <v>6160</v>
      </c>
      <c r="D277" s="13" t="s">
        <v>6161</v>
      </c>
      <c r="E277" s="13" t="s">
        <v>5173</v>
      </c>
      <c r="F277" s="13" t="s">
        <v>5174</v>
      </c>
      <c r="G277" s="9" t="s">
        <v>18</v>
      </c>
      <c r="H277" s="15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2.5" customHeight="1">
      <c r="A278" s="9">
        <v>276.0</v>
      </c>
      <c r="B278" s="11">
        <v>54.0</v>
      </c>
      <c r="C278" s="13" t="s">
        <v>6162</v>
      </c>
      <c r="D278" s="13" t="s">
        <v>5926</v>
      </c>
      <c r="E278" s="13" t="s">
        <v>5927</v>
      </c>
      <c r="F278" s="13" t="s">
        <v>5928</v>
      </c>
      <c r="G278" s="39"/>
      <c r="H278" s="15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2.5" customHeight="1">
      <c r="A279" s="9">
        <v>277.0</v>
      </c>
      <c r="B279" s="11">
        <v>54.0</v>
      </c>
      <c r="C279" s="13" t="s">
        <v>6163</v>
      </c>
      <c r="D279" s="13" t="s">
        <v>6164</v>
      </c>
      <c r="E279" s="13" t="s">
        <v>6165</v>
      </c>
      <c r="F279" s="13" t="s">
        <v>6166</v>
      </c>
      <c r="G279" s="39"/>
      <c r="H279" s="15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2.5" customHeight="1">
      <c r="A280" s="9">
        <v>278.0</v>
      </c>
      <c r="B280" s="11">
        <v>54.0</v>
      </c>
      <c r="C280" s="13" t="s">
        <v>6167</v>
      </c>
      <c r="D280" s="13" t="s">
        <v>6168</v>
      </c>
      <c r="E280" s="13" t="s">
        <v>6169</v>
      </c>
      <c r="F280" s="13" t="s">
        <v>6170</v>
      </c>
      <c r="G280" s="11" t="s">
        <v>18</v>
      </c>
      <c r="H280" s="15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2.5" customHeight="1">
      <c r="A281" s="9">
        <v>279.0</v>
      </c>
      <c r="B281" s="11">
        <v>54.0</v>
      </c>
      <c r="C281" s="13" t="s">
        <v>6171</v>
      </c>
      <c r="D281" s="13" t="s">
        <v>6172</v>
      </c>
      <c r="E281" s="13" t="s">
        <v>6173</v>
      </c>
      <c r="F281" s="13" t="s">
        <v>6174</v>
      </c>
      <c r="G281" s="39"/>
      <c r="H281" s="15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2.5" customHeight="1">
      <c r="A282" s="9">
        <v>280.0</v>
      </c>
      <c r="B282" s="11">
        <v>54.0</v>
      </c>
      <c r="C282" s="13" t="s">
        <v>6175</v>
      </c>
      <c r="D282" s="13" t="s">
        <v>6176</v>
      </c>
      <c r="E282" s="13" t="s">
        <v>6177</v>
      </c>
      <c r="F282" s="13" t="s">
        <v>6178</v>
      </c>
      <c r="G282" s="11" t="s">
        <v>18</v>
      </c>
      <c r="H282" s="15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2.5" customHeight="1">
      <c r="A283" s="9">
        <v>281.0</v>
      </c>
      <c r="B283" s="11">
        <v>53.0</v>
      </c>
      <c r="C283" s="13" t="s">
        <v>6179</v>
      </c>
      <c r="D283" s="13" t="s">
        <v>5130</v>
      </c>
      <c r="E283" s="13" t="s">
        <v>5128</v>
      </c>
      <c r="F283" s="13" t="s">
        <v>5129</v>
      </c>
      <c r="G283" s="11" t="s">
        <v>18</v>
      </c>
      <c r="H283" s="15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2.5" customHeight="1">
      <c r="A284" s="9">
        <v>282.0</v>
      </c>
      <c r="B284" s="11">
        <v>53.0</v>
      </c>
      <c r="C284" s="13" t="s">
        <v>6180</v>
      </c>
      <c r="D284" s="13" t="s">
        <v>6181</v>
      </c>
      <c r="E284" s="13" t="s">
        <v>6182</v>
      </c>
      <c r="F284" s="13" t="s">
        <v>6183</v>
      </c>
      <c r="G284" s="11" t="s">
        <v>18</v>
      </c>
      <c r="H284" s="15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2.5" customHeight="1">
      <c r="A285" s="9">
        <v>283.0</v>
      </c>
      <c r="B285" s="11">
        <v>53.0</v>
      </c>
      <c r="C285" s="13" t="s">
        <v>5310</v>
      </c>
      <c r="D285" s="13" t="s">
        <v>6184</v>
      </c>
      <c r="E285" s="13" t="s">
        <v>4635</v>
      </c>
      <c r="F285" s="13" t="s">
        <v>4636</v>
      </c>
      <c r="G285" s="11" t="s">
        <v>18</v>
      </c>
      <c r="H285" s="15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2.5" customHeight="1">
      <c r="A286" s="9">
        <v>284.0</v>
      </c>
      <c r="B286" s="11">
        <v>53.0</v>
      </c>
      <c r="C286" s="13" t="s">
        <v>6185</v>
      </c>
      <c r="D286" s="13" t="s">
        <v>6186</v>
      </c>
      <c r="E286" s="13" t="s">
        <v>6187</v>
      </c>
      <c r="F286" s="13" t="s">
        <v>6188</v>
      </c>
      <c r="G286" s="11" t="s">
        <v>18</v>
      </c>
      <c r="H286" s="15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2.5" customHeight="1">
      <c r="A287" s="9">
        <v>285.0</v>
      </c>
      <c r="B287" s="11">
        <v>53.0</v>
      </c>
      <c r="C287" s="13" t="s">
        <v>6189</v>
      </c>
      <c r="D287" s="13" t="s">
        <v>6190</v>
      </c>
      <c r="E287" s="13" t="s">
        <v>6191</v>
      </c>
      <c r="F287" s="13" t="s">
        <v>6192</v>
      </c>
      <c r="G287" s="11" t="s">
        <v>18</v>
      </c>
      <c r="H287" s="15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2.5" customHeight="1">
      <c r="A288" s="9">
        <v>286.0</v>
      </c>
      <c r="B288" s="11">
        <v>52.0</v>
      </c>
      <c r="C288" s="13" t="s">
        <v>5540</v>
      </c>
      <c r="D288" s="13" t="s">
        <v>6193</v>
      </c>
      <c r="E288" s="13" t="s">
        <v>5542</v>
      </c>
      <c r="F288" s="13" t="s">
        <v>5543</v>
      </c>
      <c r="G288" s="11" t="s">
        <v>18</v>
      </c>
      <c r="H288" s="15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2.5" customHeight="1">
      <c r="A289" s="9">
        <v>287.0</v>
      </c>
      <c r="B289" s="11">
        <v>52.0</v>
      </c>
      <c r="C289" s="13" t="s">
        <v>6194</v>
      </c>
      <c r="D289" s="13" t="s">
        <v>6195</v>
      </c>
      <c r="E289" s="13" t="s">
        <v>6196</v>
      </c>
      <c r="F289" s="13" t="s">
        <v>6197</v>
      </c>
      <c r="G289" s="11" t="s">
        <v>18</v>
      </c>
      <c r="H289" s="14" t="s">
        <v>18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2.5" customHeight="1">
      <c r="A290" s="9">
        <v>288.0</v>
      </c>
      <c r="B290" s="11">
        <v>52.0</v>
      </c>
      <c r="C290" s="13" t="s">
        <v>6198</v>
      </c>
      <c r="D290" s="13" t="s">
        <v>6199</v>
      </c>
      <c r="E290" s="13" t="s">
        <v>6200</v>
      </c>
      <c r="F290" s="13" t="s">
        <v>6201</v>
      </c>
      <c r="G290" s="39"/>
      <c r="H290" s="15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2.5" customHeight="1">
      <c r="A291" s="9">
        <v>289.0</v>
      </c>
      <c r="B291" s="11">
        <v>52.0</v>
      </c>
      <c r="C291" s="13" t="s">
        <v>6202</v>
      </c>
      <c r="D291" s="13" t="s">
        <v>6203</v>
      </c>
      <c r="E291" s="13" t="s">
        <v>6204</v>
      </c>
      <c r="F291" s="13" t="s">
        <v>6205</v>
      </c>
      <c r="G291" s="39"/>
      <c r="H291" s="15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2.5" customHeight="1">
      <c r="A292" s="9">
        <v>290.0</v>
      </c>
      <c r="B292" s="11">
        <v>52.0</v>
      </c>
      <c r="C292" s="13" t="s">
        <v>6206</v>
      </c>
      <c r="D292" s="13" t="s">
        <v>6207</v>
      </c>
      <c r="E292" s="13" t="s">
        <v>6208</v>
      </c>
      <c r="F292" s="13" t="s">
        <v>4618</v>
      </c>
      <c r="G292" s="39"/>
      <c r="H292" s="15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2.5" customHeight="1">
      <c r="A293" s="9">
        <v>291.0</v>
      </c>
      <c r="B293" s="11">
        <v>51.0</v>
      </c>
      <c r="C293" s="13" t="s">
        <v>6209</v>
      </c>
      <c r="D293" s="13" t="s">
        <v>5341</v>
      </c>
      <c r="E293" s="13" t="s">
        <v>5342</v>
      </c>
      <c r="F293" s="13" t="s">
        <v>5343</v>
      </c>
      <c r="G293" s="39"/>
      <c r="H293" s="15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2.5" customHeight="1">
      <c r="A294" s="9">
        <v>292.0</v>
      </c>
      <c r="B294" s="11">
        <v>51.0</v>
      </c>
      <c r="C294" s="13" t="s">
        <v>6210</v>
      </c>
      <c r="D294" s="13" t="s">
        <v>6211</v>
      </c>
      <c r="E294" s="13" t="s">
        <v>6212</v>
      </c>
      <c r="F294" s="13" t="s">
        <v>6213</v>
      </c>
      <c r="G294" s="11" t="s">
        <v>18</v>
      </c>
      <c r="H294" s="15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2.5" customHeight="1">
      <c r="A295" s="9">
        <v>293.0</v>
      </c>
      <c r="B295" s="11">
        <v>51.0</v>
      </c>
      <c r="C295" s="13" t="s">
        <v>6214</v>
      </c>
      <c r="D295" s="13" t="s">
        <v>6215</v>
      </c>
      <c r="E295" s="13" t="s">
        <v>6216</v>
      </c>
      <c r="F295" s="13" t="s">
        <v>6217</v>
      </c>
      <c r="G295" s="39"/>
      <c r="H295" s="15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2.5" customHeight="1">
      <c r="A296" s="9">
        <v>294.0</v>
      </c>
      <c r="B296" s="11">
        <v>51.0</v>
      </c>
      <c r="C296" s="13" t="s">
        <v>6077</v>
      </c>
      <c r="D296" s="13" t="s">
        <v>6218</v>
      </c>
      <c r="E296" s="13" t="s">
        <v>6079</v>
      </c>
      <c r="F296" s="13" t="s">
        <v>5788</v>
      </c>
      <c r="G296" s="39"/>
      <c r="H296" s="15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2.5" customHeight="1">
      <c r="A297" s="9">
        <v>295.0</v>
      </c>
      <c r="B297" s="11">
        <v>51.0</v>
      </c>
      <c r="C297" s="13" t="s">
        <v>5688</v>
      </c>
      <c r="D297" s="13" t="s">
        <v>6219</v>
      </c>
      <c r="E297" s="13" t="s">
        <v>5690</v>
      </c>
      <c r="F297" s="13" t="s">
        <v>5691</v>
      </c>
      <c r="G297" s="39"/>
      <c r="H297" s="15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2.5" customHeight="1">
      <c r="A298" s="9">
        <v>296.0</v>
      </c>
      <c r="B298" s="11">
        <v>50.0</v>
      </c>
      <c r="C298" s="21" t="s">
        <v>6220</v>
      </c>
      <c r="D298" s="21" t="s">
        <v>6221</v>
      </c>
      <c r="E298" s="21" t="s">
        <v>6222</v>
      </c>
      <c r="F298" s="21" t="s">
        <v>6223</v>
      </c>
      <c r="G298" s="26"/>
      <c r="H298" s="15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2.5" customHeight="1">
      <c r="A299" s="9">
        <v>297.0</v>
      </c>
      <c r="B299" s="11">
        <v>50.0</v>
      </c>
      <c r="C299" s="21" t="s">
        <v>5497</v>
      </c>
      <c r="D299" s="21" t="s">
        <v>5498</v>
      </c>
      <c r="E299" s="21" t="s">
        <v>5499</v>
      </c>
      <c r="F299" s="21" t="s">
        <v>5500</v>
      </c>
      <c r="G299" s="26"/>
      <c r="H299" s="15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2.5" customHeight="1">
      <c r="A300" s="9">
        <v>298.0</v>
      </c>
      <c r="B300" s="11">
        <v>50.0</v>
      </c>
      <c r="C300" s="21" t="s">
        <v>6224</v>
      </c>
      <c r="D300" s="21" t="s">
        <v>6225</v>
      </c>
      <c r="E300" s="21" t="s">
        <v>6226</v>
      </c>
      <c r="F300" s="21" t="s">
        <v>6227</v>
      </c>
      <c r="G300" s="26"/>
      <c r="H300" s="15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2.5" customHeight="1">
      <c r="A301" s="9">
        <v>299.0</v>
      </c>
      <c r="B301" s="11">
        <v>50.0</v>
      </c>
      <c r="C301" s="21" t="s">
        <v>6228</v>
      </c>
      <c r="D301" s="21" t="s">
        <v>6229</v>
      </c>
      <c r="E301" s="21" t="s">
        <v>6230</v>
      </c>
      <c r="F301" s="21" t="s">
        <v>6231</v>
      </c>
      <c r="G301" s="23" t="s">
        <v>18</v>
      </c>
      <c r="H301" s="15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2.5" customHeight="1">
      <c r="A302" s="9">
        <v>300.0</v>
      </c>
      <c r="B302" s="11">
        <v>50.0</v>
      </c>
      <c r="C302" s="21" t="s">
        <v>6232</v>
      </c>
      <c r="D302" s="21" t="s">
        <v>6233</v>
      </c>
      <c r="E302" s="21" t="s">
        <v>6234</v>
      </c>
      <c r="F302" s="21" t="s">
        <v>6235</v>
      </c>
      <c r="G302" s="26"/>
      <c r="H302" s="15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2.5" customHeight="1">
      <c r="A303" s="9">
        <v>301.0</v>
      </c>
      <c r="B303" s="11">
        <v>49.0</v>
      </c>
      <c r="C303" s="21" t="s">
        <v>6236</v>
      </c>
      <c r="D303" s="21" t="s">
        <v>6237</v>
      </c>
      <c r="E303" s="21" t="s">
        <v>6238</v>
      </c>
      <c r="F303" s="21" t="s">
        <v>6239</v>
      </c>
      <c r="G303" s="27"/>
      <c r="H303" s="15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2.5" customHeight="1">
      <c r="A304" s="9">
        <v>302.0</v>
      </c>
      <c r="B304" s="11">
        <v>49.0</v>
      </c>
      <c r="C304" s="21" t="s">
        <v>6240</v>
      </c>
      <c r="D304" s="21" t="s">
        <v>6241</v>
      </c>
      <c r="E304" s="21" t="s">
        <v>6242</v>
      </c>
      <c r="F304" s="21" t="s">
        <v>6243</v>
      </c>
      <c r="G304" s="27"/>
      <c r="H304" s="15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2.5" customHeight="1">
      <c r="A305" s="9">
        <v>303.0</v>
      </c>
      <c r="B305" s="11">
        <v>49.0</v>
      </c>
      <c r="C305" s="21" t="s">
        <v>6244</v>
      </c>
      <c r="D305" s="21" t="s">
        <v>6245</v>
      </c>
      <c r="E305" s="21" t="s">
        <v>6246</v>
      </c>
      <c r="F305" s="21" t="s">
        <v>5539</v>
      </c>
      <c r="G305" s="27"/>
      <c r="H305" s="15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2.5" customHeight="1">
      <c r="A306" s="9">
        <v>304.0</v>
      </c>
      <c r="B306" s="11">
        <v>49.0</v>
      </c>
      <c r="C306" s="21" t="s">
        <v>6247</v>
      </c>
      <c r="D306" s="21" t="s">
        <v>6248</v>
      </c>
      <c r="E306" s="21" t="s">
        <v>6249</v>
      </c>
      <c r="F306" s="21" t="s">
        <v>6250</v>
      </c>
      <c r="G306" s="27"/>
      <c r="H306" s="15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2.5" customHeight="1">
      <c r="A307" s="9">
        <v>305.0</v>
      </c>
      <c r="B307" s="11">
        <v>49.0</v>
      </c>
      <c r="C307" s="21" t="s">
        <v>6251</v>
      </c>
      <c r="D307" s="21" t="s">
        <v>6252</v>
      </c>
      <c r="E307" s="21" t="s">
        <v>6253</v>
      </c>
      <c r="F307" s="21" t="s">
        <v>6254</v>
      </c>
      <c r="G307" s="24" t="s">
        <v>18</v>
      </c>
      <c r="H307" s="15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2.5" customHeight="1">
      <c r="A308" s="9">
        <v>306.0</v>
      </c>
      <c r="B308" s="11">
        <v>48.0</v>
      </c>
      <c r="C308" s="21" t="s">
        <v>6255</v>
      </c>
      <c r="D308" s="21" t="s">
        <v>6256</v>
      </c>
      <c r="E308" s="21" t="s">
        <v>6257</v>
      </c>
      <c r="F308" s="21" t="s">
        <v>6258</v>
      </c>
      <c r="G308" s="27"/>
      <c r="H308" s="15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2.5" customHeight="1">
      <c r="A309" s="9">
        <v>307.0</v>
      </c>
      <c r="B309" s="11">
        <v>48.0</v>
      </c>
      <c r="C309" s="21" t="s">
        <v>6259</v>
      </c>
      <c r="D309" s="21" t="s">
        <v>6260</v>
      </c>
      <c r="E309" s="21" t="s">
        <v>6261</v>
      </c>
      <c r="F309" s="21" t="s">
        <v>6262</v>
      </c>
      <c r="G309" s="27"/>
      <c r="H309" s="15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2.5" customHeight="1">
      <c r="A310" s="9">
        <v>308.0</v>
      </c>
      <c r="B310" s="11">
        <v>48.0</v>
      </c>
      <c r="C310" s="21" t="s">
        <v>6263</v>
      </c>
      <c r="D310" s="21" t="s">
        <v>6264</v>
      </c>
      <c r="E310" s="21" t="s">
        <v>6265</v>
      </c>
      <c r="F310" s="21" t="s">
        <v>6266</v>
      </c>
      <c r="G310" s="27"/>
      <c r="H310" s="15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2.5" customHeight="1">
      <c r="A311" s="9">
        <v>309.0</v>
      </c>
      <c r="B311" s="11">
        <v>48.0</v>
      </c>
      <c r="C311" s="21" t="s">
        <v>6267</v>
      </c>
      <c r="D311" s="21" t="s">
        <v>6268</v>
      </c>
      <c r="E311" s="21" t="s">
        <v>6269</v>
      </c>
      <c r="F311" s="21" t="s">
        <v>6270</v>
      </c>
      <c r="G311" s="24" t="s">
        <v>18</v>
      </c>
      <c r="H311" s="15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2.5" customHeight="1">
      <c r="A312" s="9">
        <v>310.0</v>
      </c>
      <c r="B312" s="11">
        <v>48.0</v>
      </c>
      <c r="C312" s="21" t="s">
        <v>6271</v>
      </c>
      <c r="D312" s="21" t="s">
        <v>6272</v>
      </c>
      <c r="E312" s="21" t="s">
        <v>6273</v>
      </c>
      <c r="F312" s="21" t="s">
        <v>6274</v>
      </c>
      <c r="G312" s="27"/>
      <c r="H312" s="15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2.5" customHeight="1">
      <c r="A313" s="9">
        <v>311.0</v>
      </c>
      <c r="B313" s="11">
        <v>47.0</v>
      </c>
      <c r="C313" s="21" t="s">
        <v>6275</v>
      </c>
      <c r="D313" s="21" t="s">
        <v>6276</v>
      </c>
      <c r="E313" s="21" t="s">
        <v>6277</v>
      </c>
      <c r="F313" s="21" t="s">
        <v>6278</v>
      </c>
      <c r="G313" s="23" t="s">
        <v>18</v>
      </c>
      <c r="H313" s="15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2.5" customHeight="1">
      <c r="A314" s="9">
        <v>312.0</v>
      </c>
      <c r="B314" s="11">
        <v>47.0</v>
      </c>
      <c r="C314" s="21" t="s">
        <v>6279</v>
      </c>
      <c r="D314" s="21" t="s">
        <v>6280</v>
      </c>
      <c r="E314" s="21" t="s">
        <v>6281</v>
      </c>
      <c r="F314" s="21" t="s">
        <v>6282</v>
      </c>
      <c r="G314" s="23" t="s">
        <v>18</v>
      </c>
      <c r="H314" s="15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2.5" customHeight="1">
      <c r="A315" s="9">
        <v>313.0</v>
      </c>
      <c r="B315" s="11">
        <v>47.0</v>
      </c>
      <c r="C315" s="21" t="s">
        <v>6283</v>
      </c>
      <c r="D315" s="21" t="s">
        <v>6284</v>
      </c>
      <c r="E315" s="21" t="s">
        <v>6285</v>
      </c>
      <c r="F315" s="21" t="s">
        <v>6286</v>
      </c>
      <c r="G315" s="26"/>
      <c r="H315" s="15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2.5" customHeight="1">
      <c r="A316" s="9">
        <v>314.0</v>
      </c>
      <c r="B316" s="11">
        <v>47.0</v>
      </c>
      <c r="C316" s="21" t="s">
        <v>6287</v>
      </c>
      <c r="D316" s="21" t="s">
        <v>6288</v>
      </c>
      <c r="E316" s="21" t="s">
        <v>6289</v>
      </c>
      <c r="F316" s="21" t="s">
        <v>6290</v>
      </c>
      <c r="G316" s="26"/>
      <c r="H316" s="15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2.5" customHeight="1">
      <c r="A317" s="9">
        <v>315.0</v>
      </c>
      <c r="B317" s="11">
        <v>47.0</v>
      </c>
      <c r="C317" s="21" t="s">
        <v>6291</v>
      </c>
      <c r="D317" s="21" t="s">
        <v>5926</v>
      </c>
      <c r="E317" s="21" t="s">
        <v>5927</v>
      </c>
      <c r="F317" s="21" t="s">
        <v>5928</v>
      </c>
      <c r="G317" s="26"/>
      <c r="H317" s="15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2.5" customHeight="1">
      <c r="A318" s="9">
        <v>316.0</v>
      </c>
      <c r="B318" s="11">
        <v>46.0</v>
      </c>
      <c r="C318" s="21" t="s">
        <v>6292</v>
      </c>
      <c r="D318" s="21" t="s">
        <v>6293</v>
      </c>
      <c r="E318" s="21" t="s">
        <v>5499</v>
      </c>
      <c r="F318" s="21" t="s">
        <v>5500</v>
      </c>
      <c r="G318" s="27"/>
      <c r="H318" s="15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2.5" customHeight="1">
      <c r="A319" s="9">
        <v>317.0</v>
      </c>
      <c r="B319" s="11">
        <v>46.0</v>
      </c>
      <c r="C319" s="21" t="s">
        <v>6294</v>
      </c>
      <c r="D319" s="21" t="s">
        <v>6295</v>
      </c>
      <c r="E319" s="21" t="s">
        <v>6296</v>
      </c>
      <c r="F319" s="21" t="s">
        <v>6297</v>
      </c>
      <c r="G319" s="24" t="s">
        <v>18</v>
      </c>
      <c r="H319" s="15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2.5" customHeight="1">
      <c r="A320" s="9">
        <v>318.0</v>
      </c>
      <c r="B320" s="11">
        <v>46.0</v>
      </c>
      <c r="C320" s="21" t="s">
        <v>6298</v>
      </c>
      <c r="D320" s="21" t="s">
        <v>6299</v>
      </c>
      <c r="E320" s="21" t="s">
        <v>6300</v>
      </c>
      <c r="F320" s="21" t="s">
        <v>5809</v>
      </c>
      <c r="G320" s="27"/>
      <c r="H320" s="15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2.5" customHeight="1">
      <c r="A321" s="9">
        <v>319.0</v>
      </c>
      <c r="B321" s="11">
        <v>46.0</v>
      </c>
      <c r="C321" s="21" t="s">
        <v>6301</v>
      </c>
      <c r="D321" s="21" t="s">
        <v>6302</v>
      </c>
      <c r="E321" s="21" t="s">
        <v>6303</v>
      </c>
      <c r="F321" s="21" t="s">
        <v>6304</v>
      </c>
      <c r="G321" s="27"/>
      <c r="H321" s="15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2.5" customHeight="1">
      <c r="A322" s="9">
        <v>320.0</v>
      </c>
      <c r="B322" s="11">
        <v>46.0</v>
      </c>
      <c r="C322" s="21" t="s">
        <v>6305</v>
      </c>
      <c r="D322" s="21" t="s">
        <v>6306</v>
      </c>
      <c r="E322" s="21" t="s">
        <v>6307</v>
      </c>
      <c r="F322" s="21" t="s">
        <v>6308</v>
      </c>
      <c r="G322" s="24" t="s">
        <v>18</v>
      </c>
      <c r="H322" s="15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2.5" customHeight="1">
      <c r="A323" s="9">
        <v>321.0</v>
      </c>
      <c r="B323" s="11">
        <v>45.0</v>
      </c>
      <c r="C323" s="21" t="s">
        <v>6309</v>
      </c>
      <c r="D323" s="21" t="s">
        <v>6310</v>
      </c>
      <c r="E323" s="21" t="s">
        <v>6311</v>
      </c>
      <c r="F323" s="21" t="s">
        <v>6312</v>
      </c>
      <c r="G323" s="27"/>
      <c r="H323" s="15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2.5" customHeight="1">
      <c r="A324" s="9">
        <v>322.0</v>
      </c>
      <c r="B324" s="11">
        <v>45.0</v>
      </c>
      <c r="C324" s="21" t="s">
        <v>6313</v>
      </c>
      <c r="D324" s="21" t="s">
        <v>6314</v>
      </c>
      <c r="E324" s="21" t="s">
        <v>5921</v>
      </c>
      <c r="F324" s="21" t="s">
        <v>5922</v>
      </c>
      <c r="G324" s="27"/>
      <c r="H324" s="15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2.5" customHeight="1">
      <c r="A325" s="9">
        <v>323.0</v>
      </c>
      <c r="B325" s="11">
        <v>45.0</v>
      </c>
      <c r="C325" s="21" t="s">
        <v>6315</v>
      </c>
      <c r="D325" s="21" t="s">
        <v>6316</v>
      </c>
      <c r="E325" s="21" t="s">
        <v>6317</v>
      </c>
      <c r="F325" s="21" t="s">
        <v>6318</v>
      </c>
      <c r="G325" s="24" t="s">
        <v>18</v>
      </c>
      <c r="H325" s="15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2.5" customHeight="1">
      <c r="A326" s="9">
        <v>324.0</v>
      </c>
      <c r="B326" s="11">
        <v>45.0</v>
      </c>
      <c r="C326" s="21" t="s">
        <v>6319</v>
      </c>
      <c r="D326" s="21" t="s">
        <v>6320</v>
      </c>
      <c r="E326" s="21" t="s">
        <v>6321</v>
      </c>
      <c r="F326" s="21" t="s">
        <v>5258</v>
      </c>
      <c r="G326" s="27"/>
      <c r="H326" s="15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2.5" customHeight="1">
      <c r="A327" s="9">
        <v>325.0</v>
      </c>
      <c r="B327" s="11">
        <v>45.0</v>
      </c>
      <c r="C327" s="21" t="s">
        <v>5802</v>
      </c>
      <c r="D327" s="21" t="s">
        <v>6322</v>
      </c>
      <c r="E327" s="21" t="s">
        <v>5804</v>
      </c>
      <c r="F327" s="21" t="s">
        <v>5805</v>
      </c>
      <c r="G327" s="27"/>
      <c r="H327" s="15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2.5" customHeight="1">
      <c r="A328" s="9">
        <v>326.0</v>
      </c>
      <c r="B328" s="11">
        <v>44.0</v>
      </c>
      <c r="C328" s="21" t="s">
        <v>6323</v>
      </c>
      <c r="D328" s="21" t="s">
        <v>6324</v>
      </c>
      <c r="E328" s="21" t="s">
        <v>6325</v>
      </c>
      <c r="F328" s="21" t="s">
        <v>6326</v>
      </c>
      <c r="G328" s="27"/>
      <c r="H328" s="15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2.5" customHeight="1">
      <c r="A329" s="9">
        <v>327.0</v>
      </c>
      <c r="B329" s="11">
        <v>44.0</v>
      </c>
      <c r="C329" s="21" t="s">
        <v>5833</v>
      </c>
      <c r="D329" s="21" t="s">
        <v>6327</v>
      </c>
      <c r="E329" s="21" t="s">
        <v>5796</v>
      </c>
      <c r="F329" s="21" t="s">
        <v>5797</v>
      </c>
      <c r="G329" s="27"/>
      <c r="H329" s="15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2.5" customHeight="1">
      <c r="A330" s="9">
        <v>328.0</v>
      </c>
      <c r="B330" s="11">
        <v>44.0</v>
      </c>
      <c r="C330" s="21" t="s">
        <v>6328</v>
      </c>
      <c r="D330" s="21" t="s">
        <v>6329</v>
      </c>
      <c r="E330" s="21" t="s">
        <v>6330</v>
      </c>
      <c r="F330" s="21" t="s">
        <v>5801</v>
      </c>
      <c r="G330" s="27"/>
      <c r="H330" s="15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2.5" customHeight="1">
      <c r="A331" s="9">
        <v>329.0</v>
      </c>
      <c r="B331" s="11">
        <v>44.0</v>
      </c>
      <c r="C331" s="21" t="s">
        <v>5760</v>
      </c>
      <c r="D331" s="21" t="s">
        <v>4555</v>
      </c>
      <c r="E331" s="21" t="s">
        <v>4553</v>
      </c>
      <c r="F331" s="21" t="s">
        <v>4554</v>
      </c>
      <c r="G331" s="27"/>
      <c r="H331" s="15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2.5" customHeight="1">
      <c r="A332" s="9">
        <v>330.0</v>
      </c>
      <c r="B332" s="11">
        <v>44.0</v>
      </c>
      <c r="C332" s="21" t="s">
        <v>6331</v>
      </c>
      <c r="D332" s="21" t="s">
        <v>6332</v>
      </c>
      <c r="E332" s="21" t="s">
        <v>6333</v>
      </c>
      <c r="F332" s="21" t="s">
        <v>6334</v>
      </c>
      <c r="G332" s="27"/>
      <c r="H332" s="15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2.5" customHeight="1">
      <c r="A333" s="9">
        <v>331.0</v>
      </c>
      <c r="B333" s="11">
        <v>43.0</v>
      </c>
      <c r="C333" s="21" t="s">
        <v>6335</v>
      </c>
      <c r="D333" s="21" t="s">
        <v>6336</v>
      </c>
      <c r="E333" s="21" t="s">
        <v>6337</v>
      </c>
      <c r="F333" s="21" t="s">
        <v>6338</v>
      </c>
      <c r="G333" s="27"/>
      <c r="H333" s="15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2.5" customHeight="1">
      <c r="A334" s="9">
        <v>332.0</v>
      </c>
      <c r="B334" s="11">
        <v>43.0</v>
      </c>
      <c r="C334" s="21" t="s">
        <v>6339</v>
      </c>
      <c r="D334" s="21" t="s">
        <v>6340</v>
      </c>
      <c r="E334" s="21" t="s">
        <v>6341</v>
      </c>
      <c r="F334" s="21" t="s">
        <v>6342</v>
      </c>
      <c r="G334" s="27"/>
      <c r="H334" s="15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2.5" customHeight="1">
      <c r="A335" s="9">
        <v>333.0</v>
      </c>
      <c r="B335" s="11">
        <v>43.0</v>
      </c>
      <c r="C335" s="21" t="s">
        <v>6343</v>
      </c>
      <c r="D335" s="21" t="s">
        <v>6344</v>
      </c>
      <c r="E335" s="21" t="s">
        <v>6345</v>
      </c>
      <c r="F335" s="21" t="s">
        <v>6346</v>
      </c>
      <c r="G335" s="24" t="s">
        <v>18</v>
      </c>
      <c r="H335" s="15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2.5" customHeight="1">
      <c r="A336" s="9">
        <v>334.0</v>
      </c>
      <c r="B336" s="11">
        <v>43.0</v>
      </c>
      <c r="C336" s="21" t="s">
        <v>5688</v>
      </c>
      <c r="D336" s="21" t="s">
        <v>6347</v>
      </c>
      <c r="E336" s="21" t="s">
        <v>5690</v>
      </c>
      <c r="F336" s="21" t="s">
        <v>5691</v>
      </c>
      <c r="G336" s="27"/>
      <c r="H336" s="15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2.5" customHeight="1">
      <c r="A337" s="9">
        <v>335.0</v>
      </c>
      <c r="B337" s="11">
        <v>43.0</v>
      </c>
      <c r="C337" s="21" t="s">
        <v>6348</v>
      </c>
      <c r="D337" s="21" t="s">
        <v>5915</v>
      </c>
      <c r="E337" s="21" t="s">
        <v>5916</v>
      </c>
      <c r="F337" s="21" t="s">
        <v>5917</v>
      </c>
      <c r="G337" s="24" t="s">
        <v>18</v>
      </c>
      <c r="H337" s="15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2.5" customHeight="1">
      <c r="A338" s="9">
        <v>336.0</v>
      </c>
      <c r="B338" s="11">
        <v>42.0</v>
      </c>
      <c r="C338" s="21" t="s">
        <v>6349</v>
      </c>
      <c r="D338" s="21" t="s">
        <v>6350</v>
      </c>
      <c r="E338" s="21" t="s">
        <v>6351</v>
      </c>
      <c r="F338" s="21" t="s">
        <v>6352</v>
      </c>
      <c r="G338" s="27"/>
      <c r="H338" s="15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2.5" customHeight="1">
      <c r="A339" s="9">
        <v>337.0</v>
      </c>
      <c r="B339" s="11">
        <v>42.0</v>
      </c>
      <c r="C339" s="21" t="s">
        <v>6353</v>
      </c>
      <c r="D339" s="21" t="s">
        <v>6354</v>
      </c>
      <c r="E339" s="21" t="s">
        <v>6355</v>
      </c>
      <c r="F339" s="21" t="s">
        <v>6356</v>
      </c>
      <c r="G339" s="27"/>
      <c r="H339" s="15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2.5" customHeight="1">
      <c r="A340" s="9">
        <v>338.0</v>
      </c>
      <c r="B340" s="11">
        <v>42.0</v>
      </c>
      <c r="C340" s="21" t="s">
        <v>6357</v>
      </c>
      <c r="D340" s="21" t="s">
        <v>6358</v>
      </c>
      <c r="E340" s="21" t="s">
        <v>6359</v>
      </c>
      <c r="F340" s="21" t="s">
        <v>6360</v>
      </c>
      <c r="G340" s="27"/>
      <c r="H340" s="15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2.5" customHeight="1">
      <c r="A341" s="9">
        <v>339.0</v>
      </c>
      <c r="B341" s="11">
        <v>42.0</v>
      </c>
      <c r="C341" s="21" t="s">
        <v>5637</v>
      </c>
      <c r="D341" s="21" t="s">
        <v>5638</v>
      </c>
      <c r="E341" s="21" t="s">
        <v>5639</v>
      </c>
      <c r="F341" s="21" t="s">
        <v>9</v>
      </c>
      <c r="G341" s="27"/>
      <c r="H341" s="15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2.5" customHeight="1">
      <c r="A342" s="9">
        <v>340.0</v>
      </c>
      <c r="B342" s="11">
        <v>42.0</v>
      </c>
      <c r="C342" s="21" t="s">
        <v>6361</v>
      </c>
      <c r="D342" s="21" t="s">
        <v>6362</v>
      </c>
      <c r="E342" s="21" t="s">
        <v>6363</v>
      </c>
      <c r="F342" s="21" t="s">
        <v>6364</v>
      </c>
      <c r="G342" s="27"/>
      <c r="H342" s="15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2.5" customHeight="1">
      <c r="A343" s="9">
        <v>341.0</v>
      </c>
      <c r="B343" s="11">
        <v>41.0</v>
      </c>
      <c r="C343" s="21" t="s">
        <v>6365</v>
      </c>
      <c r="D343" s="21" t="s">
        <v>4890</v>
      </c>
      <c r="E343" s="21" t="s">
        <v>4888</v>
      </c>
      <c r="F343" s="21" t="s">
        <v>4889</v>
      </c>
      <c r="G343" s="27"/>
      <c r="H343" s="15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2.5" customHeight="1">
      <c r="A344" s="9">
        <v>342.0</v>
      </c>
      <c r="B344" s="11">
        <v>41.0</v>
      </c>
      <c r="C344" s="21" t="s">
        <v>6366</v>
      </c>
      <c r="D344" s="21" t="s">
        <v>6367</v>
      </c>
      <c r="E344" s="21" t="s">
        <v>6368</v>
      </c>
      <c r="F344" s="21" t="s">
        <v>6369</v>
      </c>
      <c r="G344" s="27"/>
      <c r="H344" s="15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2.5" customHeight="1">
      <c r="A345" s="9">
        <v>343.0</v>
      </c>
      <c r="B345" s="11">
        <v>41.0</v>
      </c>
      <c r="C345" s="21" t="s">
        <v>6370</v>
      </c>
      <c r="D345" s="21" t="s">
        <v>6371</v>
      </c>
      <c r="E345" s="21" t="s">
        <v>6372</v>
      </c>
      <c r="F345" s="21" t="s">
        <v>6373</v>
      </c>
      <c r="G345" s="27"/>
      <c r="H345" s="15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2.5" customHeight="1">
      <c r="A346" s="9">
        <v>344.0</v>
      </c>
      <c r="B346" s="11">
        <v>41.0</v>
      </c>
      <c r="C346" s="21" t="s">
        <v>6374</v>
      </c>
      <c r="D346" s="21" t="s">
        <v>6375</v>
      </c>
      <c r="E346" s="21" t="s">
        <v>5284</v>
      </c>
      <c r="F346" s="21" t="s">
        <v>5285</v>
      </c>
      <c r="G346" s="27"/>
      <c r="H346" s="15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2.5" customHeight="1">
      <c r="A347" s="9">
        <v>345.0</v>
      </c>
      <c r="B347" s="11">
        <v>41.0</v>
      </c>
      <c r="C347" s="21" t="s">
        <v>6376</v>
      </c>
      <c r="D347" s="21" t="s">
        <v>6377</v>
      </c>
      <c r="E347" s="21" t="s">
        <v>6378</v>
      </c>
      <c r="F347" s="21" t="s">
        <v>6379</v>
      </c>
      <c r="G347" s="27"/>
      <c r="H347" s="15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2.5" customHeight="1">
      <c r="A348" s="9">
        <v>346.0</v>
      </c>
      <c r="B348" s="11">
        <v>40.0</v>
      </c>
      <c r="C348" s="21" t="s">
        <v>6380</v>
      </c>
      <c r="D348" s="21" t="s">
        <v>6381</v>
      </c>
      <c r="E348" s="21" t="s">
        <v>6382</v>
      </c>
      <c r="F348" s="21" t="s">
        <v>6383</v>
      </c>
      <c r="G348" s="24" t="s">
        <v>18</v>
      </c>
      <c r="H348" s="15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2.5" customHeight="1">
      <c r="A349" s="9">
        <v>347.0</v>
      </c>
      <c r="B349" s="11">
        <v>40.0</v>
      </c>
      <c r="C349" s="21" t="s">
        <v>6384</v>
      </c>
      <c r="D349" s="21" t="s">
        <v>6385</v>
      </c>
      <c r="E349" s="21" t="s">
        <v>6386</v>
      </c>
      <c r="F349" s="21" t="s">
        <v>6387</v>
      </c>
      <c r="G349" s="24" t="s">
        <v>18</v>
      </c>
      <c r="H349" s="15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2.5" customHeight="1">
      <c r="A350" s="9">
        <v>348.0</v>
      </c>
      <c r="B350" s="11">
        <v>40.0</v>
      </c>
      <c r="C350" s="21" t="s">
        <v>6388</v>
      </c>
      <c r="D350" s="21" t="s">
        <v>6389</v>
      </c>
      <c r="E350" s="21" t="s">
        <v>6390</v>
      </c>
      <c r="F350" s="21" t="s">
        <v>6391</v>
      </c>
      <c r="G350" s="27"/>
      <c r="H350" s="15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2.5" customHeight="1">
      <c r="A351" s="9">
        <v>349.0</v>
      </c>
      <c r="B351" s="11">
        <v>40.0</v>
      </c>
      <c r="C351" s="21" t="s">
        <v>6392</v>
      </c>
      <c r="D351" s="21" t="s">
        <v>6393</v>
      </c>
      <c r="E351" s="21" t="s">
        <v>6394</v>
      </c>
      <c r="F351" s="21" t="s">
        <v>6395</v>
      </c>
      <c r="G351" s="24" t="s">
        <v>18</v>
      </c>
      <c r="H351" s="15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2.5" customHeight="1">
      <c r="A352" s="9">
        <v>350.0</v>
      </c>
      <c r="B352" s="11">
        <v>40.0</v>
      </c>
      <c r="C352" s="21" t="s">
        <v>5637</v>
      </c>
      <c r="D352" s="21" t="s">
        <v>5638</v>
      </c>
      <c r="E352" s="21" t="s">
        <v>5639</v>
      </c>
      <c r="F352" s="21" t="s">
        <v>9</v>
      </c>
      <c r="G352" s="27"/>
      <c r="H352" s="15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2.5" customHeight="1">
      <c r="A353" s="9">
        <v>351.0</v>
      </c>
      <c r="B353" s="11">
        <v>39.0</v>
      </c>
      <c r="C353" s="21" t="s">
        <v>6396</v>
      </c>
      <c r="D353" s="21" t="s">
        <v>6397</v>
      </c>
      <c r="E353" s="21" t="s">
        <v>5935</v>
      </c>
      <c r="F353" s="21" t="s">
        <v>5936</v>
      </c>
      <c r="G353" s="27"/>
      <c r="H353" s="15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2.5" customHeight="1">
      <c r="A354" s="9">
        <v>352.0</v>
      </c>
      <c r="B354" s="11">
        <v>39.0</v>
      </c>
      <c r="C354" s="21" t="s">
        <v>6202</v>
      </c>
      <c r="D354" s="21" t="s">
        <v>6398</v>
      </c>
      <c r="E354" s="21" t="s">
        <v>6204</v>
      </c>
      <c r="F354" s="21" t="s">
        <v>6205</v>
      </c>
      <c r="G354" s="27"/>
      <c r="H354" s="15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2.5" customHeight="1">
      <c r="A355" s="9">
        <v>353.0</v>
      </c>
      <c r="B355" s="11">
        <v>39.0</v>
      </c>
      <c r="C355" s="21" t="s">
        <v>6399</v>
      </c>
      <c r="D355" s="21" t="s">
        <v>6400</v>
      </c>
      <c r="E355" s="21" t="s">
        <v>6401</v>
      </c>
      <c r="F355" s="21" t="s">
        <v>6122</v>
      </c>
      <c r="G355" s="27"/>
      <c r="H355" s="15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2.5" customHeight="1">
      <c r="A356" s="9">
        <v>354.0</v>
      </c>
      <c r="B356" s="11">
        <v>39.0</v>
      </c>
      <c r="C356" s="21" t="s">
        <v>5581</v>
      </c>
      <c r="D356" s="21" t="s">
        <v>5582</v>
      </c>
      <c r="E356" s="21" t="s">
        <v>5583</v>
      </c>
      <c r="F356" s="21" t="s">
        <v>5584</v>
      </c>
      <c r="G356" s="27"/>
      <c r="H356" s="15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2.5" customHeight="1">
      <c r="A357" s="9">
        <v>355.0</v>
      </c>
      <c r="B357" s="11">
        <v>39.0</v>
      </c>
      <c r="C357" s="21" t="s">
        <v>6402</v>
      </c>
      <c r="D357" s="21" t="s">
        <v>6403</v>
      </c>
      <c r="E357" s="21" t="s">
        <v>6404</v>
      </c>
      <c r="F357" s="21" t="s">
        <v>5889</v>
      </c>
      <c r="G357" s="24" t="s">
        <v>18</v>
      </c>
      <c r="H357" s="15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2.5" customHeight="1">
      <c r="A358" s="9">
        <v>356.0</v>
      </c>
      <c r="B358" s="11">
        <v>38.0</v>
      </c>
      <c r="C358" s="21" t="s">
        <v>5644</v>
      </c>
      <c r="D358" s="21" t="s">
        <v>5645</v>
      </c>
      <c r="E358" s="21" t="s">
        <v>5646</v>
      </c>
      <c r="F358" s="21" t="s">
        <v>5647</v>
      </c>
      <c r="G358" s="27"/>
      <c r="H358" s="15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2.5" customHeight="1">
      <c r="A359" s="9">
        <v>357.0</v>
      </c>
      <c r="B359" s="11">
        <v>38.0</v>
      </c>
      <c r="C359" s="21" t="s">
        <v>6405</v>
      </c>
      <c r="D359" s="21" t="s">
        <v>6406</v>
      </c>
      <c r="E359" s="21" t="s">
        <v>6407</v>
      </c>
      <c r="F359" s="21" t="s">
        <v>6408</v>
      </c>
      <c r="G359" s="27"/>
      <c r="H359" s="15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2.5" customHeight="1">
      <c r="A360" s="9">
        <v>358.0</v>
      </c>
      <c r="B360" s="11">
        <v>38.0</v>
      </c>
      <c r="C360" s="21" t="s">
        <v>6409</v>
      </c>
      <c r="D360" s="21" t="s">
        <v>6410</v>
      </c>
      <c r="E360" s="21" t="s">
        <v>6411</v>
      </c>
      <c r="F360" s="21" t="s">
        <v>6412</v>
      </c>
      <c r="G360" s="27"/>
      <c r="H360" s="15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2.5" customHeight="1">
      <c r="A361" s="9">
        <v>359.0</v>
      </c>
      <c r="B361" s="11">
        <v>38.0</v>
      </c>
      <c r="C361" s="21" t="s">
        <v>5637</v>
      </c>
      <c r="D361" s="21" t="s">
        <v>5638</v>
      </c>
      <c r="E361" s="21" t="s">
        <v>5639</v>
      </c>
      <c r="F361" s="21" t="s">
        <v>9</v>
      </c>
      <c r="G361" s="27"/>
      <c r="H361" s="15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2.5" customHeight="1">
      <c r="A362" s="9">
        <v>360.0</v>
      </c>
      <c r="B362" s="11">
        <v>38.0</v>
      </c>
      <c r="C362" s="21" t="s">
        <v>6413</v>
      </c>
      <c r="D362" s="21" t="s">
        <v>4717</v>
      </c>
      <c r="E362" s="21" t="s">
        <v>3471</v>
      </c>
      <c r="F362" s="21" t="s">
        <v>4716</v>
      </c>
      <c r="G362" s="27"/>
      <c r="H362" s="15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2.5" customHeight="1">
      <c r="A363" s="9">
        <v>361.0</v>
      </c>
      <c r="B363" s="11">
        <v>37.0</v>
      </c>
      <c r="C363" s="21" t="s">
        <v>6414</v>
      </c>
      <c r="D363" s="21" t="s">
        <v>6415</v>
      </c>
      <c r="E363" s="21" t="s">
        <v>6416</v>
      </c>
      <c r="F363" s="21" t="s">
        <v>6417</v>
      </c>
      <c r="G363" s="27"/>
      <c r="H363" s="15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2.5" customHeight="1">
      <c r="A364" s="9">
        <v>362.0</v>
      </c>
      <c r="B364" s="11">
        <v>37.0</v>
      </c>
      <c r="C364" s="21" t="s">
        <v>6418</v>
      </c>
      <c r="D364" s="21" t="s">
        <v>6419</v>
      </c>
      <c r="E364" s="21" t="s">
        <v>6420</v>
      </c>
      <c r="F364" s="21" t="s">
        <v>6421</v>
      </c>
      <c r="G364" s="24" t="s">
        <v>18</v>
      </c>
      <c r="H364" s="15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2.5" customHeight="1">
      <c r="A365" s="9">
        <v>363.0</v>
      </c>
      <c r="B365" s="11">
        <v>37.0</v>
      </c>
      <c r="C365" s="21" t="s">
        <v>6422</v>
      </c>
      <c r="D365" s="21" t="s">
        <v>6423</v>
      </c>
      <c r="E365" s="21" t="s">
        <v>6424</v>
      </c>
      <c r="F365" s="21" t="s">
        <v>6425</v>
      </c>
      <c r="G365" s="24" t="s">
        <v>18</v>
      </c>
      <c r="H365" s="15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2.5" customHeight="1">
      <c r="A366" s="9">
        <v>364.0</v>
      </c>
      <c r="B366" s="11">
        <v>37.0</v>
      </c>
      <c r="C366" s="21" t="s">
        <v>6426</v>
      </c>
      <c r="D366" s="21" t="s">
        <v>6427</v>
      </c>
      <c r="E366" s="21" t="s">
        <v>6428</v>
      </c>
      <c r="F366" s="21" t="s">
        <v>6429</v>
      </c>
      <c r="G366" s="24" t="s">
        <v>18</v>
      </c>
      <c r="H366" s="15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2.5" customHeight="1">
      <c r="A367" s="9">
        <v>365.0</v>
      </c>
      <c r="B367" s="11">
        <v>37.0</v>
      </c>
      <c r="C367" s="21" t="s">
        <v>6430</v>
      </c>
      <c r="D367" s="21" t="s">
        <v>6431</v>
      </c>
      <c r="E367" s="21" t="s">
        <v>6432</v>
      </c>
      <c r="F367" s="21" t="s">
        <v>6118</v>
      </c>
      <c r="G367" s="24" t="s">
        <v>18</v>
      </c>
      <c r="H367" s="15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2.5" customHeight="1">
      <c r="A368" s="9">
        <v>366.0</v>
      </c>
      <c r="B368" s="11">
        <v>36.0</v>
      </c>
      <c r="C368" s="21" t="s">
        <v>6405</v>
      </c>
      <c r="D368" s="21" t="s">
        <v>6433</v>
      </c>
      <c r="E368" s="21" t="s">
        <v>6407</v>
      </c>
      <c r="F368" s="21" t="s">
        <v>6408</v>
      </c>
      <c r="G368" s="27"/>
      <c r="H368" s="15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2.5" customHeight="1">
      <c r="A369" s="9">
        <v>367.0</v>
      </c>
      <c r="B369" s="11">
        <v>36.0</v>
      </c>
      <c r="C369" s="21" t="s">
        <v>5644</v>
      </c>
      <c r="D369" s="21" t="s">
        <v>5645</v>
      </c>
      <c r="E369" s="21" t="s">
        <v>5646</v>
      </c>
      <c r="F369" s="21" t="s">
        <v>5647</v>
      </c>
      <c r="G369" s="27"/>
      <c r="H369" s="15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2.5" customHeight="1">
      <c r="A370" s="9">
        <v>368.0</v>
      </c>
      <c r="B370" s="11">
        <v>36.0</v>
      </c>
      <c r="C370" s="21" t="s">
        <v>6077</v>
      </c>
      <c r="D370" s="21" t="s">
        <v>6434</v>
      </c>
      <c r="E370" s="21" t="s">
        <v>6435</v>
      </c>
      <c r="F370" s="21" t="s">
        <v>5788</v>
      </c>
      <c r="G370" s="27"/>
      <c r="H370" s="15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2.5" customHeight="1">
      <c r="A371" s="9">
        <v>369.0</v>
      </c>
      <c r="B371" s="11">
        <v>36.0</v>
      </c>
      <c r="C371" s="21" t="s">
        <v>6436</v>
      </c>
      <c r="D371" s="21" t="s">
        <v>6437</v>
      </c>
      <c r="E371" s="21" t="s">
        <v>6438</v>
      </c>
      <c r="F371" s="21" t="s">
        <v>6439</v>
      </c>
      <c r="G371" s="27"/>
      <c r="H371" s="15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2.5" customHeight="1">
      <c r="A372" s="9">
        <v>370.0</v>
      </c>
      <c r="B372" s="11">
        <v>36.0</v>
      </c>
      <c r="C372" s="21" t="s">
        <v>6440</v>
      </c>
      <c r="D372" s="21" t="s">
        <v>6441</v>
      </c>
      <c r="E372" s="21" t="s">
        <v>6442</v>
      </c>
      <c r="F372" s="21" t="s">
        <v>6443</v>
      </c>
      <c r="G372" s="27"/>
      <c r="H372" s="15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2.5" customHeight="1">
      <c r="A373" s="9">
        <v>371.0</v>
      </c>
      <c r="B373" s="11">
        <v>35.0</v>
      </c>
      <c r="C373" s="21" t="s">
        <v>6444</v>
      </c>
      <c r="D373" s="21" t="s">
        <v>6445</v>
      </c>
      <c r="E373" s="21" t="s">
        <v>6446</v>
      </c>
      <c r="F373" s="21" t="s">
        <v>6447</v>
      </c>
      <c r="G373" s="24" t="s">
        <v>18</v>
      </c>
      <c r="H373" s="15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2.5" customHeight="1">
      <c r="A374" s="9">
        <v>372.0</v>
      </c>
      <c r="B374" s="11">
        <v>35.0</v>
      </c>
      <c r="C374" s="21" t="s">
        <v>6413</v>
      </c>
      <c r="D374" s="21" t="s">
        <v>6448</v>
      </c>
      <c r="E374" s="21" t="s">
        <v>3471</v>
      </c>
      <c r="F374" s="21" t="s">
        <v>4716</v>
      </c>
      <c r="G374" s="27"/>
      <c r="H374" s="15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2.5" customHeight="1">
      <c r="A375" s="9">
        <v>373.0</v>
      </c>
      <c r="B375" s="11">
        <v>35.0</v>
      </c>
      <c r="C375" s="21" t="s">
        <v>6449</v>
      </c>
      <c r="D375" s="21" t="s">
        <v>6450</v>
      </c>
      <c r="E375" s="21" t="s">
        <v>4713</v>
      </c>
      <c r="F375" s="21" t="s">
        <v>4714</v>
      </c>
      <c r="G375" s="27"/>
      <c r="H375" s="15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2.5" customHeight="1">
      <c r="A376" s="9">
        <v>374.0</v>
      </c>
      <c r="B376" s="11">
        <v>35.0</v>
      </c>
      <c r="C376" s="21" t="s">
        <v>6451</v>
      </c>
      <c r="D376" s="21" t="s">
        <v>6452</v>
      </c>
      <c r="E376" s="21" t="s">
        <v>6453</v>
      </c>
      <c r="F376" s="21" t="s">
        <v>6454</v>
      </c>
      <c r="G376" s="27"/>
      <c r="H376" s="15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2.5" customHeight="1">
      <c r="A377" s="9">
        <v>375.0</v>
      </c>
      <c r="B377" s="11">
        <v>35.0</v>
      </c>
      <c r="C377" s="21" t="s">
        <v>6455</v>
      </c>
      <c r="D377" s="21" t="s">
        <v>6456</v>
      </c>
      <c r="E377" s="21" t="s">
        <v>6457</v>
      </c>
      <c r="F377" s="21" t="s">
        <v>6458</v>
      </c>
      <c r="G377" s="27"/>
      <c r="H377" s="15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2.5" customHeight="1">
      <c r="A378" s="9">
        <v>376.0</v>
      </c>
      <c r="B378" s="9">
        <v>112.0</v>
      </c>
      <c r="C378" s="9" t="s">
        <v>6459</v>
      </c>
      <c r="D378" s="9" t="s">
        <v>6460</v>
      </c>
      <c r="E378" s="9" t="s">
        <v>6461</v>
      </c>
      <c r="F378" s="9" t="s">
        <v>6462</v>
      </c>
      <c r="G378" s="27"/>
      <c r="H378" s="15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2.5" customHeight="1">
      <c r="A379" s="9">
        <v>377.0</v>
      </c>
      <c r="B379" s="9">
        <v>112.0</v>
      </c>
      <c r="C379" s="9" t="s">
        <v>6463</v>
      </c>
      <c r="D379" s="9" t="s">
        <v>6464</v>
      </c>
      <c r="E379" s="9" t="s">
        <v>6465</v>
      </c>
      <c r="F379" s="9" t="s">
        <v>6466</v>
      </c>
      <c r="G379" s="27"/>
      <c r="H379" s="15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2.5" customHeight="1">
      <c r="A380" s="9">
        <v>378.0</v>
      </c>
      <c r="B380" s="9">
        <v>112.0</v>
      </c>
      <c r="C380" s="9" t="s">
        <v>6467</v>
      </c>
      <c r="D380" s="9" t="s">
        <v>6468</v>
      </c>
      <c r="E380" s="9" t="s">
        <v>6469</v>
      </c>
      <c r="F380" s="9" t="s">
        <v>6470</v>
      </c>
      <c r="G380" s="27"/>
      <c r="H380" s="15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2.5" customHeight="1">
      <c r="A381" s="9">
        <v>379.0</v>
      </c>
      <c r="B381" s="9">
        <v>112.0</v>
      </c>
      <c r="C381" s="9" t="s">
        <v>6471</v>
      </c>
      <c r="D381" s="9" t="s">
        <v>6472</v>
      </c>
      <c r="E381" s="9" t="s">
        <v>6473</v>
      </c>
      <c r="F381" s="9" t="s">
        <v>6474</v>
      </c>
      <c r="G381" s="27"/>
      <c r="H381" s="15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2.5" customHeight="1">
      <c r="A382" s="9">
        <v>380.0</v>
      </c>
      <c r="B382" s="9">
        <v>112.0</v>
      </c>
      <c r="C382" s="9" t="s">
        <v>6475</v>
      </c>
      <c r="D382" s="9" t="s">
        <v>6476</v>
      </c>
      <c r="E382" s="9" t="s">
        <v>6477</v>
      </c>
      <c r="F382" s="9" t="s">
        <v>6478</v>
      </c>
      <c r="G382" s="27"/>
      <c r="H382" s="15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3.0"/>
    <col customWidth="1" min="3" max="3" width="21.25"/>
    <col customWidth="1" min="4" max="4" width="14.63"/>
    <col customWidth="1" min="5" max="5" width="20.63"/>
    <col customWidth="1" min="6" max="6" width="22.38"/>
    <col customWidth="1" min="7" max="7" width="37.63"/>
  </cols>
  <sheetData>
    <row r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22.5" customHeight="1">
      <c r="A2" s="9" t="s">
        <v>6</v>
      </c>
      <c r="B2" s="8" t="s">
        <v>7</v>
      </c>
      <c r="C2" s="8" t="s">
        <v>8</v>
      </c>
      <c r="D2" s="8" t="s">
        <v>1160</v>
      </c>
      <c r="E2" s="8" t="s">
        <v>6479</v>
      </c>
      <c r="F2" s="8" t="s">
        <v>6480</v>
      </c>
      <c r="G2" s="8" t="s">
        <v>1159</v>
      </c>
      <c r="H2" s="10" t="s">
        <v>12</v>
      </c>
      <c r="I2" s="10" t="s">
        <v>13</v>
      </c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22.5" customHeight="1">
      <c r="A3" s="9">
        <v>1.0</v>
      </c>
      <c r="B3" s="43">
        <v>109.0</v>
      </c>
      <c r="C3" s="17" t="s">
        <v>6481</v>
      </c>
      <c r="D3" s="17" t="s">
        <v>1281</v>
      </c>
      <c r="E3" s="17" t="s">
        <v>1282</v>
      </c>
      <c r="F3" s="13" t="s">
        <v>6482</v>
      </c>
      <c r="G3" s="17" t="s">
        <v>6483</v>
      </c>
      <c r="H3" s="18"/>
      <c r="I3" s="18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22.5" customHeight="1">
      <c r="A4" s="9">
        <v>2.0</v>
      </c>
      <c r="B4" s="43">
        <v>109.0</v>
      </c>
      <c r="C4" s="17" t="s">
        <v>6484</v>
      </c>
      <c r="D4" s="17" t="s">
        <v>6485</v>
      </c>
      <c r="E4" s="17" t="s">
        <v>6486</v>
      </c>
      <c r="F4" s="13" t="s">
        <v>6487</v>
      </c>
      <c r="G4" s="17" t="s">
        <v>6488</v>
      </c>
      <c r="H4" s="19" t="s">
        <v>18</v>
      </c>
      <c r="I4" s="18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22.5" customHeight="1">
      <c r="A5" s="9">
        <v>3.0</v>
      </c>
      <c r="B5" s="43">
        <v>109.0</v>
      </c>
      <c r="C5" s="17" t="s">
        <v>6489</v>
      </c>
      <c r="D5" s="17" t="s">
        <v>6490</v>
      </c>
      <c r="E5" s="17" t="s">
        <v>6491</v>
      </c>
      <c r="F5" s="13" t="s">
        <v>6492</v>
      </c>
      <c r="G5" s="17" t="s">
        <v>6493</v>
      </c>
      <c r="H5" s="18"/>
      <c r="I5" s="18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22.5" customHeight="1">
      <c r="A6" s="9">
        <v>4.0</v>
      </c>
      <c r="B6" s="43">
        <v>109.0</v>
      </c>
      <c r="C6" s="17" t="s">
        <v>6494</v>
      </c>
      <c r="D6" s="17" t="s">
        <v>6495</v>
      </c>
      <c r="E6" s="17" t="s">
        <v>6496</v>
      </c>
      <c r="F6" s="13" t="s">
        <v>6497</v>
      </c>
      <c r="G6" s="17" t="s">
        <v>6498</v>
      </c>
      <c r="H6" s="18"/>
      <c r="I6" s="18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22.5" customHeight="1">
      <c r="A7" s="9">
        <v>5.0</v>
      </c>
      <c r="B7" s="43">
        <v>109.0</v>
      </c>
      <c r="C7" s="17" t="s">
        <v>6499</v>
      </c>
      <c r="D7" s="17" t="s">
        <v>848</v>
      </c>
      <c r="E7" s="17" t="s">
        <v>849</v>
      </c>
      <c r="F7" s="13" t="s">
        <v>6500</v>
      </c>
      <c r="G7" s="17" t="s">
        <v>6501</v>
      </c>
      <c r="H7" s="19" t="s">
        <v>18</v>
      </c>
      <c r="I7" s="18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22.5" customHeight="1">
      <c r="A8" s="9">
        <v>6.0</v>
      </c>
      <c r="B8" s="43">
        <v>109.0</v>
      </c>
      <c r="C8" s="17" t="s">
        <v>6502</v>
      </c>
      <c r="D8" s="17" t="s">
        <v>492</v>
      </c>
      <c r="E8" s="17" t="s">
        <v>493</v>
      </c>
      <c r="F8" s="13" t="s">
        <v>6503</v>
      </c>
      <c r="G8" s="17" t="s">
        <v>6504</v>
      </c>
      <c r="H8" s="18"/>
      <c r="I8" s="18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22.5" customHeight="1">
      <c r="A9" s="9">
        <v>7.0</v>
      </c>
      <c r="B9" s="43">
        <v>109.0</v>
      </c>
      <c r="C9" s="17" t="s">
        <v>6505</v>
      </c>
      <c r="D9" s="17" t="s">
        <v>6506</v>
      </c>
      <c r="E9" s="17" t="s">
        <v>6507</v>
      </c>
      <c r="F9" s="13" t="s">
        <v>3907</v>
      </c>
      <c r="G9" s="17" t="s">
        <v>6508</v>
      </c>
      <c r="H9" s="19" t="s">
        <v>18</v>
      </c>
      <c r="I9" s="18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22.5" customHeight="1">
      <c r="A10" s="9">
        <v>8.0</v>
      </c>
      <c r="B10" s="43">
        <v>109.0</v>
      </c>
      <c r="C10" s="17" t="s">
        <v>6509</v>
      </c>
      <c r="D10" s="17" t="s">
        <v>6510</v>
      </c>
      <c r="E10" s="17" t="s">
        <v>6511</v>
      </c>
      <c r="F10" s="17" t="s">
        <v>6512</v>
      </c>
      <c r="G10" s="17" t="s">
        <v>6513</v>
      </c>
      <c r="H10" s="19" t="s">
        <v>18</v>
      </c>
      <c r="I10" s="18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22.5" customHeight="1">
      <c r="A11" s="9">
        <v>9.0</v>
      </c>
      <c r="B11" s="43">
        <v>109.0</v>
      </c>
      <c r="C11" s="17" t="s">
        <v>6514</v>
      </c>
      <c r="D11" s="17" t="s">
        <v>6515</v>
      </c>
      <c r="E11" s="17" t="s">
        <v>246</v>
      </c>
      <c r="F11" s="13" t="s">
        <v>6516</v>
      </c>
      <c r="G11" s="17" t="s">
        <v>6517</v>
      </c>
      <c r="H11" s="19" t="s">
        <v>18</v>
      </c>
      <c r="I11" s="18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22.5" customHeight="1">
      <c r="A12" s="9">
        <v>10.0</v>
      </c>
      <c r="B12" s="43">
        <v>109.0</v>
      </c>
      <c r="C12" s="17" t="s">
        <v>6518</v>
      </c>
      <c r="D12" s="17" t="s">
        <v>3702</v>
      </c>
      <c r="E12" s="17" t="s">
        <v>3703</v>
      </c>
      <c r="F12" s="13" t="s">
        <v>6519</v>
      </c>
      <c r="G12" s="17" t="s">
        <v>6520</v>
      </c>
      <c r="H12" s="19" t="s">
        <v>18</v>
      </c>
      <c r="I12" s="18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22.5" customHeight="1">
      <c r="A13" s="9">
        <v>11.0</v>
      </c>
      <c r="B13" s="12">
        <v>110.0</v>
      </c>
      <c r="C13" s="13" t="s">
        <v>6521</v>
      </c>
      <c r="D13" s="13" t="s">
        <v>6522</v>
      </c>
      <c r="E13" s="13" t="s">
        <v>6523</v>
      </c>
      <c r="F13" s="13" t="s">
        <v>6524</v>
      </c>
      <c r="G13" s="13" t="s">
        <v>6525</v>
      </c>
      <c r="H13" s="15"/>
      <c r="I13" s="1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22.5" customHeight="1">
      <c r="A14" s="9">
        <v>12.0</v>
      </c>
      <c r="B14" s="12">
        <v>110.0</v>
      </c>
      <c r="C14" s="13" t="s">
        <v>6526</v>
      </c>
      <c r="D14" s="13" t="s">
        <v>6527</v>
      </c>
      <c r="E14" s="13" t="s">
        <v>6528</v>
      </c>
      <c r="F14" s="13" t="s">
        <v>6529</v>
      </c>
      <c r="G14" s="13" t="s">
        <v>6530</v>
      </c>
      <c r="H14" s="14" t="s">
        <v>18</v>
      </c>
      <c r="I14" s="1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22.5" customHeight="1">
      <c r="A15" s="9">
        <v>13.0</v>
      </c>
      <c r="B15" s="12">
        <v>110.0</v>
      </c>
      <c r="C15" s="13" t="s">
        <v>6531</v>
      </c>
      <c r="D15" s="13" t="s">
        <v>6532</v>
      </c>
      <c r="E15" s="13" t="s">
        <v>6533</v>
      </c>
      <c r="F15" s="13" t="s">
        <v>6534</v>
      </c>
      <c r="G15" s="13" t="s">
        <v>6535</v>
      </c>
      <c r="H15" s="14" t="s">
        <v>18</v>
      </c>
      <c r="I15" s="14" t="s">
        <v>18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22.5" customHeight="1">
      <c r="A16" s="9">
        <v>14.0</v>
      </c>
      <c r="B16" s="12">
        <v>110.0</v>
      </c>
      <c r="C16" s="13" t="s">
        <v>6536</v>
      </c>
      <c r="D16" s="13" t="s">
        <v>6537</v>
      </c>
      <c r="E16" s="13" t="s">
        <v>6538</v>
      </c>
      <c r="F16" s="13" t="s">
        <v>6539</v>
      </c>
      <c r="G16" s="13" t="s">
        <v>6540</v>
      </c>
      <c r="H16" s="14" t="s">
        <v>18</v>
      </c>
      <c r="I16" s="1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22.5" customHeight="1">
      <c r="A17" s="9">
        <v>15.0</v>
      </c>
      <c r="B17" s="12">
        <v>110.0</v>
      </c>
      <c r="C17" s="13" t="s">
        <v>6541</v>
      </c>
      <c r="D17" s="13" t="s">
        <v>6542</v>
      </c>
      <c r="E17" s="13" t="s">
        <v>6543</v>
      </c>
      <c r="F17" s="13" t="s">
        <v>6544</v>
      </c>
      <c r="G17" s="13" t="s">
        <v>6545</v>
      </c>
      <c r="H17" s="15"/>
      <c r="I17" s="1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22.5" customHeight="1">
      <c r="A18" s="9">
        <v>16.0</v>
      </c>
      <c r="B18" s="12">
        <v>110.0</v>
      </c>
      <c r="C18" s="13" t="s">
        <v>6546</v>
      </c>
      <c r="D18" s="13" t="s">
        <v>6547</v>
      </c>
      <c r="E18" s="13" t="s">
        <v>6548</v>
      </c>
      <c r="F18" s="13" t="s">
        <v>6549</v>
      </c>
      <c r="G18" s="13" t="s">
        <v>6550</v>
      </c>
      <c r="H18" s="14" t="s">
        <v>18</v>
      </c>
      <c r="I18" s="1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22.5" customHeight="1">
      <c r="A19" s="9">
        <v>17.0</v>
      </c>
      <c r="B19" s="12">
        <v>110.0</v>
      </c>
      <c r="C19" s="13" t="s">
        <v>6551</v>
      </c>
      <c r="D19" s="13" t="s">
        <v>1884</v>
      </c>
      <c r="E19" s="13" t="s">
        <v>1885</v>
      </c>
      <c r="F19" s="13" t="s">
        <v>6552</v>
      </c>
      <c r="G19" s="13" t="s">
        <v>6207</v>
      </c>
      <c r="H19" s="14" t="s">
        <v>18</v>
      </c>
      <c r="I19" s="1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22.5" customHeight="1">
      <c r="A20" s="9">
        <v>18.0</v>
      </c>
      <c r="B20" s="12">
        <v>110.0</v>
      </c>
      <c r="C20" s="13" t="s">
        <v>6553</v>
      </c>
      <c r="D20" s="13" t="s">
        <v>1012</v>
      </c>
      <c r="E20" s="13" t="s">
        <v>1013</v>
      </c>
      <c r="F20" s="13" t="s">
        <v>6554</v>
      </c>
      <c r="G20" s="13" t="s">
        <v>6555</v>
      </c>
      <c r="H20" s="15"/>
      <c r="I20" s="1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22.5" customHeight="1">
      <c r="A21" s="9">
        <v>19.0</v>
      </c>
      <c r="B21" s="12">
        <v>110.0</v>
      </c>
      <c r="C21" s="13" t="s">
        <v>6556</v>
      </c>
      <c r="D21" s="13" t="s">
        <v>6557</v>
      </c>
      <c r="E21" s="13" t="s">
        <v>6558</v>
      </c>
      <c r="F21" s="13" t="s">
        <v>6559</v>
      </c>
      <c r="G21" s="13" t="s">
        <v>6560</v>
      </c>
      <c r="H21" s="14" t="s">
        <v>18</v>
      </c>
      <c r="I21" s="1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22.5" customHeight="1">
      <c r="A22" s="9">
        <v>20.0</v>
      </c>
      <c r="B22" s="12">
        <v>110.0</v>
      </c>
      <c r="C22" s="13" t="s">
        <v>6561</v>
      </c>
      <c r="D22" s="13" t="s">
        <v>6562</v>
      </c>
      <c r="E22" s="13" t="s">
        <v>6563</v>
      </c>
      <c r="F22" s="13" t="s">
        <v>6564</v>
      </c>
      <c r="G22" s="13" t="s">
        <v>6565</v>
      </c>
      <c r="H22" s="14" t="s">
        <v>18</v>
      </c>
      <c r="I22" s="1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22.5" customHeight="1">
      <c r="A23" s="9">
        <v>21.0</v>
      </c>
      <c r="B23" s="12">
        <v>111.0</v>
      </c>
      <c r="C23" s="13" t="s">
        <v>6566</v>
      </c>
      <c r="D23" s="13" t="s">
        <v>6495</v>
      </c>
      <c r="E23" s="9" t="s">
        <v>6496</v>
      </c>
      <c r="F23" s="13" t="s">
        <v>6567</v>
      </c>
      <c r="G23" s="13" t="s">
        <v>6568</v>
      </c>
      <c r="H23" s="14" t="s">
        <v>18</v>
      </c>
      <c r="I23" s="1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22.5" customHeight="1">
      <c r="A24" s="9">
        <v>22.0</v>
      </c>
      <c r="B24" s="12">
        <v>111.0</v>
      </c>
      <c r="C24" s="13" t="s">
        <v>6569</v>
      </c>
      <c r="D24" s="13" t="s">
        <v>6570</v>
      </c>
      <c r="E24" s="9" t="s">
        <v>6571</v>
      </c>
      <c r="F24" s="13" t="s">
        <v>6572</v>
      </c>
      <c r="G24" s="13" t="s">
        <v>6573</v>
      </c>
      <c r="H24" s="14" t="s">
        <v>18</v>
      </c>
      <c r="I24" s="1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22.5" customHeight="1">
      <c r="A25" s="9">
        <v>23.0</v>
      </c>
      <c r="B25" s="12">
        <v>111.0</v>
      </c>
      <c r="C25" s="13" t="s">
        <v>6574</v>
      </c>
      <c r="D25" s="13" t="s">
        <v>6575</v>
      </c>
      <c r="E25" s="9" t="s">
        <v>6576</v>
      </c>
      <c r="F25" s="13" t="s">
        <v>6577</v>
      </c>
      <c r="G25" s="13" t="s">
        <v>6578</v>
      </c>
      <c r="H25" s="14" t="s">
        <v>18</v>
      </c>
      <c r="I25" s="1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22.5" customHeight="1">
      <c r="A26" s="9">
        <v>24.0</v>
      </c>
      <c r="B26" s="12">
        <v>111.0</v>
      </c>
      <c r="C26" s="13" t="s">
        <v>6579</v>
      </c>
      <c r="D26" s="13" t="s">
        <v>6580</v>
      </c>
      <c r="E26" s="9" t="s">
        <v>6581</v>
      </c>
      <c r="F26" s="13" t="s">
        <v>6582</v>
      </c>
      <c r="G26" s="13" t="s">
        <v>6583</v>
      </c>
      <c r="H26" s="14" t="s">
        <v>18</v>
      </c>
      <c r="I26" s="1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22.5" customHeight="1">
      <c r="A27" s="9">
        <v>25.0</v>
      </c>
      <c r="B27" s="12">
        <v>111.0</v>
      </c>
      <c r="C27" s="13" t="s">
        <v>6584</v>
      </c>
      <c r="D27" s="13" t="s">
        <v>2748</v>
      </c>
      <c r="E27" s="9" t="s">
        <v>2749</v>
      </c>
      <c r="F27" s="13" t="s">
        <v>6585</v>
      </c>
      <c r="G27" s="13" t="s">
        <v>6586</v>
      </c>
      <c r="H27" s="14" t="s">
        <v>18</v>
      </c>
      <c r="I27" s="1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22.5" customHeight="1">
      <c r="A28" s="9">
        <v>26.0</v>
      </c>
      <c r="B28" s="12">
        <v>111.0</v>
      </c>
      <c r="C28" s="13" t="s">
        <v>6587</v>
      </c>
      <c r="D28" s="13" t="s">
        <v>4163</v>
      </c>
      <c r="E28" s="9" t="s">
        <v>4164</v>
      </c>
      <c r="F28" s="13" t="s">
        <v>6588</v>
      </c>
      <c r="G28" s="13" t="s">
        <v>6589</v>
      </c>
      <c r="H28" s="14" t="s">
        <v>18</v>
      </c>
      <c r="I28" s="1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22.5" customHeight="1">
      <c r="A29" s="9">
        <v>27.0</v>
      </c>
      <c r="B29" s="12">
        <v>111.0</v>
      </c>
      <c r="C29" s="13" t="s">
        <v>6590</v>
      </c>
      <c r="D29" s="13" t="s">
        <v>6591</v>
      </c>
      <c r="E29" s="9" t="s">
        <v>6592</v>
      </c>
      <c r="F29" s="13" t="s">
        <v>6593</v>
      </c>
      <c r="G29" s="13" t="s">
        <v>6594</v>
      </c>
      <c r="H29" s="14" t="s">
        <v>18</v>
      </c>
      <c r="I29" s="1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22.5" customHeight="1">
      <c r="A30" s="9">
        <v>28.0</v>
      </c>
      <c r="B30" s="12">
        <v>111.0</v>
      </c>
      <c r="C30" s="13" t="s">
        <v>6595</v>
      </c>
      <c r="D30" s="13" t="s">
        <v>3361</v>
      </c>
      <c r="E30" s="9" t="s">
        <v>3362</v>
      </c>
      <c r="F30" s="13" t="s">
        <v>6596</v>
      </c>
      <c r="G30" s="13" t="s">
        <v>6597</v>
      </c>
      <c r="H30" s="14" t="s">
        <v>18</v>
      </c>
      <c r="I30" s="1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22.5" customHeight="1">
      <c r="A31" s="9">
        <v>29.0</v>
      </c>
      <c r="B31" s="12">
        <v>111.0</v>
      </c>
      <c r="C31" s="13" t="s">
        <v>6598</v>
      </c>
      <c r="D31" s="13" t="s">
        <v>831</v>
      </c>
      <c r="E31" s="9" t="s">
        <v>832</v>
      </c>
      <c r="F31" s="9" t="s">
        <v>6599</v>
      </c>
      <c r="G31" s="13" t="s">
        <v>6600</v>
      </c>
      <c r="H31" s="14" t="s">
        <v>18</v>
      </c>
      <c r="I31" s="1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22.5" customHeight="1">
      <c r="A32" s="9">
        <v>30.0</v>
      </c>
      <c r="B32" s="12">
        <v>111.0</v>
      </c>
      <c r="C32" s="13" t="s">
        <v>6601</v>
      </c>
      <c r="D32" s="13" t="s">
        <v>6510</v>
      </c>
      <c r="E32" s="9" t="s">
        <v>6511</v>
      </c>
      <c r="F32" s="13" t="s">
        <v>6602</v>
      </c>
      <c r="G32" s="13" t="s">
        <v>6603</v>
      </c>
      <c r="H32" s="14" t="s">
        <v>18</v>
      </c>
      <c r="I32" s="1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22.5" customHeight="1">
      <c r="A33" s="9">
        <v>31.0</v>
      </c>
      <c r="B33" s="16">
        <v>108.0</v>
      </c>
      <c r="C33" s="13" t="s">
        <v>6604</v>
      </c>
      <c r="D33" s="13" t="s">
        <v>6605</v>
      </c>
      <c r="E33" s="13" t="s">
        <v>6606</v>
      </c>
      <c r="F33" s="13" t="s">
        <v>6607</v>
      </c>
      <c r="G33" s="13" t="s">
        <v>6608</v>
      </c>
      <c r="H33" s="15"/>
      <c r="I33" s="1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22.5" customHeight="1">
      <c r="A34" s="9">
        <v>32.0</v>
      </c>
      <c r="B34" s="16">
        <v>108.0</v>
      </c>
      <c r="C34" s="13" t="s">
        <v>6609</v>
      </c>
      <c r="D34" s="13" t="s">
        <v>3706</v>
      </c>
      <c r="E34" s="13" t="s">
        <v>3707</v>
      </c>
      <c r="F34" s="13" t="s">
        <v>6610</v>
      </c>
      <c r="G34" s="13" t="s">
        <v>6611</v>
      </c>
      <c r="H34" s="15"/>
      <c r="I34" s="1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22.5" customHeight="1">
      <c r="A35" s="9">
        <v>33.0</v>
      </c>
      <c r="B35" s="16">
        <v>108.0</v>
      </c>
      <c r="C35" s="13" t="s">
        <v>6612</v>
      </c>
      <c r="D35" s="13" t="s">
        <v>6613</v>
      </c>
      <c r="E35" s="13" t="s">
        <v>6614</v>
      </c>
      <c r="F35" s="13" t="s">
        <v>6615</v>
      </c>
      <c r="G35" s="13" t="s">
        <v>6616</v>
      </c>
      <c r="H35" s="15"/>
      <c r="I35" s="1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22.5" customHeight="1">
      <c r="A36" s="9">
        <v>34.0</v>
      </c>
      <c r="B36" s="16">
        <v>108.0</v>
      </c>
      <c r="C36" s="13" t="s">
        <v>6617</v>
      </c>
      <c r="D36" s="13" t="s">
        <v>377</v>
      </c>
      <c r="E36" s="13" t="s">
        <v>378</v>
      </c>
      <c r="F36" s="13" t="s">
        <v>6618</v>
      </c>
      <c r="G36" s="13" t="s">
        <v>6619</v>
      </c>
      <c r="H36" s="14" t="s">
        <v>18</v>
      </c>
      <c r="I36" s="1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22.5" customHeight="1">
      <c r="A37" s="9">
        <v>35.0</v>
      </c>
      <c r="B37" s="16">
        <v>108.0</v>
      </c>
      <c r="C37" s="13" t="s">
        <v>6620</v>
      </c>
      <c r="D37" s="13" t="s">
        <v>6621</v>
      </c>
      <c r="E37" s="13" t="s">
        <v>6622</v>
      </c>
      <c r="F37" s="13" t="s">
        <v>6512</v>
      </c>
      <c r="G37" s="13" t="s">
        <v>6623</v>
      </c>
      <c r="H37" s="14" t="s">
        <v>18</v>
      </c>
      <c r="I37" s="14" t="s">
        <v>18</v>
      </c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22.5" customHeight="1">
      <c r="A38" s="9">
        <v>36.0</v>
      </c>
      <c r="B38" s="16">
        <v>108.0</v>
      </c>
      <c r="C38" s="13" t="s">
        <v>6624</v>
      </c>
      <c r="D38" s="13" t="s">
        <v>6625</v>
      </c>
      <c r="E38" s="13" t="s">
        <v>6626</v>
      </c>
      <c r="F38" s="13" t="s">
        <v>6516</v>
      </c>
      <c r="G38" s="13" t="s">
        <v>6627</v>
      </c>
      <c r="H38" s="14" t="s">
        <v>18</v>
      </c>
      <c r="I38" s="1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22.5" customHeight="1">
      <c r="A39" s="9">
        <v>37.0</v>
      </c>
      <c r="B39" s="16">
        <v>108.0</v>
      </c>
      <c r="C39" s="13" t="s">
        <v>6628</v>
      </c>
      <c r="D39" s="13" t="s">
        <v>6629</v>
      </c>
      <c r="E39" s="13" t="s">
        <v>6630</v>
      </c>
      <c r="F39" s="13" t="s">
        <v>6631</v>
      </c>
      <c r="G39" s="13" t="s">
        <v>6632</v>
      </c>
      <c r="H39" s="15"/>
      <c r="I39" s="1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22.5" customHeight="1">
      <c r="A40" s="9">
        <v>38.0</v>
      </c>
      <c r="B40" s="16">
        <v>108.0</v>
      </c>
      <c r="C40" s="13" t="s">
        <v>6633</v>
      </c>
      <c r="D40" s="13" t="s">
        <v>6634</v>
      </c>
      <c r="E40" s="13" t="s">
        <v>6635</v>
      </c>
      <c r="F40" s="13" t="s">
        <v>6636</v>
      </c>
      <c r="G40" s="13" t="s">
        <v>6637</v>
      </c>
      <c r="H40" s="15"/>
      <c r="I40" s="1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22.5" customHeight="1">
      <c r="A41" s="9">
        <v>39.0</v>
      </c>
      <c r="B41" s="16">
        <v>108.0</v>
      </c>
      <c r="C41" s="13" t="s">
        <v>6638</v>
      </c>
      <c r="D41" s="13" t="s">
        <v>3723</v>
      </c>
      <c r="E41" s="13" t="s">
        <v>3724</v>
      </c>
      <c r="F41" s="13" t="s">
        <v>6639</v>
      </c>
      <c r="G41" s="13" t="s">
        <v>6640</v>
      </c>
      <c r="H41" s="14" t="s">
        <v>18</v>
      </c>
      <c r="I41" s="1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22.5" customHeight="1">
      <c r="A42" s="9">
        <v>40.0</v>
      </c>
      <c r="B42" s="16">
        <v>108.0</v>
      </c>
      <c r="C42" s="13" t="s">
        <v>6641</v>
      </c>
      <c r="D42" s="13" t="s">
        <v>6642</v>
      </c>
      <c r="E42" s="13" t="s">
        <v>6643</v>
      </c>
      <c r="F42" s="13" t="s">
        <v>6644</v>
      </c>
      <c r="G42" s="13" t="s">
        <v>6645</v>
      </c>
      <c r="H42" s="14" t="s">
        <v>18</v>
      </c>
      <c r="I42" s="1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22.5" customHeight="1">
      <c r="A43" s="9">
        <v>41.0</v>
      </c>
      <c r="B43" s="16">
        <v>107.0</v>
      </c>
      <c r="C43" s="13" t="s">
        <v>6628</v>
      </c>
      <c r="D43" s="13" t="s">
        <v>6629</v>
      </c>
      <c r="E43" s="13" t="s">
        <v>6630</v>
      </c>
      <c r="F43" s="13" t="s">
        <v>6631</v>
      </c>
      <c r="G43" s="13" t="s">
        <v>6632</v>
      </c>
      <c r="H43" s="15"/>
      <c r="I43" s="1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22.5" customHeight="1">
      <c r="A44" s="9">
        <v>42.0</v>
      </c>
      <c r="B44" s="16">
        <v>107.0</v>
      </c>
      <c r="C44" s="13" t="s">
        <v>6646</v>
      </c>
      <c r="D44" s="13" t="s">
        <v>6647</v>
      </c>
      <c r="E44" s="13" t="s">
        <v>6648</v>
      </c>
      <c r="F44" s="13" t="s">
        <v>6649</v>
      </c>
      <c r="G44" s="13" t="s">
        <v>6650</v>
      </c>
      <c r="H44" s="15"/>
      <c r="I44" s="1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22.5" customHeight="1">
      <c r="A45" s="9">
        <v>43.0</v>
      </c>
      <c r="B45" s="16">
        <v>107.0</v>
      </c>
      <c r="C45" s="13" t="s">
        <v>6651</v>
      </c>
      <c r="D45" s="13" t="s">
        <v>6652</v>
      </c>
      <c r="E45" s="13" t="s">
        <v>6653</v>
      </c>
      <c r="F45" s="13" t="s">
        <v>6654</v>
      </c>
      <c r="G45" s="13" t="s">
        <v>6655</v>
      </c>
      <c r="H45" s="15"/>
      <c r="I45" s="1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22.5" customHeight="1">
      <c r="A46" s="9">
        <v>44.0</v>
      </c>
      <c r="B46" s="16">
        <v>107.0</v>
      </c>
      <c r="C46" s="13" t="s">
        <v>6656</v>
      </c>
      <c r="D46" s="13" t="s">
        <v>6657</v>
      </c>
      <c r="E46" s="13" t="s">
        <v>6658</v>
      </c>
      <c r="F46" s="13" t="s">
        <v>6659</v>
      </c>
      <c r="G46" s="13" t="s">
        <v>6660</v>
      </c>
      <c r="H46" s="14" t="s">
        <v>18</v>
      </c>
      <c r="I46" s="1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22.5" customHeight="1">
      <c r="A47" s="9">
        <v>45.0</v>
      </c>
      <c r="B47" s="16">
        <v>107.0</v>
      </c>
      <c r="C47" s="13" t="s">
        <v>6661</v>
      </c>
      <c r="D47" s="13" t="s">
        <v>6662</v>
      </c>
      <c r="E47" s="13" t="s">
        <v>6663</v>
      </c>
      <c r="F47" s="13" t="s">
        <v>6664</v>
      </c>
      <c r="G47" s="13" t="s">
        <v>6665</v>
      </c>
      <c r="H47" s="14" t="s">
        <v>18</v>
      </c>
      <c r="I47" s="1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22.5" customHeight="1">
      <c r="A48" s="9">
        <v>46.0</v>
      </c>
      <c r="B48" s="16">
        <v>107.0</v>
      </c>
      <c r="C48" s="13" t="s">
        <v>6666</v>
      </c>
      <c r="D48" s="13" t="s">
        <v>6667</v>
      </c>
      <c r="E48" s="13" t="s">
        <v>6668</v>
      </c>
      <c r="F48" s="13" t="s">
        <v>6669</v>
      </c>
      <c r="G48" s="13" t="s">
        <v>6670</v>
      </c>
      <c r="H48" s="14" t="s">
        <v>18</v>
      </c>
      <c r="I48" s="1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22.5" customHeight="1">
      <c r="A49" s="9">
        <v>47.0</v>
      </c>
      <c r="B49" s="16">
        <v>107.0</v>
      </c>
      <c r="C49" s="13" t="s">
        <v>6671</v>
      </c>
      <c r="D49" s="13" t="s">
        <v>283</v>
      </c>
      <c r="E49" s="13" t="s">
        <v>284</v>
      </c>
      <c r="F49" s="13" t="s">
        <v>6672</v>
      </c>
      <c r="G49" s="13" t="s">
        <v>6673</v>
      </c>
      <c r="H49" s="15"/>
      <c r="I49" s="1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22.5" customHeight="1">
      <c r="A50" s="9">
        <v>48.0</v>
      </c>
      <c r="B50" s="16">
        <v>107.0</v>
      </c>
      <c r="C50" s="13" t="s">
        <v>6674</v>
      </c>
      <c r="D50" s="13" t="s">
        <v>3625</v>
      </c>
      <c r="E50" s="13" t="s">
        <v>6675</v>
      </c>
      <c r="F50" s="13" t="s">
        <v>6676</v>
      </c>
      <c r="G50" s="13" t="s">
        <v>6677</v>
      </c>
      <c r="H50" s="15"/>
      <c r="I50" s="1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22.5" customHeight="1">
      <c r="A51" s="9">
        <v>49.0</v>
      </c>
      <c r="B51" s="16">
        <v>107.0</v>
      </c>
      <c r="C51" s="13" t="s">
        <v>6678</v>
      </c>
      <c r="D51" s="13" t="s">
        <v>1900</v>
      </c>
      <c r="E51" s="13" t="s">
        <v>1901</v>
      </c>
      <c r="F51" s="13" t="s">
        <v>6679</v>
      </c>
      <c r="G51" s="13" t="s">
        <v>6680</v>
      </c>
      <c r="H51" s="15"/>
      <c r="I51" s="1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22.5" customHeight="1">
      <c r="A52" s="9">
        <v>50.0</v>
      </c>
      <c r="B52" s="16">
        <v>107.0</v>
      </c>
      <c r="C52" s="13" t="s">
        <v>6681</v>
      </c>
      <c r="D52" s="13" t="s">
        <v>2406</v>
      </c>
      <c r="E52" s="13" t="s">
        <v>6682</v>
      </c>
      <c r="F52" s="13" t="s">
        <v>6683</v>
      </c>
      <c r="G52" s="13" t="s">
        <v>6684</v>
      </c>
      <c r="H52" s="14" t="s">
        <v>18</v>
      </c>
      <c r="I52" s="1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22.5" customHeight="1">
      <c r="A53" s="9">
        <v>51.0</v>
      </c>
      <c r="B53" s="16">
        <v>106.0</v>
      </c>
      <c r="C53" s="13" t="s">
        <v>6685</v>
      </c>
      <c r="D53" s="13" t="s">
        <v>6686</v>
      </c>
      <c r="E53" s="13" t="s">
        <v>6687</v>
      </c>
      <c r="F53" s="13" t="s">
        <v>6688</v>
      </c>
      <c r="G53" s="13" t="s">
        <v>6689</v>
      </c>
      <c r="H53" s="14" t="s">
        <v>18</v>
      </c>
      <c r="I53" s="1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22.5" customHeight="1">
      <c r="A54" s="9">
        <v>52.0</v>
      </c>
      <c r="B54" s="16">
        <v>106.0</v>
      </c>
      <c r="C54" s="13" t="s">
        <v>6690</v>
      </c>
      <c r="D54" s="13" t="s">
        <v>6691</v>
      </c>
      <c r="E54" s="13" t="s">
        <v>6692</v>
      </c>
      <c r="F54" s="13" t="s">
        <v>6607</v>
      </c>
      <c r="G54" s="13" t="s">
        <v>6608</v>
      </c>
      <c r="H54" s="15"/>
      <c r="I54" s="1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22.5" customHeight="1">
      <c r="A55" s="9">
        <v>53.0</v>
      </c>
      <c r="B55" s="16">
        <v>106.0</v>
      </c>
      <c r="C55" s="13" t="s">
        <v>6693</v>
      </c>
      <c r="D55" s="13" t="s">
        <v>6490</v>
      </c>
      <c r="E55" s="13" t="s">
        <v>6491</v>
      </c>
      <c r="F55" s="13" t="s">
        <v>6492</v>
      </c>
      <c r="G55" s="13" t="s">
        <v>6694</v>
      </c>
      <c r="H55" s="15"/>
      <c r="I55" s="1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22.5" customHeight="1">
      <c r="A56" s="9">
        <v>54.0</v>
      </c>
      <c r="B56" s="16">
        <v>106.0</v>
      </c>
      <c r="C56" s="13" t="s">
        <v>6695</v>
      </c>
      <c r="D56" s="13" t="s">
        <v>6696</v>
      </c>
      <c r="E56" s="13" t="s">
        <v>6697</v>
      </c>
      <c r="F56" s="13" t="s">
        <v>6698</v>
      </c>
      <c r="G56" s="13" t="s">
        <v>6699</v>
      </c>
      <c r="H56" s="14" t="s">
        <v>18</v>
      </c>
      <c r="I56" s="1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22.5" customHeight="1">
      <c r="A57" s="9">
        <v>55.0</v>
      </c>
      <c r="B57" s="16">
        <v>106.0</v>
      </c>
      <c r="C57" s="13" t="s">
        <v>6700</v>
      </c>
      <c r="D57" s="13" t="s">
        <v>1414</v>
      </c>
      <c r="E57" s="13" t="s">
        <v>1415</v>
      </c>
      <c r="F57" s="13" t="s">
        <v>3891</v>
      </c>
      <c r="G57" s="13" t="s">
        <v>6701</v>
      </c>
      <c r="H57" s="14" t="s">
        <v>18</v>
      </c>
      <c r="I57" s="1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22.5" customHeight="1">
      <c r="A58" s="9">
        <v>56.0</v>
      </c>
      <c r="B58" s="16">
        <v>106.0</v>
      </c>
      <c r="C58" s="13" t="s">
        <v>6702</v>
      </c>
      <c r="D58" s="13" t="s">
        <v>6703</v>
      </c>
      <c r="E58" s="13" t="s">
        <v>6704</v>
      </c>
      <c r="F58" s="13" t="s">
        <v>6705</v>
      </c>
      <c r="G58" s="13" t="s">
        <v>6706</v>
      </c>
      <c r="H58" s="14" t="s">
        <v>18</v>
      </c>
      <c r="I58" s="1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22.5" customHeight="1">
      <c r="A59" s="9">
        <v>57.0</v>
      </c>
      <c r="B59" s="16">
        <v>106.0</v>
      </c>
      <c r="C59" s="13" t="s">
        <v>6707</v>
      </c>
      <c r="D59" s="13" t="s">
        <v>6708</v>
      </c>
      <c r="E59" s="13" t="s">
        <v>6709</v>
      </c>
      <c r="F59" s="13" t="s">
        <v>6710</v>
      </c>
      <c r="G59" s="13" t="s">
        <v>6711</v>
      </c>
      <c r="H59" s="14" t="s">
        <v>18</v>
      </c>
      <c r="I59" s="1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22.5" customHeight="1">
      <c r="A60" s="9">
        <v>58.0</v>
      </c>
      <c r="B60" s="16">
        <v>106.0</v>
      </c>
      <c r="C60" s="13" t="s">
        <v>6712</v>
      </c>
      <c r="D60" s="13" t="s">
        <v>6713</v>
      </c>
      <c r="E60" s="13" t="s">
        <v>6714</v>
      </c>
      <c r="F60" s="13" t="s">
        <v>6544</v>
      </c>
      <c r="G60" s="13" t="s">
        <v>6715</v>
      </c>
      <c r="H60" s="15"/>
      <c r="I60" s="1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22.5" customHeight="1">
      <c r="A61" s="9">
        <v>59.0</v>
      </c>
      <c r="B61" s="16">
        <v>106.0</v>
      </c>
      <c r="C61" s="13" t="s">
        <v>6716</v>
      </c>
      <c r="D61" s="13" t="s">
        <v>155</v>
      </c>
      <c r="E61" s="13" t="s">
        <v>156</v>
      </c>
      <c r="F61" s="13" t="s">
        <v>6596</v>
      </c>
      <c r="G61" s="13" t="s">
        <v>6717</v>
      </c>
      <c r="H61" s="14" t="s">
        <v>18</v>
      </c>
      <c r="I61" s="1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22.5" customHeight="1">
      <c r="A62" s="9">
        <v>60.0</v>
      </c>
      <c r="B62" s="16">
        <v>106.0</v>
      </c>
      <c r="C62" s="13" t="s">
        <v>6718</v>
      </c>
      <c r="D62" s="13" t="s">
        <v>3015</v>
      </c>
      <c r="E62" s="13" t="s">
        <v>3016</v>
      </c>
      <c r="F62" s="13" t="s">
        <v>6719</v>
      </c>
      <c r="G62" s="13" t="s">
        <v>6720</v>
      </c>
      <c r="H62" s="14" t="s">
        <v>18</v>
      </c>
      <c r="I62" s="1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22.5" customHeight="1">
      <c r="A63" s="9">
        <v>61.0</v>
      </c>
      <c r="B63" s="16">
        <v>105.0</v>
      </c>
      <c r="C63" s="13" t="s">
        <v>6721</v>
      </c>
      <c r="D63" s="13" t="s">
        <v>6722</v>
      </c>
      <c r="E63" s="13" t="s">
        <v>6723</v>
      </c>
      <c r="F63" s="13" t="s">
        <v>3983</v>
      </c>
      <c r="G63" s="13" t="s">
        <v>6724</v>
      </c>
      <c r="H63" s="14" t="s">
        <v>18</v>
      </c>
      <c r="I63" s="1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22.5" customHeight="1">
      <c r="A64" s="9">
        <v>62.0</v>
      </c>
      <c r="B64" s="16">
        <v>105.0</v>
      </c>
      <c r="C64" s="13" t="s">
        <v>6725</v>
      </c>
      <c r="D64" s="13" t="s">
        <v>3635</v>
      </c>
      <c r="E64" s="13" t="s">
        <v>3636</v>
      </c>
      <c r="F64" s="13" t="s">
        <v>6726</v>
      </c>
      <c r="G64" s="13" t="s">
        <v>6727</v>
      </c>
      <c r="H64" s="14" t="s">
        <v>18</v>
      </c>
      <c r="I64" s="1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22.5" customHeight="1">
      <c r="A65" s="9">
        <v>63.0</v>
      </c>
      <c r="B65" s="16">
        <v>105.0</v>
      </c>
      <c r="C65" s="13" t="s">
        <v>6728</v>
      </c>
      <c r="D65" s="13" t="s">
        <v>2924</v>
      </c>
      <c r="E65" s="13" t="s">
        <v>6729</v>
      </c>
      <c r="F65" s="13" t="s">
        <v>6730</v>
      </c>
      <c r="G65" s="13" t="s">
        <v>6731</v>
      </c>
      <c r="H65" s="14" t="s">
        <v>18</v>
      </c>
      <c r="I65" s="1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22.5" customHeight="1">
      <c r="A66" s="9">
        <v>64.0</v>
      </c>
      <c r="B66" s="16">
        <v>105.0</v>
      </c>
      <c r="C66" s="13" t="s">
        <v>6732</v>
      </c>
      <c r="D66" s="13" t="s">
        <v>301</v>
      </c>
      <c r="E66" s="13" t="s">
        <v>6733</v>
      </c>
      <c r="F66" s="13" t="s">
        <v>6734</v>
      </c>
      <c r="G66" s="13" t="s">
        <v>6735</v>
      </c>
      <c r="H66" s="14" t="s">
        <v>18</v>
      </c>
      <c r="I66" s="1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22.5" customHeight="1">
      <c r="A67" s="9">
        <v>65.0</v>
      </c>
      <c r="B67" s="16">
        <v>105.0</v>
      </c>
      <c r="C67" s="13" t="s">
        <v>6736</v>
      </c>
      <c r="D67" s="13" t="s">
        <v>6737</v>
      </c>
      <c r="E67" s="13" t="s">
        <v>6738</v>
      </c>
      <c r="F67" s="13" t="s">
        <v>6739</v>
      </c>
      <c r="G67" s="13" t="s">
        <v>6740</v>
      </c>
      <c r="H67" s="14" t="s">
        <v>18</v>
      </c>
      <c r="I67" s="1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22.5" customHeight="1">
      <c r="A68" s="9">
        <v>66.0</v>
      </c>
      <c r="B68" s="16">
        <v>105.0</v>
      </c>
      <c r="C68" s="13" t="s">
        <v>6741</v>
      </c>
      <c r="D68" s="13" t="s">
        <v>911</v>
      </c>
      <c r="E68" s="13" t="s">
        <v>912</v>
      </c>
      <c r="F68" s="13" t="s">
        <v>6742</v>
      </c>
      <c r="G68" s="13" t="s">
        <v>6743</v>
      </c>
      <c r="H68" s="14" t="s">
        <v>18</v>
      </c>
      <c r="I68" s="1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22.5" customHeight="1">
      <c r="A69" s="9">
        <v>67.0</v>
      </c>
      <c r="B69" s="16">
        <v>105.0</v>
      </c>
      <c r="C69" s="13" t="s">
        <v>6744</v>
      </c>
      <c r="D69" s="13" t="s">
        <v>6745</v>
      </c>
      <c r="E69" s="13" t="s">
        <v>6746</v>
      </c>
      <c r="F69" s="13" t="s">
        <v>6747</v>
      </c>
      <c r="G69" s="13" t="s">
        <v>6748</v>
      </c>
      <c r="H69" s="14" t="s">
        <v>18</v>
      </c>
      <c r="I69" s="1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22.5" customHeight="1">
      <c r="A70" s="9">
        <v>68.0</v>
      </c>
      <c r="B70" s="16">
        <v>105.0</v>
      </c>
      <c r="C70" s="13" t="s">
        <v>6666</v>
      </c>
      <c r="D70" s="13" t="s">
        <v>6667</v>
      </c>
      <c r="E70" s="13" t="s">
        <v>6668</v>
      </c>
      <c r="F70" s="13" t="s">
        <v>6669</v>
      </c>
      <c r="G70" s="13" t="s">
        <v>6670</v>
      </c>
      <c r="H70" s="15"/>
      <c r="I70" s="1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22.5" customHeight="1">
      <c r="A71" s="9">
        <v>69.0</v>
      </c>
      <c r="B71" s="16">
        <v>105.0</v>
      </c>
      <c r="C71" s="13" t="s">
        <v>6674</v>
      </c>
      <c r="D71" s="13" t="s">
        <v>3625</v>
      </c>
      <c r="E71" s="13" t="s">
        <v>3626</v>
      </c>
      <c r="F71" s="13" t="s">
        <v>6676</v>
      </c>
      <c r="G71" s="13" t="s">
        <v>6677</v>
      </c>
      <c r="H71" s="15"/>
      <c r="I71" s="1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22.5" customHeight="1">
      <c r="A72" s="9">
        <v>70.0</v>
      </c>
      <c r="B72" s="16">
        <v>105.0</v>
      </c>
      <c r="C72" s="13" t="s">
        <v>6749</v>
      </c>
      <c r="D72" s="13" t="s">
        <v>6750</v>
      </c>
      <c r="E72" s="13" t="s">
        <v>6751</v>
      </c>
      <c r="F72" s="13" t="s">
        <v>6567</v>
      </c>
      <c r="G72" s="13" t="s">
        <v>6752</v>
      </c>
      <c r="H72" s="15"/>
      <c r="I72" s="1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22.5" customHeight="1">
      <c r="A73" s="9">
        <v>71.0</v>
      </c>
      <c r="B73" s="16">
        <v>104.0</v>
      </c>
      <c r="C73" s="13" t="s">
        <v>6753</v>
      </c>
      <c r="D73" s="13" t="s">
        <v>6754</v>
      </c>
      <c r="E73" s="13" t="s">
        <v>6755</v>
      </c>
      <c r="F73" s="13" t="s">
        <v>6756</v>
      </c>
      <c r="G73" s="13" t="s">
        <v>6757</v>
      </c>
      <c r="H73" s="15"/>
      <c r="I73" s="1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22.5" customHeight="1">
      <c r="A74" s="9">
        <v>72.0</v>
      </c>
      <c r="B74" s="16">
        <v>104.0</v>
      </c>
      <c r="C74" s="13" t="s">
        <v>6628</v>
      </c>
      <c r="D74" s="13" t="s">
        <v>6629</v>
      </c>
      <c r="E74" s="13" t="s">
        <v>6630</v>
      </c>
      <c r="F74" s="13" t="s">
        <v>6631</v>
      </c>
      <c r="G74" s="13" t="s">
        <v>6758</v>
      </c>
      <c r="H74" s="14" t="s">
        <v>18</v>
      </c>
      <c r="I74" s="14" t="s">
        <v>18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22.5" customHeight="1">
      <c r="A75" s="9">
        <v>73.0</v>
      </c>
      <c r="B75" s="16">
        <v>104.0</v>
      </c>
      <c r="C75" s="13" t="s">
        <v>6569</v>
      </c>
      <c r="D75" s="13" t="s">
        <v>6570</v>
      </c>
      <c r="E75" s="13" t="s">
        <v>6571</v>
      </c>
      <c r="F75" s="13" t="s">
        <v>6572</v>
      </c>
      <c r="G75" s="13" t="s">
        <v>6759</v>
      </c>
      <c r="H75" s="14" t="s">
        <v>18</v>
      </c>
      <c r="I75" s="14" t="s">
        <v>18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22.5" customHeight="1">
      <c r="A76" s="9">
        <v>74.0</v>
      </c>
      <c r="B76" s="16">
        <v>104.0</v>
      </c>
      <c r="C76" s="13" t="s">
        <v>6760</v>
      </c>
      <c r="D76" s="13" t="s">
        <v>6761</v>
      </c>
      <c r="E76" s="13" t="s">
        <v>6762</v>
      </c>
      <c r="F76" s="13" t="s">
        <v>6763</v>
      </c>
      <c r="G76" s="13" t="s">
        <v>6764</v>
      </c>
      <c r="H76" s="14" t="s">
        <v>18</v>
      </c>
      <c r="I76" s="1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22.5" customHeight="1">
      <c r="A77" s="9">
        <v>75.0</v>
      </c>
      <c r="B77" s="16">
        <v>104.0</v>
      </c>
      <c r="C77" s="13" t="s">
        <v>6765</v>
      </c>
      <c r="D77" s="13" t="s">
        <v>2319</v>
      </c>
      <c r="E77" s="13" t="s">
        <v>2320</v>
      </c>
      <c r="F77" s="13" t="s">
        <v>6766</v>
      </c>
      <c r="G77" s="13" t="s">
        <v>6767</v>
      </c>
      <c r="H77" s="14" t="s">
        <v>18</v>
      </c>
      <c r="I77" s="1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22.5" customHeight="1">
      <c r="A78" s="9">
        <v>76.0</v>
      </c>
      <c r="B78" s="16">
        <v>104.0</v>
      </c>
      <c r="C78" s="13" t="s">
        <v>6624</v>
      </c>
      <c r="D78" s="13" t="s">
        <v>6625</v>
      </c>
      <c r="E78" s="13" t="s">
        <v>6626</v>
      </c>
      <c r="F78" s="13" t="s">
        <v>6516</v>
      </c>
      <c r="G78" s="13" t="s">
        <v>6627</v>
      </c>
      <c r="H78" s="15"/>
      <c r="I78" s="1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22.5" customHeight="1">
      <c r="A79" s="9">
        <v>77.0</v>
      </c>
      <c r="B79" s="16">
        <v>104.0</v>
      </c>
      <c r="C79" s="13" t="s">
        <v>6768</v>
      </c>
      <c r="D79" s="13" t="s">
        <v>3380</v>
      </c>
      <c r="E79" s="13" t="s">
        <v>3381</v>
      </c>
      <c r="F79" s="13" t="s">
        <v>6769</v>
      </c>
      <c r="G79" s="13" t="s">
        <v>6770</v>
      </c>
      <c r="H79" s="15"/>
      <c r="I79" s="1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22.5" customHeight="1">
      <c r="A80" s="9">
        <v>78.0</v>
      </c>
      <c r="B80" s="16">
        <v>104.0</v>
      </c>
      <c r="C80" s="13" t="s">
        <v>6771</v>
      </c>
      <c r="D80" s="13" t="s">
        <v>829</v>
      </c>
      <c r="E80" s="13" t="s">
        <v>6772</v>
      </c>
      <c r="F80" s="13" t="s">
        <v>6688</v>
      </c>
      <c r="G80" s="13" t="s">
        <v>6689</v>
      </c>
      <c r="H80" s="14" t="s">
        <v>18</v>
      </c>
      <c r="I80" s="14" t="s">
        <v>18</v>
      </c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22.5" customHeight="1">
      <c r="A81" s="9">
        <v>79.0</v>
      </c>
      <c r="B81" s="16">
        <v>104.0</v>
      </c>
      <c r="C81" s="13" t="s">
        <v>6773</v>
      </c>
      <c r="D81" s="13" t="s">
        <v>6774</v>
      </c>
      <c r="E81" s="13" t="s">
        <v>6775</v>
      </c>
      <c r="F81" s="13" t="s">
        <v>6776</v>
      </c>
      <c r="G81" s="13" t="s">
        <v>6777</v>
      </c>
      <c r="H81" s="14" t="s">
        <v>18</v>
      </c>
      <c r="I81" s="1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22.5" customHeight="1">
      <c r="A82" s="9">
        <v>80.0</v>
      </c>
      <c r="B82" s="16">
        <v>104.0</v>
      </c>
      <c r="C82" s="13" t="s">
        <v>6778</v>
      </c>
      <c r="D82" s="13" t="s">
        <v>6779</v>
      </c>
      <c r="E82" s="13" t="s">
        <v>6780</v>
      </c>
      <c r="F82" s="13" t="s">
        <v>6781</v>
      </c>
      <c r="G82" s="13" t="s">
        <v>6782</v>
      </c>
      <c r="H82" s="15"/>
      <c r="I82" s="1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22.5" customHeight="1">
      <c r="A83" s="9">
        <v>81.0</v>
      </c>
      <c r="B83" s="16">
        <v>103.0</v>
      </c>
      <c r="C83" s="13" t="s">
        <v>6783</v>
      </c>
      <c r="D83" s="13" t="s">
        <v>6784</v>
      </c>
      <c r="E83" s="13" t="s">
        <v>6785</v>
      </c>
      <c r="F83" s="13" t="s">
        <v>6786</v>
      </c>
      <c r="G83" s="13" t="s">
        <v>6787</v>
      </c>
      <c r="H83" s="14" t="s">
        <v>18</v>
      </c>
      <c r="I83" s="1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22.5" customHeight="1">
      <c r="A84" s="9">
        <v>82.0</v>
      </c>
      <c r="B84" s="16">
        <v>103.0</v>
      </c>
      <c r="C84" s="13" t="s">
        <v>6788</v>
      </c>
      <c r="D84" s="13" t="s">
        <v>6789</v>
      </c>
      <c r="E84" s="13" t="s">
        <v>6790</v>
      </c>
      <c r="F84" s="13" t="s">
        <v>6791</v>
      </c>
      <c r="G84" s="13" t="s">
        <v>6792</v>
      </c>
      <c r="H84" s="14" t="s">
        <v>18</v>
      </c>
      <c r="I84" s="1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22.5" customHeight="1">
      <c r="A85" s="9">
        <v>83.0</v>
      </c>
      <c r="B85" s="16">
        <v>103.0</v>
      </c>
      <c r="C85" s="13" t="s">
        <v>6793</v>
      </c>
      <c r="D85" s="13" t="s">
        <v>6794</v>
      </c>
      <c r="E85" s="13" t="s">
        <v>6795</v>
      </c>
      <c r="F85" s="13" t="s">
        <v>6688</v>
      </c>
      <c r="G85" s="13" t="s">
        <v>6689</v>
      </c>
      <c r="H85" s="15"/>
      <c r="I85" s="1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22.5" customHeight="1">
      <c r="A86" s="9">
        <v>84.0</v>
      </c>
      <c r="B86" s="16">
        <v>103.0</v>
      </c>
      <c r="C86" s="13" t="s">
        <v>6796</v>
      </c>
      <c r="D86" s="13" t="s">
        <v>6797</v>
      </c>
      <c r="E86" s="13" t="s">
        <v>6798</v>
      </c>
      <c r="F86" s="13" t="s">
        <v>6799</v>
      </c>
      <c r="G86" s="13" t="s">
        <v>6800</v>
      </c>
      <c r="H86" s="14" t="s">
        <v>18</v>
      </c>
      <c r="I86" s="1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22.5" customHeight="1">
      <c r="A87" s="9">
        <v>85.0</v>
      </c>
      <c r="B87" s="16">
        <v>103.0</v>
      </c>
      <c r="C87" s="13" t="s">
        <v>6801</v>
      </c>
      <c r="D87" s="13" t="s">
        <v>6802</v>
      </c>
      <c r="E87" s="13" t="s">
        <v>6803</v>
      </c>
      <c r="F87" s="13" t="s">
        <v>6804</v>
      </c>
      <c r="G87" s="13" t="s">
        <v>6805</v>
      </c>
      <c r="H87" s="15"/>
      <c r="I87" s="1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22.5" customHeight="1">
      <c r="A88" s="9">
        <v>86.0</v>
      </c>
      <c r="B88" s="16">
        <v>103.0</v>
      </c>
      <c r="C88" s="13" t="s">
        <v>6806</v>
      </c>
      <c r="D88" s="13" t="s">
        <v>6807</v>
      </c>
      <c r="E88" s="13" t="s">
        <v>6808</v>
      </c>
      <c r="F88" s="13" t="s">
        <v>6809</v>
      </c>
      <c r="G88" s="13" t="s">
        <v>6810</v>
      </c>
      <c r="H88" s="14" t="s">
        <v>18</v>
      </c>
      <c r="I88" s="1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22.5" customHeight="1">
      <c r="A89" s="9">
        <v>87.0</v>
      </c>
      <c r="B89" s="16">
        <v>103.0</v>
      </c>
      <c r="C89" s="13" t="s">
        <v>6811</v>
      </c>
      <c r="D89" s="13" t="s">
        <v>6812</v>
      </c>
      <c r="E89" s="13" t="s">
        <v>6813</v>
      </c>
      <c r="F89" s="13" t="s">
        <v>6602</v>
      </c>
      <c r="G89" s="13" t="s">
        <v>6814</v>
      </c>
      <c r="H89" s="14" t="s">
        <v>18</v>
      </c>
      <c r="I89" s="1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22.5" customHeight="1">
      <c r="A90" s="9">
        <v>88.0</v>
      </c>
      <c r="B90" s="16">
        <v>103.0</v>
      </c>
      <c r="C90" s="13" t="s">
        <v>6815</v>
      </c>
      <c r="D90" s="13" t="s">
        <v>6816</v>
      </c>
      <c r="E90" s="13" t="s">
        <v>6817</v>
      </c>
      <c r="F90" s="13" t="s">
        <v>6818</v>
      </c>
      <c r="G90" s="13" t="s">
        <v>6819</v>
      </c>
      <c r="H90" s="15"/>
      <c r="I90" s="1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22.5" customHeight="1">
      <c r="A91" s="9">
        <v>89.0</v>
      </c>
      <c r="B91" s="16">
        <v>103.0</v>
      </c>
      <c r="C91" s="13" t="s">
        <v>6820</v>
      </c>
      <c r="D91" s="13" t="s">
        <v>6821</v>
      </c>
      <c r="E91" s="13" t="s">
        <v>6822</v>
      </c>
      <c r="F91" s="13" t="s">
        <v>6823</v>
      </c>
      <c r="G91" s="13" t="s">
        <v>6824</v>
      </c>
      <c r="H91" s="14" t="s">
        <v>18</v>
      </c>
      <c r="I91" s="1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22.5" customHeight="1">
      <c r="A92" s="9">
        <v>90.0</v>
      </c>
      <c r="B92" s="16">
        <v>103.0</v>
      </c>
      <c r="C92" s="13" t="s">
        <v>6825</v>
      </c>
      <c r="D92" s="13" t="s">
        <v>6826</v>
      </c>
      <c r="E92" s="13" t="s">
        <v>6827</v>
      </c>
      <c r="F92" s="13" t="s">
        <v>6559</v>
      </c>
      <c r="G92" s="13" t="s">
        <v>6828</v>
      </c>
      <c r="H92" s="15"/>
      <c r="I92" s="1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22.5" customHeight="1">
      <c r="A93" s="9">
        <v>91.0</v>
      </c>
      <c r="B93" s="12">
        <v>102.0</v>
      </c>
      <c r="C93" s="13" t="s">
        <v>6624</v>
      </c>
      <c r="D93" s="13" t="s">
        <v>6625</v>
      </c>
      <c r="E93" s="13" t="s">
        <v>6626</v>
      </c>
      <c r="F93" s="13" t="s">
        <v>6516</v>
      </c>
      <c r="G93" s="13" t="s">
        <v>6627</v>
      </c>
      <c r="H93" s="15"/>
      <c r="I93" s="1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22.5" customHeight="1">
      <c r="A94" s="9">
        <v>92.0</v>
      </c>
      <c r="B94" s="12">
        <v>102.0</v>
      </c>
      <c r="C94" s="13" t="s">
        <v>6829</v>
      </c>
      <c r="D94" s="13" t="s">
        <v>283</v>
      </c>
      <c r="E94" s="13" t="s">
        <v>284</v>
      </c>
      <c r="F94" s="13" t="s">
        <v>6830</v>
      </c>
      <c r="G94" s="13" t="s">
        <v>6831</v>
      </c>
      <c r="H94" s="15"/>
      <c r="I94" s="1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22.5" customHeight="1">
      <c r="A95" s="9">
        <v>93.0</v>
      </c>
      <c r="B95" s="12">
        <v>102.0</v>
      </c>
      <c r="C95" s="13" t="s">
        <v>6832</v>
      </c>
      <c r="D95" s="13" t="s">
        <v>1977</v>
      </c>
      <c r="E95" s="13" t="s">
        <v>1978</v>
      </c>
      <c r="F95" s="13" t="s">
        <v>6833</v>
      </c>
      <c r="G95" s="13" t="s">
        <v>6834</v>
      </c>
      <c r="H95" s="15"/>
      <c r="I95" s="1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22.5" customHeight="1">
      <c r="A96" s="9">
        <v>94.0</v>
      </c>
      <c r="B96" s="12">
        <v>102.0</v>
      </c>
      <c r="C96" s="13" t="s">
        <v>6835</v>
      </c>
      <c r="D96" s="13" t="s">
        <v>6490</v>
      </c>
      <c r="E96" s="13" t="s">
        <v>6491</v>
      </c>
      <c r="F96" s="13" t="s">
        <v>6836</v>
      </c>
      <c r="G96" s="13" t="s">
        <v>6837</v>
      </c>
      <c r="H96" s="14" t="s">
        <v>18</v>
      </c>
      <c r="I96" s="1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22.5" customHeight="1">
      <c r="A97" s="9">
        <v>95.0</v>
      </c>
      <c r="B97" s="12">
        <v>102.0</v>
      </c>
      <c r="C97" s="13" t="s">
        <v>6685</v>
      </c>
      <c r="D97" s="13" t="s">
        <v>6686</v>
      </c>
      <c r="E97" s="13" t="s">
        <v>6687</v>
      </c>
      <c r="F97" s="13" t="s">
        <v>6688</v>
      </c>
      <c r="G97" s="13" t="s">
        <v>6689</v>
      </c>
      <c r="H97" s="15"/>
      <c r="I97" s="1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22.5" customHeight="1">
      <c r="A98" s="9">
        <v>96.0</v>
      </c>
      <c r="B98" s="12">
        <v>102.0</v>
      </c>
      <c r="C98" s="13" t="s">
        <v>6584</v>
      </c>
      <c r="D98" s="13" t="s">
        <v>2748</v>
      </c>
      <c r="E98" s="13" t="s">
        <v>2749</v>
      </c>
      <c r="F98" s="13" t="s">
        <v>6585</v>
      </c>
      <c r="G98" s="13" t="s">
        <v>6838</v>
      </c>
      <c r="H98" s="14" t="s">
        <v>18</v>
      </c>
      <c r="I98" s="1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22.5" customHeight="1">
      <c r="A99" s="9">
        <v>97.0</v>
      </c>
      <c r="B99" s="12">
        <v>102.0</v>
      </c>
      <c r="C99" s="13" t="s">
        <v>6839</v>
      </c>
      <c r="D99" s="13" t="s">
        <v>6542</v>
      </c>
      <c r="E99" s="13" t="s">
        <v>6543</v>
      </c>
      <c r="F99" s="13" t="s">
        <v>6818</v>
      </c>
      <c r="G99" s="13" t="s">
        <v>6840</v>
      </c>
      <c r="H99" s="14" t="s">
        <v>18</v>
      </c>
      <c r="I99" s="1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22.5" customHeight="1">
      <c r="A100" s="9">
        <v>98.0</v>
      </c>
      <c r="B100" s="12">
        <v>102.0</v>
      </c>
      <c r="C100" s="13" t="s">
        <v>6841</v>
      </c>
      <c r="D100" s="13" t="s">
        <v>797</v>
      </c>
      <c r="E100" s="13" t="s">
        <v>798</v>
      </c>
      <c r="F100" s="13" t="s">
        <v>6842</v>
      </c>
      <c r="G100" s="13" t="s">
        <v>6843</v>
      </c>
      <c r="H100" s="14" t="s">
        <v>18</v>
      </c>
      <c r="I100" s="1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22.5" customHeight="1">
      <c r="A101" s="9">
        <v>99.0</v>
      </c>
      <c r="B101" s="12">
        <v>102.0</v>
      </c>
      <c r="C101" s="13" t="s">
        <v>6844</v>
      </c>
      <c r="D101" s="13" t="s">
        <v>2418</v>
      </c>
      <c r="E101" s="13" t="s">
        <v>2419</v>
      </c>
      <c r="F101" s="13" t="s">
        <v>6845</v>
      </c>
      <c r="G101" s="13" t="s">
        <v>6846</v>
      </c>
      <c r="H101" s="14" t="s">
        <v>18</v>
      </c>
      <c r="I101" s="1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22.5" customHeight="1">
      <c r="A102" s="9">
        <v>100.0</v>
      </c>
      <c r="B102" s="12">
        <v>102.0</v>
      </c>
      <c r="C102" s="13" t="s">
        <v>6847</v>
      </c>
      <c r="D102" s="13" t="s">
        <v>1323</v>
      </c>
      <c r="E102" s="13" t="s">
        <v>1324</v>
      </c>
      <c r="F102" s="13" t="s">
        <v>6848</v>
      </c>
      <c r="G102" s="13" t="s">
        <v>6849</v>
      </c>
      <c r="H102" s="14" t="s">
        <v>18</v>
      </c>
      <c r="I102" s="1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22.5" customHeight="1">
      <c r="A103" s="9">
        <v>101.0</v>
      </c>
      <c r="B103" s="16">
        <v>101.0</v>
      </c>
      <c r="C103" s="13" t="s">
        <v>6850</v>
      </c>
      <c r="D103" s="13" t="s">
        <v>6851</v>
      </c>
      <c r="E103" s="13" t="s">
        <v>6852</v>
      </c>
      <c r="F103" s="13" t="s">
        <v>6853</v>
      </c>
      <c r="G103" s="13" t="s">
        <v>6854</v>
      </c>
      <c r="H103" s="14" t="s">
        <v>18</v>
      </c>
      <c r="I103" s="1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22.5" customHeight="1">
      <c r="A104" s="9">
        <v>102.0</v>
      </c>
      <c r="B104" s="16">
        <v>101.0</v>
      </c>
      <c r="C104" s="13" t="s">
        <v>6855</v>
      </c>
      <c r="D104" s="13" t="s">
        <v>6856</v>
      </c>
      <c r="E104" s="13" t="s">
        <v>6857</v>
      </c>
      <c r="F104" s="13" t="s">
        <v>6858</v>
      </c>
      <c r="G104" s="13" t="s">
        <v>6859</v>
      </c>
      <c r="H104" s="14" t="s">
        <v>18</v>
      </c>
      <c r="I104" s="1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22.5" customHeight="1">
      <c r="A105" s="9">
        <v>103.0</v>
      </c>
      <c r="B105" s="16">
        <v>101.0</v>
      </c>
      <c r="C105" s="13" t="s">
        <v>6860</v>
      </c>
      <c r="D105" s="13" t="s">
        <v>6861</v>
      </c>
      <c r="E105" s="13" t="s">
        <v>6862</v>
      </c>
      <c r="F105" s="13" t="s">
        <v>6863</v>
      </c>
      <c r="G105" s="13" t="s">
        <v>6864</v>
      </c>
      <c r="H105" s="14" t="s">
        <v>18</v>
      </c>
      <c r="I105" s="1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22.5" customHeight="1">
      <c r="A106" s="9">
        <v>104.0</v>
      </c>
      <c r="B106" s="16">
        <v>101.0</v>
      </c>
      <c r="C106" s="13" t="s">
        <v>6865</v>
      </c>
      <c r="D106" s="13" t="s">
        <v>6866</v>
      </c>
      <c r="E106" s="13" t="s">
        <v>6867</v>
      </c>
      <c r="F106" s="13" t="s">
        <v>6868</v>
      </c>
      <c r="G106" s="13" t="s">
        <v>6869</v>
      </c>
      <c r="H106" s="14" t="s">
        <v>18</v>
      </c>
      <c r="I106" s="1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22.5" customHeight="1">
      <c r="A107" s="9">
        <v>105.0</v>
      </c>
      <c r="B107" s="16">
        <v>101.0</v>
      </c>
      <c r="C107" s="13" t="s">
        <v>6870</v>
      </c>
      <c r="D107" s="13" t="s">
        <v>6871</v>
      </c>
      <c r="E107" s="13" t="s">
        <v>6872</v>
      </c>
      <c r="F107" s="13" t="s">
        <v>6873</v>
      </c>
      <c r="G107" s="13" t="s">
        <v>6874</v>
      </c>
      <c r="H107" s="14" t="s">
        <v>18</v>
      </c>
      <c r="I107" s="1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22.5" customHeight="1">
      <c r="A108" s="9">
        <v>106.0</v>
      </c>
      <c r="B108" s="16">
        <v>101.0</v>
      </c>
      <c r="C108" s="13" t="s">
        <v>6875</v>
      </c>
      <c r="D108" s="13" t="s">
        <v>713</v>
      </c>
      <c r="E108" s="13" t="s">
        <v>180</v>
      </c>
      <c r="F108" s="13" t="s">
        <v>6876</v>
      </c>
      <c r="G108" s="13" t="s">
        <v>6877</v>
      </c>
      <c r="H108" s="14" t="s">
        <v>18</v>
      </c>
      <c r="I108" s="1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22.5" customHeight="1">
      <c r="A109" s="9">
        <v>107.0</v>
      </c>
      <c r="B109" s="16">
        <v>101.0</v>
      </c>
      <c r="C109" s="13" t="s">
        <v>6829</v>
      </c>
      <c r="D109" s="13" t="s">
        <v>283</v>
      </c>
      <c r="E109" s="13" t="s">
        <v>284</v>
      </c>
      <c r="F109" s="13" t="s">
        <v>6830</v>
      </c>
      <c r="G109" s="13" t="s">
        <v>6878</v>
      </c>
      <c r="H109" s="15"/>
      <c r="I109" s="1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22.5" customHeight="1">
      <c r="A110" s="9">
        <v>108.0</v>
      </c>
      <c r="B110" s="16">
        <v>101.0</v>
      </c>
      <c r="C110" s="13" t="s">
        <v>6879</v>
      </c>
      <c r="D110" s="13" t="s">
        <v>6880</v>
      </c>
      <c r="E110" s="13" t="s">
        <v>6881</v>
      </c>
      <c r="F110" s="13" t="s">
        <v>6882</v>
      </c>
      <c r="G110" s="13" t="s">
        <v>6883</v>
      </c>
      <c r="H110" s="14" t="s">
        <v>18</v>
      </c>
      <c r="I110" s="1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22.5" customHeight="1">
      <c r="A111" s="9">
        <v>109.0</v>
      </c>
      <c r="B111" s="16">
        <v>101.0</v>
      </c>
      <c r="C111" s="13" t="s">
        <v>6884</v>
      </c>
      <c r="D111" s="13" t="s">
        <v>334</v>
      </c>
      <c r="E111" s="13" t="s">
        <v>335</v>
      </c>
      <c r="F111" s="13" t="s">
        <v>6885</v>
      </c>
      <c r="G111" s="13" t="s">
        <v>6886</v>
      </c>
      <c r="H111" s="14" t="s">
        <v>18</v>
      </c>
      <c r="I111" s="1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22.5" customHeight="1">
      <c r="A112" s="9">
        <v>110.0</v>
      </c>
      <c r="B112" s="16">
        <v>101.0</v>
      </c>
      <c r="C112" s="13" t="s">
        <v>6887</v>
      </c>
      <c r="D112" s="13" t="s">
        <v>6888</v>
      </c>
      <c r="E112" s="13" t="s">
        <v>6889</v>
      </c>
      <c r="F112" s="21" t="s">
        <v>6890</v>
      </c>
      <c r="G112" s="13" t="s">
        <v>6891</v>
      </c>
      <c r="H112" s="15"/>
      <c r="I112" s="1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22.5" customHeight="1">
      <c r="A113" s="9">
        <v>111.0</v>
      </c>
      <c r="B113" s="16">
        <v>100.0</v>
      </c>
      <c r="C113" s="13" t="s">
        <v>6892</v>
      </c>
      <c r="D113" s="13" t="s">
        <v>3259</v>
      </c>
      <c r="E113" s="13" t="s">
        <v>3260</v>
      </c>
      <c r="F113" s="13" t="s">
        <v>6893</v>
      </c>
      <c r="G113" s="13" t="s">
        <v>6894</v>
      </c>
      <c r="H113" s="14" t="s">
        <v>18</v>
      </c>
      <c r="I113" s="1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22.5" customHeight="1">
      <c r="A114" s="9">
        <v>112.0</v>
      </c>
      <c r="B114" s="16">
        <v>100.0</v>
      </c>
      <c r="C114" s="13" t="s">
        <v>6718</v>
      </c>
      <c r="D114" s="13" t="s">
        <v>3015</v>
      </c>
      <c r="E114" s="13" t="s">
        <v>3016</v>
      </c>
      <c r="F114" s="13" t="s">
        <v>6719</v>
      </c>
      <c r="G114" s="13" t="s">
        <v>6895</v>
      </c>
      <c r="H114" s="14" t="s">
        <v>18</v>
      </c>
      <c r="I114" s="1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22.5" customHeight="1">
      <c r="A115" s="9">
        <v>113.0</v>
      </c>
      <c r="B115" s="16">
        <v>100.0</v>
      </c>
      <c r="C115" s="13" t="s">
        <v>6896</v>
      </c>
      <c r="D115" s="13" t="s">
        <v>6897</v>
      </c>
      <c r="E115" s="13" t="s">
        <v>6898</v>
      </c>
      <c r="F115" s="13" t="s">
        <v>6899</v>
      </c>
      <c r="G115" s="13" t="s">
        <v>6900</v>
      </c>
      <c r="H115" s="15"/>
      <c r="I115" s="1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22.5" customHeight="1">
      <c r="A116" s="9">
        <v>114.0</v>
      </c>
      <c r="B116" s="16">
        <v>100.0</v>
      </c>
      <c r="C116" s="13" t="s">
        <v>6765</v>
      </c>
      <c r="D116" s="13" t="s">
        <v>2319</v>
      </c>
      <c r="E116" s="13" t="s">
        <v>2320</v>
      </c>
      <c r="F116" s="13" t="s">
        <v>6766</v>
      </c>
      <c r="G116" s="13" t="s">
        <v>6901</v>
      </c>
      <c r="H116" s="15"/>
      <c r="I116" s="1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22.5" customHeight="1">
      <c r="A117" s="9">
        <v>115.0</v>
      </c>
      <c r="B117" s="16">
        <v>100.0</v>
      </c>
      <c r="C117" s="13" t="s">
        <v>6902</v>
      </c>
      <c r="D117" s="13" t="s">
        <v>3731</v>
      </c>
      <c r="E117" s="13" t="s">
        <v>3732</v>
      </c>
      <c r="F117" s="13" t="s">
        <v>6607</v>
      </c>
      <c r="G117" s="13" t="s">
        <v>6903</v>
      </c>
      <c r="H117" s="15"/>
      <c r="I117" s="1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22.5" customHeight="1">
      <c r="A118" s="9">
        <v>116.0</v>
      </c>
      <c r="B118" s="16">
        <v>100.0</v>
      </c>
      <c r="C118" s="13" t="s">
        <v>6904</v>
      </c>
      <c r="D118" s="13" t="s">
        <v>6905</v>
      </c>
      <c r="E118" s="13" t="s">
        <v>6906</v>
      </c>
      <c r="F118" s="13" t="s">
        <v>6907</v>
      </c>
      <c r="G118" s="13" t="s">
        <v>6908</v>
      </c>
      <c r="H118" s="14" t="s">
        <v>18</v>
      </c>
      <c r="I118" s="1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22.5" customHeight="1">
      <c r="A119" s="9">
        <v>117.0</v>
      </c>
      <c r="B119" s="16">
        <v>100.0</v>
      </c>
      <c r="C119" s="13" t="s">
        <v>6909</v>
      </c>
      <c r="D119" s="13" t="s">
        <v>6910</v>
      </c>
      <c r="E119" s="13" t="s">
        <v>6911</v>
      </c>
      <c r="F119" s="13" t="s">
        <v>6912</v>
      </c>
      <c r="G119" s="13" t="s">
        <v>6913</v>
      </c>
      <c r="H119" s="14" t="s">
        <v>18</v>
      </c>
      <c r="I119" s="14" t="s">
        <v>18</v>
      </c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22.5" customHeight="1">
      <c r="A120" s="9">
        <v>118.0</v>
      </c>
      <c r="B120" s="16">
        <v>100.0</v>
      </c>
      <c r="C120" s="13" t="s">
        <v>6914</v>
      </c>
      <c r="D120" s="13" t="s">
        <v>6915</v>
      </c>
      <c r="E120" s="13" t="s">
        <v>6916</v>
      </c>
      <c r="F120" s="13" t="s">
        <v>6917</v>
      </c>
      <c r="G120" s="13" t="s">
        <v>6918</v>
      </c>
      <c r="H120" s="15"/>
      <c r="I120" s="1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22.5" customHeight="1">
      <c r="A121" s="9">
        <v>119.0</v>
      </c>
      <c r="B121" s="16">
        <v>100.0</v>
      </c>
      <c r="C121" s="13" t="s">
        <v>6919</v>
      </c>
      <c r="D121" s="13" t="s">
        <v>6920</v>
      </c>
      <c r="E121" s="13" t="s">
        <v>6921</v>
      </c>
      <c r="F121" s="13" t="s">
        <v>6922</v>
      </c>
      <c r="G121" s="13" t="s">
        <v>6923</v>
      </c>
      <c r="H121" s="14" t="s">
        <v>18</v>
      </c>
      <c r="I121" s="1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22.5" customHeight="1">
      <c r="A122" s="9">
        <v>120.0</v>
      </c>
      <c r="B122" s="16">
        <v>100.0</v>
      </c>
      <c r="C122" s="13" t="s">
        <v>6924</v>
      </c>
      <c r="D122" s="13" t="s">
        <v>6696</v>
      </c>
      <c r="E122" s="13" t="s">
        <v>6697</v>
      </c>
      <c r="F122" s="13" t="s">
        <v>6925</v>
      </c>
      <c r="G122" s="13" t="s">
        <v>6926</v>
      </c>
      <c r="H122" s="15"/>
      <c r="I122" s="1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22.5" customHeight="1">
      <c r="A123" s="9">
        <v>121.0</v>
      </c>
      <c r="B123" s="16">
        <v>99.0</v>
      </c>
      <c r="C123" s="13" t="s">
        <v>6927</v>
      </c>
      <c r="D123" s="13" t="s">
        <v>6928</v>
      </c>
      <c r="E123" s="13" t="s">
        <v>6929</v>
      </c>
      <c r="F123" s="13" t="s">
        <v>6930</v>
      </c>
      <c r="G123" s="13" t="s">
        <v>6931</v>
      </c>
      <c r="H123" s="15"/>
      <c r="I123" s="1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22.5" customHeight="1">
      <c r="A124" s="9">
        <v>122.0</v>
      </c>
      <c r="B124" s="16">
        <v>99.0</v>
      </c>
      <c r="C124" s="13" t="s">
        <v>6932</v>
      </c>
      <c r="D124" s="13" t="s">
        <v>6933</v>
      </c>
      <c r="E124" s="13" t="s">
        <v>6934</v>
      </c>
      <c r="F124" s="13" t="s">
        <v>6935</v>
      </c>
      <c r="G124" s="13" t="s">
        <v>6936</v>
      </c>
      <c r="H124" s="15"/>
      <c r="I124" s="1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22.5" customHeight="1">
      <c r="A125" s="9">
        <v>123.0</v>
      </c>
      <c r="B125" s="16">
        <v>99.0</v>
      </c>
      <c r="C125" s="13" t="s">
        <v>6937</v>
      </c>
      <c r="D125" s="13" t="s">
        <v>6938</v>
      </c>
      <c r="E125" s="13" t="s">
        <v>6939</v>
      </c>
      <c r="F125" s="13" t="s">
        <v>6940</v>
      </c>
      <c r="G125" s="13" t="s">
        <v>6941</v>
      </c>
      <c r="H125" s="14" t="s">
        <v>18</v>
      </c>
      <c r="I125" s="1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22.5" customHeight="1">
      <c r="A126" s="9">
        <v>124.0</v>
      </c>
      <c r="B126" s="16">
        <v>99.0</v>
      </c>
      <c r="C126" s="13" t="s">
        <v>6942</v>
      </c>
      <c r="D126" s="13" t="s">
        <v>6943</v>
      </c>
      <c r="E126" s="13" t="s">
        <v>6944</v>
      </c>
      <c r="F126" s="13" t="s">
        <v>6945</v>
      </c>
      <c r="G126" s="13" t="s">
        <v>6946</v>
      </c>
      <c r="H126" s="14" t="s">
        <v>18</v>
      </c>
      <c r="I126" s="1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22.5" customHeight="1">
      <c r="A127" s="9">
        <v>125.0</v>
      </c>
      <c r="B127" s="16">
        <v>99.0</v>
      </c>
      <c r="C127" s="13" t="s">
        <v>6947</v>
      </c>
      <c r="D127" s="13" t="s">
        <v>345</v>
      </c>
      <c r="E127" s="13" t="s">
        <v>346</v>
      </c>
      <c r="F127" s="13" t="s">
        <v>6948</v>
      </c>
      <c r="G127" s="13" t="s">
        <v>6949</v>
      </c>
      <c r="H127" s="15"/>
      <c r="I127" s="1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22.5" customHeight="1">
      <c r="A128" s="9">
        <v>126.0</v>
      </c>
      <c r="B128" s="16">
        <v>99.0</v>
      </c>
      <c r="C128" s="13" t="s">
        <v>6950</v>
      </c>
      <c r="D128" s="13" t="s">
        <v>6951</v>
      </c>
      <c r="E128" s="13" t="s">
        <v>6952</v>
      </c>
      <c r="F128" s="13" t="s">
        <v>6953</v>
      </c>
      <c r="G128" s="13" t="s">
        <v>6954</v>
      </c>
      <c r="H128" s="14" t="s">
        <v>18</v>
      </c>
      <c r="I128" s="1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22.5" customHeight="1">
      <c r="A129" s="9">
        <v>127.0</v>
      </c>
      <c r="B129" s="16">
        <v>99.0</v>
      </c>
      <c r="C129" s="13" t="s">
        <v>6955</v>
      </c>
      <c r="D129" s="13" t="s">
        <v>6956</v>
      </c>
      <c r="E129" s="13" t="s">
        <v>6957</v>
      </c>
      <c r="F129" s="13" t="s">
        <v>6539</v>
      </c>
      <c r="G129" s="13" t="s">
        <v>6958</v>
      </c>
      <c r="H129" s="14" t="s">
        <v>18</v>
      </c>
      <c r="I129" s="1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22.5" customHeight="1">
      <c r="A130" s="9">
        <v>128.0</v>
      </c>
      <c r="B130" s="16">
        <v>99.0</v>
      </c>
      <c r="C130" s="13" t="s">
        <v>6959</v>
      </c>
      <c r="D130" s="13" t="s">
        <v>6960</v>
      </c>
      <c r="E130" s="13" t="s">
        <v>6961</v>
      </c>
      <c r="F130" s="13" t="s">
        <v>6962</v>
      </c>
      <c r="G130" s="13" t="s">
        <v>6963</v>
      </c>
      <c r="H130" s="14" t="s">
        <v>18</v>
      </c>
      <c r="I130" s="1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22.5" customHeight="1">
      <c r="A131" s="9">
        <v>129.0</v>
      </c>
      <c r="B131" s="16">
        <v>99.0</v>
      </c>
      <c r="C131" s="13" t="s">
        <v>6914</v>
      </c>
      <c r="D131" s="13" t="s">
        <v>6915</v>
      </c>
      <c r="E131" s="13" t="s">
        <v>6964</v>
      </c>
      <c r="F131" s="13" t="s">
        <v>6917</v>
      </c>
      <c r="G131" s="13" t="s">
        <v>6965</v>
      </c>
      <c r="H131" s="15"/>
      <c r="I131" s="1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22.5" customHeight="1">
      <c r="A132" s="9">
        <v>130.0</v>
      </c>
      <c r="B132" s="16">
        <v>99.0</v>
      </c>
      <c r="C132" s="13" t="s">
        <v>6966</v>
      </c>
      <c r="D132" s="13" t="s">
        <v>6967</v>
      </c>
      <c r="E132" s="13" t="s">
        <v>6968</v>
      </c>
      <c r="F132" s="13" t="s">
        <v>6969</v>
      </c>
      <c r="G132" s="13" t="s">
        <v>6970</v>
      </c>
      <c r="H132" s="14" t="s">
        <v>18</v>
      </c>
      <c r="I132" s="14" t="s">
        <v>18</v>
      </c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22.5" customHeight="1">
      <c r="A133" s="9">
        <v>131.0</v>
      </c>
      <c r="B133" s="16">
        <v>98.0</v>
      </c>
      <c r="C133" s="13" t="s">
        <v>6971</v>
      </c>
      <c r="D133" s="13" t="s">
        <v>3938</v>
      </c>
      <c r="E133" s="13" t="s">
        <v>3939</v>
      </c>
      <c r="F133" s="13" t="s">
        <v>6972</v>
      </c>
      <c r="G133" s="13" t="s">
        <v>6973</v>
      </c>
      <c r="H133" s="14" t="s">
        <v>18</v>
      </c>
      <c r="I133" s="1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22.5" customHeight="1">
      <c r="A134" s="9">
        <v>132.0</v>
      </c>
      <c r="B134" s="16">
        <v>98.0</v>
      </c>
      <c r="C134" s="13" t="s">
        <v>6974</v>
      </c>
      <c r="D134" s="13" t="s">
        <v>1281</v>
      </c>
      <c r="E134" s="13" t="s">
        <v>1282</v>
      </c>
      <c r="F134" s="13" t="s">
        <v>6482</v>
      </c>
      <c r="G134" s="13" t="s">
        <v>6975</v>
      </c>
      <c r="H134" s="15"/>
      <c r="I134" s="1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22.5" customHeight="1">
      <c r="A135" s="9">
        <v>133.0</v>
      </c>
      <c r="B135" s="16">
        <v>98.0</v>
      </c>
      <c r="C135" s="13" t="s">
        <v>6976</v>
      </c>
      <c r="D135" s="13" t="s">
        <v>6977</v>
      </c>
      <c r="E135" s="13" t="s">
        <v>6978</v>
      </c>
      <c r="F135" s="13" t="s">
        <v>6726</v>
      </c>
      <c r="G135" s="13" t="s">
        <v>6727</v>
      </c>
      <c r="H135" s="14" t="s">
        <v>18</v>
      </c>
      <c r="I135" s="1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22.5" customHeight="1">
      <c r="A136" s="9">
        <v>134.0</v>
      </c>
      <c r="B136" s="16">
        <v>98.0</v>
      </c>
      <c r="C136" s="13" t="s">
        <v>6771</v>
      </c>
      <c r="D136" s="13" t="s">
        <v>829</v>
      </c>
      <c r="E136" s="13" t="s">
        <v>6772</v>
      </c>
      <c r="F136" s="13" t="s">
        <v>6688</v>
      </c>
      <c r="G136" s="13" t="s">
        <v>6689</v>
      </c>
      <c r="H136" s="15"/>
      <c r="I136" s="1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22.5" customHeight="1">
      <c r="A137" s="9">
        <v>135.0</v>
      </c>
      <c r="B137" s="16">
        <v>98.0</v>
      </c>
      <c r="C137" s="13" t="s">
        <v>6979</v>
      </c>
      <c r="D137" s="13" t="s">
        <v>2561</v>
      </c>
      <c r="E137" s="13" t="s">
        <v>2562</v>
      </c>
      <c r="F137" s="13" t="s">
        <v>6683</v>
      </c>
      <c r="G137" s="13" t="s">
        <v>6980</v>
      </c>
      <c r="H137" s="14" t="s">
        <v>18</v>
      </c>
      <c r="I137" s="1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22.5" customHeight="1">
      <c r="A138" s="9">
        <v>136.0</v>
      </c>
      <c r="B138" s="16">
        <v>98.0</v>
      </c>
      <c r="C138" s="13" t="s">
        <v>6981</v>
      </c>
      <c r="D138" s="13" t="s">
        <v>6982</v>
      </c>
      <c r="E138" s="13" t="s">
        <v>6983</v>
      </c>
      <c r="F138" s="13" t="s">
        <v>6984</v>
      </c>
      <c r="G138" s="13" t="s">
        <v>6985</v>
      </c>
      <c r="H138" s="14" t="s">
        <v>18</v>
      </c>
      <c r="I138" s="1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22.5" customHeight="1">
      <c r="A139" s="9">
        <v>137.0</v>
      </c>
      <c r="B139" s="16">
        <v>98.0</v>
      </c>
      <c r="C139" s="13" t="s">
        <v>6986</v>
      </c>
      <c r="D139" s="13" t="s">
        <v>1012</v>
      </c>
      <c r="E139" s="13" t="s">
        <v>1013</v>
      </c>
      <c r="F139" s="13" t="s">
        <v>6987</v>
      </c>
      <c r="G139" s="13" t="s">
        <v>6988</v>
      </c>
      <c r="H139" s="15"/>
      <c r="I139" s="1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22.5" customHeight="1">
      <c r="A140" s="9">
        <v>138.0</v>
      </c>
      <c r="B140" s="16">
        <v>98.0</v>
      </c>
      <c r="C140" s="13" t="s">
        <v>6989</v>
      </c>
      <c r="D140" s="13" t="s">
        <v>145</v>
      </c>
      <c r="E140" s="13" t="s">
        <v>146</v>
      </c>
      <c r="F140" s="13" t="s">
        <v>3983</v>
      </c>
      <c r="G140" s="13" t="s">
        <v>6990</v>
      </c>
      <c r="H140" s="14" t="s">
        <v>18</v>
      </c>
      <c r="I140" s="1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22.5" customHeight="1">
      <c r="A141" s="9">
        <v>139.0</v>
      </c>
      <c r="B141" s="16">
        <v>98.0</v>
      </c>
      <c r="C141" s="13" t="s">
        <v>6991</v>
      </c>
      <c r="D141" s="13" t="s">
        <v>6992</v>
      </c>
      <c r="E141" s="13" t="s">
        <v>6993</v>
      </c>
      <c r="F141" s="13" t="s">
        <v>6830</v>
      </c>
      <c r="G141" s="13" t="s">
        <v>6994</v>
      </c>
      <c r="H141" s="14" t="s">
        <v>18</v>
      </c>
      <c r="I141" s="1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22.5" customHeight="1">
      <c r="A142" s="9">
        <v>140.0</v>
      </c>
      <c r="B142" s="16">
        <v>98.0</v>
      </c>
      <c r="C142" s="13" t="s">
        <v>6995</v>
      </c>
      <c r="D142" s="13" t="s">
        <v>6996</v>
      </c>
      <c r="E142" s="13" t="s">
        <v>6997</v>
      </c>
      <c r="F142" s="13" t="s">
        <v>6599</v>
      </c>
      <c r="G142" s="13" t="s">
        <v>6998</v>
      </c>
      <c r="H142" s="14" t="s">
        <v>18</v>
      </c>
      <c r="I142" s="1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22.5" customHeight="1">
      <c r="A143" s="9">
        <v>141.0</v>
      </c>
      <c r="B143" s="16">
        <v>97.0</v>
      </c>
      <c r="C143" s="13" t="s">
        <v>6999</v>
      </c>
      <c r="D143" s="13" t="s">
        <v>6621</v>
      </c>
      <c r="E143" s="13" t="s">
        <v>6622</v>
      </c>
      <c r="F143" s="13" t="s">
        <v>6512</v>
      </c>
      <c r="G143" s="13" t="s">
        <v>7000</v>
      </c>
      <c r="H143" s="15"/>
      <c r="I143" s="1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22.5" customHeight="1">
      <c r="A144" s="9">
        <v>142.0</v>
      </c>
      <c r="B144" s="16">
        <v>97.0</v>
      </c>
      <c r="C144" s="13" t="s">
        <v>7001</v>
      </c>
      <c r="D144" s="13" t="s">
        <v>7002</v>
      </c>
      <c r="E144" s="13" t="s">
        <v>7003</v>
      </c>
      <c r="F144" s="13" t="s">
        <v>7004</v>
      </c>
      <c r="G144" s="13" t="s">
        <v>7005</v>
      </c>
      <c r="H144" s="14" t="s">
        <v>18</v>
      </c>
      <c r="I144" s="1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22.5" customHeight="1">
      <c r="A145" s="9">
        <v>143.0</v>
      </c>
      <c r="B145" s="16">
        <v>97.0</v>
      </c>
      <c r="C145" s="13" t="s">
        <v>7006</v>
      </c>
      <c r="D145" s="13" t="s">
        <v>3731</v>
      </c>
      <c r="E145" s="13" t="s">
        <v>3732</v>
      </c>
      <c r="F145" s="13" t="s">
        <v>6607</v>
      </c>
      <c r="G145" s="13" t="s">
        <v>7007</v>
      </c>
      <c r="H145" s="14" t="s">
        <v>18</v>
      </c>
      <c r="I145" s="1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22.5" customHeight="1">
      <c r="A146" s="9">
        <v>144.0</v>
      </c>
      <c r="B146" s="16">
        <v>97.0</v>
      </c>
      <c r="C146" s="13" t="s">
        <v>7008</v>
      </c>
      <c r="D146" s="13" t="s">
        <v>7009</v>
      </c>
      <c r="E146" s="13" t="s">
        <v>7010</v>
      </c>
      <c r="F146" s="13" t="s">
        <v>7011</v>
      </c>
      <c r="G146" s="13" t="s">
        <v>7012</v>
      </c>
      <c r="H146" s="14" t="s">
        <v>18</v>
      </c>
      <c r="I146" s="1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22.5" customHeight="1">
      <c r="A147" s="9">
        <v>145.0</v>
      </c>
      <c r="B147" s="16">
        <v>97.0</v>
      </c>
      <c r="C147" s="13" t="s">
        <v>7013</v>
      </c>
      <c r="D147" s="13" t="s">
        <v>3361</v>
      </c>
      <c r="E147" s="13" t="s">
        <v>3362</v>
      </c>
      <c r="F147" s="13" t="s">
        <v>6596</v>
      </c>
      <c r="G147" s="13" t="s">
        <v>7014</v>
      </c>
      <c r="H147" s="14" t="s">
        <v>18</v>
      </c>
      <c r="I147" s="1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22.5" customHeight="1">
      <c r="A148" s="9">
        <v>146.0</v>
      </c>
      <c r="B148" s="16">
        <v>97.0</v>
      </c>
      <c r="C148" s="13" t="s">
        <v>7015</v>
      </c>
      <c r="D148" s="13" t="s">
        <v>6625</v>
      </c>
      <c r="E148" s="13" t="s">
        <v>6626</v>
      </c>
      <c r="F148" s="13" t="s">
        <v>6516</v>
      </c>
      <c r="G148" s="13" t="s">
        <v>6627</v>
      </c>
      <c r="H148" s="15"/>
      <c r="I148" s="1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22.5" customHeight="1">
      <c r="A149" s="9">
        <v>147.0</v>
      </c>
      <c r="B149" s="16">
        <v>97.0</v>
      </c>
      <c r="C149" s="13" t="s">
        <v>7016</v>
      </c>
      <c r="D149" s="13" t="s">
        <v>1778</v>
      </c>
      <c r="E149" s="13" t="s">
        <v>1779</v>
      </c>
      <c r="F149" s="13" t="s">
        <v>6781</v>
      </c>
      <c r="G149" s="13" t="s">
        <v>7017</v>
      </c>
      <c r="H149" s="15"/>
      <c r="I149" s="1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22.5" customHeight="1">
      <c r="A150" s="9">
        <v>148.0</v>
      </c>
      <c r="B150" s="16">
        <v>97.0</v>
      </c>
      <c r="C150" s="13" t="s">
        <v>7018</v>
      </c>
      <c r="D150" s="13" t="s">
        <v>865</v>
      </c>
      <c r="E150" s="13" t="s">
        <v>907</v>
      </c>
      <c r="F150" s="13" t="s">
        <v>7019</v>
      </c>
      <c r="G150" s="13" t="s">
        <v>7020</v>
      </c>
      <c r="H150" s="14" t="s">
        <v>18</v>
      </c>
      <c r="I150" s="1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22.5" customHeight="1">
      <c r="A151" s="9">
        <v>149.0</v>
      </c>
      <c r="B151" s="16">
        <v>97.0</v>
      </c>
      <c r="C151" s="13" t="s">
        <v>7021</v>
      </c>
      <c r="D151" s="13" t="s">
        <v>3898</v>
      </c>
      <c r="E151" s="13" t="s">
        <v>3899</v>
      </c>
      <c r="F151" s="13" t="s">
        <v>7022</v>
      </c>
      <c r="G151" s="13" t="s">
        <v>7023</v>
      </c>
      <c r="H151" s="14" t="s">
        <v>18</v>
      </c>
      <c r="I151" s="1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22.5" customHeight="1">
      <c r="A152" s="9">
        <v>150.0</v>
      </c>
      <c r="B152" s="16">
        <v>97.0</v>
      </c>
      <c r="C152" s="13" t="s">
        <v>7024</v>
      </c>
      <c r="D152" s="13" t="s">
        <v>888</v>
      </c>
      <c r="E152" s="13" t="s">
        <v>889</v>
      </c>
      <c r="F152" s="13" t="s">
        <v>7025</v>
      </c>
      <c r="G152" s="13" t="s">
        <v>7026</v>
      </c>
      <c r="H152" s="14" t="s">
        <v>18</v>
      </c>
      <c r="I152" s="1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22.5" customHeight="1">
      <c r="A153" s="9">
        <v>151.0</v>
      </c>
      <c r="B153" s="16">
        <v>96.0</v>
      </c>
      <c r="C153" s="13" t="s">
        <v>7027</v>
      </c>
      <c r="D153" s="13" t="s">
        <v>2932</v>
      </c>
      <c r="E153" s="13" t="s">
        <v>2933</v>
      </c>
      <c r="F153" s="13" t="s">
        <v>7028</v>
      </c>
      <c r="G153" s="13" t="s">
        <v>7029</v>
      </c>
      <c r="H153" s="14" t="s">
        <v>18</v>
      </c>
      <c r="I153" s="1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22.5" customHeight="1">
      <c r="A154" s="9">
        <v>152.0</v>
      </c>
      <c r="B154" s="16">
        <v>96.0</v>
      </c>
      <c r="C154" s="13" t="s">
        <v>7030</v>
      </c>
      <c r="D154" s="13" t="s">
        <v>6915</v>
      </c>
      <c r="E154" s="13" t="s">
        <v>6964</v>
      </c>
      <c r="F154" s="13" t="s">
        <v>6917</v>
      </c>
      <c r="G154" s="13" t="s">
        <v>7031</v>
      </c>
      <c r="H154" s="15"/>
      <c r="I154" s="1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22.5" customHeight="1">
      <c r="A155" s="9">
        <v>153.0</v>
      </c>
      <c r="B155" s="16">
        <v>96.0</v>
      </c>
      <c r="C155" s="13" t="s">
        <v>7032</v>
      </c>
      <c r="D155" s="13" t="s">
        <v>345</v>
      </c>
      <c r="E155" s="13" t="s">
        <v>346</v>
      </c>
      <c r="F155" s="13" t="s">
        <v>6948</v>
      </c>
      <c r="G155" s="13" t="s">
        <v>7033</v>
      </c>
      <c r="H155" s="15"/>
      <c r="I155" s="1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22.5" customHeight="1">
      <c r="A156" s="9">
        <v>154.0</v>
      </c>
      <c r="B156" s="16">
        <v>96.0</v>
      </c>
      <c r="C156" s="13" t="s">
        <v>7034</v>
      </c>
      <c r="D156" s="13" t="s">
        <v>7035</v>
      </c>
      <c r="E156" s="13" t="s">
        <v>7036</v>
      </c>
      <c r="F156" s="13" t="s">
        <v>7037</v>
      </c>
      <c r="G156" s="13" t="s">
        <v>7038</v>
      </c>
      <c r="H156" s="15"/>
      <c r="I156" s="1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22.5" customHeight="1">
      <c r="A157" s="9">
        <v>155.0</v>
      </c>
      <c r="B157" s="16">
        <v>96.0</v>
      </c>
      <c r="C157" s="13" t="s">
        <v>7039</v>
      </c>
      <c r="D157" s="13" t="s">
        <v>7040</v>
      </c>
      <c r="E157" s="13" t="s">
        <v>7041</v>
      </c>
      <c r="F157" s="13" t="s">
        <v>6799</v>
      </c>
      <c r="G157" s="13" t="s">
        <v>7042</v>
      </c>
      <c r="H157" s="14" t="s">
        <v>18</v>
      </c>
      <c r="I157" s="1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22.5" customHeight="1">
      <c r="A158" s="9">
        <v>156.0</v>
      </c>
      <c r="B158" s="16">
        <v>96.0</v>
      </c>
      <c r="C158" s="13" t="s">
        <v>7043</v>
      </c>
      <c r="D158" s="13" t="s">
        <v>7044</v>
      </c>
      <c r="E158" s="13" t="s">
        <v>7045</v>
      </c>
      <c r="F158" s="13" t="s">
        <v>7046</v>
      </c>
      <c r="G158" s="13" t="s">
        <v>7047</v>
      </c>
      <c r="H158" s="15"/>
      <c r="I158" s="1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22.5" customHeight="1">
      <c r="A159" s="9">
        <v>157.0</v>
      </c>
      <c r="B159" s="16">
        <v>96.0</v>
      </c>
      <c r="C159" s="13" t="s">
        <v>7048</v>
      </c>
      <c r="D159" s="13" t="s">
        <v>6575</v>
      </c>
      <c r="E159" s="13" t="s">
        <v>6576</v>
      </c>
      <c r="F159" s="13" t="s">
        <v>6577</v>
      </c>
      <c r="G159" s="13" t="s">
        <v>7049</v>
      </c>
      <c r="H159" s="15"/>
      <c r="I159" s="1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22.5" customHeight="1">
      <c r="A160" s="9">
        <v>158.0</v>
      </c>
      <c r="B160" s="16">
        <v>96.0</v>
      </c>
      <c r="C160" s="13" t="s">
        <v>7050</v>
      </c>
      <c r="D160" s="13" t="s">
        <v>1927</v>
      </c>
      <c r="E160" s="13" t="s">
        <v>1928</v>
      </c>
      <c r="F160" s="13" t="s">
        <v>7051</v>
      </c>
      <c r="G160" s="13" t="s">
        <v>7052</v>
      </c>
      <c r="H160" s="15"/>
      <c r="I160" s="1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22.5" customHeight="1">
      <c r="A161" s="9">
        <v>159.0</v>
      </c>
      <c r="B161" s="16">
        <v>96.0</v>
      </c>
      <c r="C161" s="13" t="s">
        <v>7053</v>
      </c>
      <c r="D161" s="13" t="s">
        <v>7054</v>
      </c>
      <c r="E161" s="13" t="s">
        <v>7055</v>
      </c>
      <c r="F161" s="13" t="s">
        <v>6644</v>
      </c>
      <c r="G161" s="13" t="s">
        <v>7056</v>
      </c>
      <c r="H161" s="14" t="s">
        <v>18</v>
      </c>
      <c r="I161" s="1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22.5" customHeight="1">
      <c r="A162" s="9">
        <v>160.0</v>
      </c>
      <c r="B162" s="16">
        <v>96.0</v>
      </c>
      <c r="C162" s="13" t="s">
        <v>7057</v>
      </c>
      <c r="D162" s="13" t="s">
        <v>7058</v>
      </c>
      <c r="E162" s="13" t="s">
        <v>7059</v>
      </c>
      <c r="F162" s="13" t="s">
        <v>7060</v>
      </c>
      <c r="G162" s="13" t="s">
        <v>7061</v>
      </c>
      <c r="H162" s="14" t="s">
        <v>18</v>
      </c>
      <c r="I162" s="1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22.5" customHeight="1">
      <c r="A163" s="9">
        <v>161.0</v>
      </c>
      <c r="B163" s="16">
        <v>95.0</v>
      </c>
      <c r="C163" s="13" t="s">
        <v>7006</v>
      </c>
      <c r="D163" s="13" t="s">
        <v>3731</v>
      </c>
      <c r="E163" s="13" t="s">
        <v>3732</v>
      </c>
      <c r="F163" s="13" t="s">
        <v>6607</v>
      </c>
      <c r="G163" s="13" t="s">
        <v>6903</v>
      </c>
      <c r="H163" s="15"/>
      <c r="I163" s="1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22.5" customHeight="1">
      <c r="A164" s="9">
        <v>162.0</v>
      </c>
      <c r="B164" s="16">
        <v>95.0</v>
      </c>
      <c r="C164" s="13" t="s">
        <v>7062</v>
      </c>
      <c r="D164" s="13" t="s">
        <v>6996</v>
      </c>
      <c r="E164" s="13" t="s">
        <v>6997</v>
      </c>
      <c r="F164" s="13" t="s">
        <v>6599</v>
      </c>
      <c r="G164" s="13" t="s">
        <v>7063</v>
      </c>
      <c r="H164" s="15"/>
      <c r="I164" s="1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22.5" customHeight="1">
      <c r="A165" s="9">
        <v>163.0</v>
      </c>
      <c r="B165" s="16">
        <v>95.0</v>
      </c>
      <c r="C165" s="13" t="s">
        <v>7064</v>
      </c>
      <c r="D165" s="13" t="s">
        <v>7065</v>
      </c>
      <c r="E165" s="13" t="s">
        <v>7066</v>
      </c>
      <c r="F165" s="13" t="s">
        <v>7067</v>
      </c>
      <c r="G165" s="13" t="s">
        <v>7068</v>
      </c>
      <c r="H165" s="15"/>
      <c r="I165" s="1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22.5" customHeight="1">
      <c r="A166" s="9">
        <v>164.0</v>
      </c>
      <c r="B166" s="16">
        <v>95.0</v>
      </c>
      <c r="C166" s="13" t="s">
        <v>7069</v>
      </c>
      <c r="D166" s="13" t="s">
        <v>7070</v>
      </c>
      <c r="E166" s="13" t="s">
        <v>7071</v>
      </c>
      <c r="F166" s="13" t="s">
        <v>6809</v>
      </c>
      <c r="G166" s="13" t="s">
        <v>7072</v>
      </c>
      <c r="H166" s="15"/>
      <c r="I166" s="1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22.5" customHeight="1">
      <c r="A167" s="9">
        <v>165.0</v>
      </c>
      <c r="B167" s="16">
        <v>95.0</v>
      </c>
      <c r="C167" s="13" t="s">
        <v>7073</v>
      </c>
      <c r="D167" s="13" t="s">
        <v>6667</v>
      </c>
      <c r="E167" s="13" t="s">
        <v>6668</v>
      </c>
      <c r="F167" s="13" t="s">
        <v>6669</v>
      </c>
      <c r="G167" s="13" t="s">
        <v>7074</v>
      </c>
      <c r="H167" s="14" t="s">
        <v>18</v>
      </c>
      <c r="I167" s="1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22.5" customHeight="1">
      <c r="A168" s="9">
        <v>166.0</v>
      </c>
      <c r="B168" s="16">
        <v>95.0</v>
      </c>
      <c r="C168" s="13" t="s">
        <v>7075</v>
      </c>
      <c r="D168" s="13" t="s">
        <v>7076</v>
      </c>
      <c r="E168" s="13" t="s">
        <v>7077</v>
      </c>
      <c r="F168" s="13" t="s">
        <v>7078</v>
      </c>
      <c r="G168" s="13" t="s">
        <v>7079</v>
      </c>
      <c r="H168" s="14" t="s">
        <v>18</v>
      </c>
      <c r="I168" s="1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22.5" customHeight="1">
      <c r="A169" s="9">
        <v>167.0</v>
      </c>
      <c r="B169" s="16">
        <v>95.0</v>
      </c>
      <c r="C169" s="13" t="s">
        <v>7080</v>
      </c>
      <c r="D169" s="13" t="s">
        <v>6613</v>
      </c>
      <c r="E169" s="13" t="s">
        <v>6614</v>
      </c>
      <c r="F169" s="13" t="s">
        <v>6615</v>
      </c>
      <c r="G169" s="13" t="s">
        <v>7081</v>
      </c>
      <c r="H169" s="15"/>
      <c r="I169" s="1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22.5" customHeight="1">
      <c r="A170" s="9">
        <v>168.0</v>
      </c>
      <c r="B170" s="16">
        <v>95.0</v>
      </c>
      <c r="C170" s="13" t="s">
        <v>7082</v>
      </c>
      <c r="D170" s="13" t="s">
        <v>2627</v>
      </c>
      <c r="E170" s="13" t="s">
        <v>7083</v>
      </c>
      <c r="F170" s="13" t="s">
        <v>7084</v>
      </c>
      <c r="G170" s="13" t="s">
        <v>7085</v>
      </c>
      <c r="H170" s="14" t="s">
        <v>18</v>
      </c>
      <c r="I170" s="1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22.5" customHeight="1">
      <c r="A171" s="9">
        <v>169.0</v>
      </c>
      <c r="B171" s="16">
        <v>95.0</v>
      </c>
      <c r="C171" s="13" t="s">
        <v>7086</v>
      </c>
      <c r="D171" s="13" t="s">
        <v>283</v>
      </c>
      <c r="E171" s="13" t="s">
        <v>284</v>
      </c>
      <c r="F171" s="13" t="s">
        <v>6830</v>
      </c>
      <c r="G171" s="13" t="s">
        <v>7087</v>
      </c>
      <c r="H171" s="15"/>
      <c r="I171" s="1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22.5" customHeight="1">
      <c r="A172" s="9">
        <v>170.0</v>
      </c>
      <c r="B172" s="16">
        <v>95.0</v>
      </c>
      <c r="C172" s="13" t="s">
        <v>7088</v>
      </c>
      <c r="D172" s="13" t="s">
        <v>7089</v>
      </c>
      <c r="E172" s="13" t="s">
        <v>7090</v>
      </c>
      <c r="F172" s="13" t="s">
        <v>6659</v>
      </c>
      <c r="G172" s="13" t="s">
        <v>6660</v>
      </c>
      <c r="H172" s="14" t="s">
        <v>18</v>
      </c>
      <c r="I172" s="1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22.5" customHeight="1">
      <c r="A173" s="9">
        <v>171.0</v>
      </c>
      <c r="B173" s="16">
        <v>94.0</v>
      </c>
      <c r="C173" s="13" t="s">
        <v>7091</v>
      </c>
      <c r="D173" s="13" t="s">
        <v>7092</v>
      </c>
      <c r="E173" s="13" t="s">
        <v>7093</v>
      </c>
      <c r="F173" s="13" t="s">
        <v>6559</v>
      </c>
      <c r="G173" s="13" t="s">
        <v>6828</v>
      </c>
      <c r="H173" s="14" t="s">
        <v>18</v>
      </c>
      <c r="I173" s="1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22.5" customHeight="1">
      <c r="A174" s="9">
        <v>172.0</v>
      </c>
      <c r="B174" s="16">
        <v>94.0</v>
      </c>
      <c r="C174" s="13" t="s">
        <v>7094</v>
      </c>
      <c r="D174" s="13" t="s">
        <v>6691</v>
      </c>
      <c r="E174" s="13" t="s">
        <v>6692</v>
      </c>
      <c r="F174" s="13" t="s">
        <v>7095</v>
      </c>
      <c r="G174" s="13" t="s">
        <v>7096</v>
      </c>
      <c r="H174" s="14" t="s">
        <v>18</v>
      </c>
      <c r="I174" s="14" t="s">
        <v>18</v>
      </c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22.5" customHeight="1">
      <c r="A175" s="9">
        <v>173.0</v>
      </c>
      <c r="B175" s="16">
        <v>94.0</v>
      </c>
      <c r="C175" s="13" t="s">
        <v>6518</v>
      </c>
      <c r="D175" s="13" t="s">
        <v>3702</v>
      </c>
      <c r="E175" s="13" t="s">
        <v>3703</v>
      </c>
      <c r="F175" s="13" t="s">
        <v>6519</v>
      </c>
      <c r="G175" s="13" t="s">
        <v>7097</v>
      </c>
      <c r="H175" s="15"/>
      <c r="I175" s="1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22.5" customHeight="1">
      <c r="A176" s="9">
        <v>174.0</v>
      </c>
      <c r="B176" s="16">
        <v>94.0</v>
      </c>
      <c r="C176" s="13" t="s">
        <v>7098</v>
      </c>
      <c r="D176" s="13" t="s">
        <v>661</v>
      </c>
      <c r="E176" s="13" t="s">
        <v>662</v>
      </c>
      <c r="F176" s="13" t="s">
        <v>7099</v>
      </c>
      <c r="G176" s="13" t="s">
        <v>7100</v>
      </c>
      <c r="H176" s="15"/>
      <c r="I176" s="1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22.5" customHeight="1">
      <c r="A177" s="9">
        <v>175.0</v>
      </c>
      <c r="B177" s="16">
        <v>94.0</v>
      </c>
      <c r="C177" s="13" t="s">
        <v>7101</v>
      </c>
      <c r="D177" s="13" t="s">
        <v>7102</v>
      </c>
      <c r="E177" s="13" t="s">
        <v>7103</v>
      </c>
      <c r="F177" s="13" t="s">
        <v>7104</v>
      </c>
      <c r="G177" s="13" t="s">
        <v>7105</v>
      </c>
      <c r="H177" s="14" t="s">
        <v>18</v>
      </c>
      <c r="I177" s="1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22.5" customHeight="1">
      <c r="A178" s="9">
        <v>176.0</v>
      </c>
      <c r="B178" s="16">
        <v>94.0</v>
      </c>
      <c r="C178" s="13" t="s">
        <v>7106</v>
      </c>
      <c r="D178" s="13" t="s">
        <v>395</v>
      </c>
      <c r="E178" s="13" t="s">
        <v>396</v>
      </c>
      <c r="F178" s="13" t="s">
        <v>7107</v>
      </c>
      <c r="G178" s="13" t="s">
        <v>7108</v>
      </c>
      <c r="H178" s="15"/>
      <c r="I178" s="1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22.5" customHeight="1">
      <c r="A179" s="9">
        <v>177.0</v>
      </c>
      <c r="B179" s="16">
        <v>94.0</v>
      </c>
      <c r="C179" s="13" t="s">
        <v>7109</v>
      </c>
      <c r="D179" s="13" t="s">
        <v>7110</v>
      </c>
      <c r="E179" s="13" t="s">
        <v>7111</v>
      </c>
      <c r="F179" s="13" t="s">
        <v>6830</v>
      </c>
      <c r="G179" s="13" t="s">
        <v>6831</v>
      </c>
      <c r="H179" s="14" t="s">
        <v>18</v>
      </c>
      <c r="I179" s="1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22.5" customHeight="1">
      <c r="A180" s="9">
        <v>178.0</v>
      </c>
      <c r="B180" s="16">
        <v>94.0</v>
      </c>
      <c r="C180" s="13" t="s">
        <v>7015</v>
      </c>
      <c r="D180" s="13" t="s">
        <v>6625</v>
      </c>
      <c r="E180" s="13" t="s">
        <v>6626</v>
      </c>
      <c r="F180" s="13" t="s">
        <v>6516</v>
      </c>
      <c r="G180" s="13" t="s">
        <v>6627</v>
      </c>
      <c r="H180" s="15"/>
      <c r="I180" s="1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22.5" customHeight="1">
      <c r="A181" s="9">
        <v>179.0</v>
      </c>
      <c r="B181" s="16">
        <v>94.0</v>
      </c>
      <c r="C181" s="13" t="s">
        <v>7112</v>
      </c>
      <c r="D181" s="13" t="s">
        <v>7113</v>
      </c>
      <c r="E181" s="13" t="s">
        <v>7114</v>
      </c>
      <c r="F181" s="13" t="s">
        <v>6799</v>
      </c>
      <c r="G181" s="13" t="s">
        <v>7115</v>
      </c>
      <c r="H181" s="14" t="s">
        <v>18</v>
      </c>
      <c r="I181" s="1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22.5" customHeight="1">
      <c r="A182" s="9">
        <v>180.0</v>
      </c>
      <c r="B182" s="16">
        <v>94.0</v>
      </c>
      <c r="C182" s="13" t="s">
        <v>7116</v>
      </c>
      <c r="D182" s="13" t="s">
        <v>7117</v>
      </c>
      <c r="E182" s="13" t="s">
        <v>7118</v>
      </c>
      <c r="F182" s="13" t="s">
        <v>6582</v>
      </c>
      <c r="G182" s="13" t="s">
        <v>7119</v>
      </c>
      <c r="H182" s="14" t="s">
        <v>18</v>
      </c>
      <c r="I182" s="1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22.5" customHeight="1">
      <c r="A183" s="9">
        <v>181.0</v>
      </c>
      <c r="B183" s="16">
        <v>93.0</v>
      </c>
      <c r="C183" s="13" t="s">
        <v>7120</v>
      </c>
      <c r="D183" s="13" t="s">
        <v>7121</v>
      </c>
      <c r="E183" s="13" t="s">
        <v>7122</v>
      </c>
      <c r="F183" s="13" t="s">
        <v>7123</v>
      </c>
      <c r="G183" s="13" t="s">
        <v>7124</v>
      </c>
      <c r="H183" s="15"/>
      <c r="I183" s="1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22.5" customHeight="1">
      <c r="A184" s="9">
        <v>182.0</v>
      </c>
      <c r="B184" s="16">
        <v>93.0</v>
      </c>
      <c r="C184" s="13" t="s">
        <v>7125</v>
      </c>
      <c r="D184" s="13" t="s">
        <v>7126</v>
      </c>
      <c r="E184" s="13" t="s">
        <v>7127</v>
      </c>
      <c r="F184" s="13" t="s">
        <v>6893</v>
      </c>
      <c r="G184" s="13" t="s">
        <v>7128</v>
      </c>
      <c r="H184" s="15"/>
      <c r="I184" s="1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22.5" customHeight="1">
      <c r="A185" s="9">
        <v>183.0</v>
      </c>
      <c r="B185" s="16">
        <v>93.0</v>
      </c>
      <c r="C185" s="13" t="s">
        <v>7129</v>
      </c>
      <c r="D185" s="13" t="s">
        <v>7130</v>
      </c>
      <c r="E185" s="13" t="s">
        <v>7131</v>
      </c>
      <c r="F185" s="13" t="s">
        <v>7132</v>
      </c>
      <c r="G185" s="13" t="s">
        <v>7133</v>
      </c>
      <c r="H185" s="14" t="s">
        <v>18</v>
      </c>
      <c r="I185" s="1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22.5" customHeight="1">
      <c r="A186" s="9">
        <v>184.0</v>
      </c>
      <c r="B186" s="16">
        <v>93.0</v>
      </c>
      <c r="C186" s="13" t="s">
        <v>7134</v>
      </c>
      <c r="D186" s="13" t="s">
        <v>7135</v>
      </c>
      <c r="E186" s="13" t="s">
        <v>7136</v>
      </c>
      <c r="F186" s="13" t="s">
        <v>7137</v>
      </c>
      <c r="G186" s="13" t="s">
        <v>7138</v>
      </c>
      <c r="H186" s="14" t="s">
        <v>18</v>
      </c>
      <c r="I186" s="1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22.5" customHeight="1">
      <c r="A187" s="9">
        <v>185.0</v>
      </c>
      <c r="B187" s="16">
        <v>93.0</v>
      </c>
      <c r="C187" s="13" t="s">
        <v>7139</v>
      </c>
      <c r="D187" s="13" t="s">
        <v>7140</v>
      </c>
      <c r="E187" s="13" t="s">
        <v>7141</v>
      </c>
      <c r="F187" s="13" t="s">
        <v>6719</v>
      </c>
      <c r="G187" s="13" t="s">
        <v>7142</v>
      </c>
      <c r="H187" s="15"/>
      <c r="I187" s="1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22.5" customHeight="1">
      <c r="A188" s="9">
        <v>186.0</v>
      </c>
      <c r="B188" s="16">
        <v>93.0</v>
      </c>
      <c r="C188" s="13" t="s">
        <v>7143</v>
      </c>
      <c r="D188" s="13" t="s">
        <v>1073</v>
      </c>
      <c r="E188" s="13" t="s">
        <v>1074</v>
      </c>
      <c r="F188" s="13" t="s">
        <v>7144</v>
      </c>
      <c r="G188" s="13" t="s">
        <v>7145</v>
      </c>
      <c r="H188" s="14" t="s">
        <v>18</v>
      </c>
      <c r="I188" s="1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22.5" customHeight="1">
      <c r="A189" s="9">
        <v>187.0</v>
      </c>
      <c r="B189" s="16">
        <v>93.0</v>
      </c>
      <c r="C189" s="13" t="s">
        <v>7146</v>
      </c>
      <c r="D189" s="13" t="s">
        <v>7147</v>
      </c>
      <c r="E189" s="13" t="s">
        <v>7148</v>
      </c>
      <c r="F189" s="13" t="s">
        <v>7149</v>
      </c>
      <c r="G189" s="13" t="s">
        <v>7150</v>
      </c>
      <c r="H189" s="15"/>
      <c r="I189" s="1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22.5" customHeight="1">
      <c r="A190" s="9">
        <v>188.0</v>
      </c>
      <c r="B190" s="16">
        <v>93.0</v>
      </c>
      <c r="C190" s="13" t="s">
        <v>7151</v>
      </c>
      <c r="D190" s="13" t="s">
        <v>7152</v>
      </c>
      <c r="E190" s="13" t="s">
        <v>3700</v>
      </c>
      <c r="F190" s="13" t="s">
        <v>7153</v>
      </c>
      <c r="G190" s="13" t="s">
        <v>7154</v>
      </c>
      <c r="H190" s="14" t="s">
        <v>18</v>
      </c>
      <c r="I190" s="1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22.5" customHeight="1">
      <c r="A191" s="9">
        <v>189.0</v>
      </c>
      <c r="B191" s="16">
        <v>93.0</v>
      </c>
      <c r="C191" s="13" t="s">
        <v>7155</v>
      </c>
      <c r="D191" s="13" t="s">
        <v>7156</v>
      </c>
      <c r="E191" s="13" t="s">
        <v>7157</v>
      </c>
      <c r="F191" s="13" t="s">
        <v>6742</v>
      </c>
      <c r="G191" s="13" t="s">
        <v>7158</v>
      </c>
      <c r="H191" s="15"/>
      <c r="I191" s="1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22.5" customHeight="1">
      <c r="A192" s="9">
        <v>190.0</v>
      </c>
      <c r="B192" s="16">
        <v>93.0</v>
      </c>
      <c r="C192" s="13" t="s">
        <v>7159</v>
      </c>
      <c r="D192" s="13" t="s">
        <v>4102</v>
      </c>
      <c r="E192" s="13" t="s">
        <v>4103</v>
      </c>
      <c r="F192" s="13" t="s">
        <v>7160</v>
      </c>
      <c r="G192" s="13" t="s">
        <v>7161</v>
      </c>
      <c r="H192" s="14" t="s">
        <v>18</v>
      </c>
      <c r="I192" s="1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22.5" customHeight="1">
      <c r="A193" s="9">
        <v>191.0</v>
      </c>
      <c r="B193" s="16">
        <v>92.0</v>
      </c>
      <c r="C193" s="13" t="s">
        <v>7162</v>
      </c>
      <c r="D193" s="13" t="s">
        <v>2406</v>
      </c>
      <c r="E193" s="13" t="s">
        <v>2407</v>
      </c>
      <c r="F193" s="13" t="s">
        <v>6683</v>
      </c>
      <c r="G193" s="13" t="s">
        <v>7163</v>
      </c>
      <c r="H193" s="15"/>
      <c r="I193" s="1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22.5" customHeight="1">
      <c r="A194" s="9">
        <v>192.0</v>
      </c>
      <c r="B194" s="16">
        <v>92.0</v>
      </c>
      <c r="C194" s="13" t="s">
        <v>7164</v>
      </c>
      <c r="D194" s="13" t="s">
        <v>3380</v>
      </c>
      <c r="E194" s="13" t="s">
        <v>3381</v>
      </c>
      <c r="F194" s="13" t="s">
        <v>6769</v>
      </c>
      <c r="G194" s="13" t="s">
        <v>7165</v>
      </c>
      <c r="H194" s="14" t="s">
        <v>18</v>
      </c>
      <c r="I194" s="1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22.5" customHeight="1">
      <c r="A195" s="9">
        <v>193.0</v>
      </c>
      <c r="B195" s="16">
        <v>92.0</v>
      </c>
      <c r="C195" s="13" t="s">
        <v>7166</v>
      </c>
      <c r="D195" s="13" t="s">
        <v>7167</v>
      </c>
      <c r="E195" s="13" t="s">
        <v>7168</v>
      </c>
      <c r="F195" s="13" t="s">
        <v>7169</v>
      </c>
      <c r="G195" s="13" t="s">
        <v>7170</v>
      </c>
      <c r="H195" s="14" t="s">
        <v>18</v>
      </c>
      <c r="I195" s="1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22.5" customHeight="1">
      <c r="A196" s="9">
        <v>194.0</v>
      </c>
      <c r="B196" s="16">
        <v>92.0</v>
      </c>
      <c r="C196" s="13" t="s">
        <v>7171</v>
      </c>
      <c r="D196" s="13" t="s">
        <v>7172</v>
      </c>
      <c r="E196" s="13" t="s">
        <v>7173</v>
      </c>
      <c r="F196" s="13" t="s">
        <v>7174</v>
      </c>
      <c r="G196" s="13" t="s">
        <v>7175</v>
      </c>
      <c r="H196" s="14" t="s">
        <v>18</v>
      </c>
      <c r="I196" s="1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22.5" customHeight="1">
      <c r="A197" s="9">
        <v>195.0</v>
      </c>
      <c r="B197" s="16">
        <v>92.0</v>
      </c>
      <c r="C197" s="13" t="s">
        <v>7176</v>
      </c>
      <c r="D197" s="13" t="s">
        <v>6703</v>
      </c>
      <c r="E197" s="13" t="s">
        <v>6704</v>
      </c>
      <c r="F197" s="13" t="s">
        <v>6705</v>
      </c>
      <c r="G197" s="13" t="s">
        <v>7177</v>
      </c>
      <c r="H197" s="14" t="s">
        <v>18</v>
      </c>
      <c r="I197" s="14" t="s">
        <v>18</v>
      </c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22.5" customHeight="1">
      <c r="A198" s="9">
        <v>196.0</v>
      </c>
      <c r="B198" s="16">
        <v>92.0</v>
      </c>
      <c r="C198" s="13" t="s">
        <v>7178</v>
      </c>
      <c r="D198" s="13" t="s">
        <v>3723</v>
      </c>
      <c r="E198" s="13" t="s">
        <v>3724</v>
      </c>
      <c r="F198" s="13" t="s">
        <v>6639</v>
      </c>
      <c r="G198" s="13" t="s">
        <v>7179</v>
      </c>
      <c r="H198" s="15"/>
      <c r="I198" s="1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22.5" customHeight="1">
      <c r="A199" s="9">
        <v>197.0</v>
      </c>
      <c r="B199" s="16">
        <v>92.0</v>
      </c>
      <c r="C199" s="13" t="s">
        <v>7180</v>
      </c>
      <c r="D199" s="13" t="s">
        <v>6956</v>
      </c>
      <c r="E199" s="13" t="s">
        <v>6957</v>
      </c>
      <c r="F199" s="13" t="s">
        <v>6539</v>
      </c>
      <c r="G199" s="13" t="s">
        <v>7181</v>
      </c>
      <c r="H199" s="15"/>
      <c r="I199" s="1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22.5" customHeight="1">
      <c r="A200" s="9">
        <v>198.0</v>
      </c>
      <c r="B200" s="16">
        <v>92.0</v>
      </c>
      <c r="C200" s="13" t="s">
        <v>7182</v>
      </c>
      <c r="D200" s="13" t="s">
        <v>181</v>
      </c>
      <c r="E200" s="13" t="s">
        <v>182</v>
      </c>
      <c r="F200" s="13" t="s">
        <v>7183</v>
      </c>
      <c r="G200" s="13" t="s">
        <v>7184</v>
      </c>
      <c r="H200" s="14" t="s">
        <v>18</v>
      </c>
      <c r="I200" s="1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22.5" customHeight="1">
      <c r="A201" s="9">
        <v>199.0</v>
      </c>
      <c r="B201" s="16">
        <v>92.0</v>
      </c>
      <c r="C201" s="13" t="s">
        <v>6561</v>
      </c>
      <c r="D201" s="13" t="s">
        <v>6562</v>
      </c>
      <c r="E201" s="13" t="s">
        <v>6563</v>
      </c>
      <c r="F201" s="13" t="s">
        <v>6564</v>
      </c>
      <c r="G201" s="13" t="s">
        <v>7185</v>
      </c>
      <c r="H201" s="14" t="s">
        <v>18</v>
      </c>
      <c r="I201" s="1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22.5" customHeight="1">
      <c r="A202" s="9">
        <v>200.0</v>
      </c>
      <c r="B202" s="16">
        <v>92.0</v>
      </c>
      <c r="C202" s="13" t="s">
        <v>7186</v>
      </c>
      <c r="D202" s="13" t="s">
        <v>1016</v>
      </c>
      <c r="E202" s="13" t="s">
        <v>1017</v>
      </c>
      <c r="F202" s="13" t="s">
        <v>7187</v>
      </c>
      <c r="G202" s="13" t="s">
        <v>7188</v>
      </c>
      <c r="H202" s="15"/>
      <c r="I202" s="1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22.5" customHeight="1">
      <c r="A203" s="9">
        <v>201.0</v>
      </c>
      <c r="B203" s="16">
        <v>91.0</v>
      </c>
      <c r="C203" s="13" t="s">
        <v>7189</v>
      </c>
      <c r="D203" s="13" t="s">
        <v>4098</v>
      </c>
      <c r="E203" s="13" t="s">
        <v>4099</v>
      </c>
      <c r="F203" s="13" t="s">
        <v>6935</v>
      </c>
      <c r="G203" s="13" t="s">
        <v>7190</v>
      </c>
      <c r="H203" s="15"/>
      <c r="I203" s="1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22.5" customHeight="1">
      <c r="A204" s="9">
        <v>202.0</v>
      </c>
      <c r="B204" s="16">
        <v>91.0</v>
      </c>
      <c r="C204" s="13" t="s">
        <v>6551</v>
      </c>
      <c r="D204" s="13" t="s">
        <v>1884</v>
      </c>
      <c r="E204" s="13" t="s">
        <v>1885</v>
      </c>
      <c r="F204" s="13" t="s">
        <v>6552</v>
      </c>
      <c r="G204" s="13" t="s">
        <v>7191</v>
      </c>
      <c r="H204" s="14" t="s">
        <v>18</v>
      </c>
      <c r="I204" s="1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22.5" customHeight="1">
      <c r="A205" s="9">
        <v>203.0</v>
      </c>
      <c r="B205" s="16">
        <v>91.0</v>
      </c>
      <c r="C205" s="13" t="s">
        <v>7192</v>
      </c>
      <c r="D205" s="13" t="s">
        <v>1096</v>
      </c>
      <c r="E205" s="13" t="s">
        <v>1097</v>
      </c>
      <c r="F205" s="13" t="s">
        <v>7193</v>
      </c>
      <c r="G205" s="13" t="s">
        <v>7194</v>
      </c>
      <c r="H205" s="14" t="s">
        <v>18</v>
      </c>
      <c r="I205" s="1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22.5" customHeight="1">
      <c r="A206" s="9">
        <v>204.0</v>
      </c>
      <c r="B206" s="16">
        <v>91.0</v>
      </c>
      <c r="C206" s="13" t="s">
        <v>7195</v>
      </c>
      <c r="D206" s="13" t="s">
        <v>1239</v>
      </c>
      <c r="E206" s="13" t="s">
        <v>1240</v>
      </c>
      <c r="F206" s="13" t="s">
        <v>7196</v>
      </c>
      <c r="G206" s="13" t="s">
        <v>7197</v>
      </c>
      <c r="H206" s="14" t="s">
        <v>18</v>
      </c>
      <c r="I206" s="1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22.5" customHeight="1">
      <c r="A207" s="9">
        <v>205.0</v>
      </c>
      <c r="B207" s="16">
        <v>91.0</v>
      </c>
      <c r="C207" s="13" t="s">
        <v>7198</v>
      </c>
      <c r="D207" s="13" t="s">
        <v>1234</v>
      </c>
      <c r="E207" s="13" t="s">
        <v>1235</v>
      </c>
      <c r="F207" s="13" t="s">
        <v>7199</v>
      </c>
      <c r="G207" s="13" t="s">
        <v>7200</v>
      </c>
      <c r="H207" s="14" t="s">
        <v>18</v>
      </c>
      <c r="I207" s="1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22.5" customHeight="1">
      <c r="A208" s="9">
        <v>206.0</v>
      </c>
      <c r="B208" s="16">
        <v>91.0</v>
      </c>
      <c r="C208" s="13" t="s">
        <v>7201</v>
      </c>
      <c r="D208" s="13" t="s">
        <v>301</v>
      </c>
      <c r="E208" s="13" t="s">
        <v>7202</v>
      </c>
      <c r="F208" s="13" t="s">
        <v>6734</v>
      </c>
      <c r="G208" s="13" t="s">
        <v>7203</v>
      </c>
      <c r="H208" s="15"/>
      <c r="I208" s="1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22.5" customHeight="1">
      <c r="A209" s="9">
        <v>207.0</v>
      </c>
      <c r="B209" s="16">
        <v>91.0</v>
      </c>
      <c r="C209" s="13" t="s">
        <v>7204</v>
      </c>
      <c r="D209" s="13" t="s">
        <v>6696</v>
      </c>
      <c r="E209" s="13" t="s">
        <v>6697</v>
      </c>
      <c r="F209" s="13" t="s">
        <v>6925</v>
      </c>
      <c r="G209" s="13" t="s">
        <v>7205</v>
      </c>
      <c r="H209" s="15"/>
      <c r="I209" s="1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22.5" customHeight="1">
      <c r="A210" s="9">
        <v>208.0</v>
      </c>
      <c r="B210" s="16">
        <v>91.0</v>
      </c>
      <c r="C210" s="13" t="s">
        <v>7206</v>
      </c>
      <c r="D210" s="13" t="s">
        <v>7207</v>
      </c>
      <c r="E210" s="13" t="s">
        <v>7208</v>
      </c>
      <c r="F210" s="13" t="s">
        <v>6669</v>
      </c>
      <c r="G210" s="13" t="s">
        <v>7209</v>
      </c>
      <c r="H210" s="15"/>
      <c r="I210" s="1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22.5" customHeight="1">
      <c r="A211" s="9">
        <v>209.0</v>
      </c>
      <c r="B211" s="16">
        <v>91.0</v>
      </c>
      <c r="C211" s="13" t="s">
        <v>7210</v>
      </c>
      <c r="D211" s="13" t="s">
        <v>4238</v>
      </c>
      <c r="E211" s="13" t="s">
        <v>4239</v>
      </c>
      <c r="F211" s="13" t="s">
        <v>7211</v>
      </c>
      <c r="G211" s="13" t="s">
        <v>7212</v>
      </c>
      <c r="H211" s="14" t="s">
        <v>18</v>
      </c>
      <c r="I211" s="1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22.5" customHeight="1">
      <c r="A212" s="9">
        <v>210.0</v>
      </c>
      <c r="B212" s="16">
        <v>91.0</v>
      </c>
      <c r="C212" s="13" t="s">
        <v>7213</v>
      </c>
      <c r="D212" s="13" t="s">
        <v>2678</v>
      </c>
      <c r="E212" s="13" t="s">
        <v>2679</v>
      </c>
      <c r="F212" s="13" t="s">
        <v>7214</v>
      </c>
      <c r="G212" s="13" t="s">
        <v>7215</v>
      </c>
      <c r="H212" s="15"/>
      <c r="I212" s="1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22.5" customHeight="1">
      <c r="A213" s="9">
        <v>211.0</v>
      </c>
      <c r="B213" s="16">
        <v>90.0</v>
      </c>
      <c r="C213" s="13" t="s">
        <v>7216</v>
      </c>
      <c r="D213" s="13" t="s">
        <v>3423</v>
      </c>
      <c r="E213" s="13" t="s">
        <v>3424</v>
      </c>
      <c r="F213" s="13" t="s">
        <v>7217</v>
      </c>
      <c r="G213" s="13" t="s">
        <v>7218</v>
      </c>
      <c r="H213" s="14" t="s">
        <v>18</v>
      </c>
      <c r="I213" s="1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22.5" customHeight="1">
      <c r="A214" s="9">
        <v>212.0</v>
      </c>
      <c r="B214" s="16">
        <v>90.0</v>
      </c>
      <c r="C214" s="13" t="s">
        <v>6541</v>
      </c>
      <c r="D214" s="13" t="s">
        <v>6542</v>
      </c>
      <c r="E214" s="13" t="s">
        <v>6543</v>
      </c>
      <c r="F214" s="13" t="s">
        <v>6544</v>
      </c>
      <c r="G214" s="13" t="s">
        <v>7219</v>
      </c>
      <c r="H214" s="14" t="s">
        <v>18</v>
      </c>
      <c r="I214" s="1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22.5" customHeight="1">
      <c r="A215" s="9">
        <v>213.0</v>
      </c>
      <c r="B215" s="16">
        <v>90.0</v>
      </c>
      <c r="C215" s="13" t="s">
        <v>7220</v>
      </c>
      <c r="D215" s="13" t="s">
        <v>7221</v>
      </c>
      <c r="E215" s="13" t="s">
        <v>7222</v>
      </c>
      <c r="F215" s="13" t="s">
        <v>6577</v>
      </c>
      <c r="G215" s="13" t="s">
        <v>7223</v>
      </c>
      <c r="H215" s="15"/>
      <c r="I215" s="1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22.5" customHeight="1">
      <c r="A216" s="9">
        <v>214.0</v>
      </c>
      <c r="B216" s="16">
        <v>90.0</v>
      </c>
      <c r="C216" s="13" t="s">
        <v>7224</v>
      </c>
      <c r="D216" s="13" t="s">
        <v>7225</v>
      </c>
      <c r="E216" s="13" t="s">
        <v>7226</v>
      </c>
      <c r="F216" s="13" t="s">
        <v>7227</v>
      </c>
      <c r="G216" s="13" t="s">
        <v>7228</v>
      </c>
      <c r="H216" s="14" t="s">
        <v>18</v>
      </c>
      <c r="I216" s="1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22.5" customHeight="1">
      <c r="A217" s="9">
        <v>215.0</v>
      </c>
      <c r="B217" s="16">
        <v>90.0</v>
      </c>
      <c r="C217" s="13" t="s">
        <v>7229</v>
      </c>
      <c r="D217" s="13" t="s">
        <v>7230</v>
      </c>
      <c r="E217" s="13" t="s">
        <v>7231</v>
      </c>
      <c r="F217" s="13" t="s">
        <v>7232</v>
      </c>
      <c r="G217" s="13" t="s">
        <v>7233</v>
      </c>
      <c r="H217" s="15"/>
      <c r="I217" s="1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22.5" customHeight="1">
      <c r="A218" s="9">
        <v>216.0</v>
      </c>
      <c r="B218" s="16">
        <v>90.0</v>
      </c>
      <c r="C218" s="13" t="s">
        <v>7234</v>
      </c>
      <c r="D218" s="13" t="s">
        <v>6928</v>
      </c>
      <c r="E218" s="13" t="s">
        <v>6929</v>
      </c>
      <c r="F218" s="13" t="s">
        <v>6930</v>
      </c>
      <c r="G218" s="13" t="s">
        <v>7235</v>
      </c>
      <c r="H218" s="15"/>
      <c r="I218" s="1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22.5" customHeight="1">
      <c r="A219" s="9">
        <v>217.0</v>
      </c>
      <c r="B219" s="16">
        <v>90.0</v>
      </c>
      <c r="C219" s="13" t="s">
        <v>7016</v>
      </c>
      <c r="D219" s="13" t="s">
        <v>1778</v>
      </c>
      <c r="E219" s="13" t="s">
        <v>1779</v>
      </c>
      <c r="F219" s="13" t="s">
        <v>6781</v>
      </c>
      <c r="G219" s="13" t="s">
        <v>7017</v>
      </c>
      <c r="H219" s="15"/>
      <c r="I219" s="1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22.5" customHeight="1">
      <c r="A220" s="9">
        <v>218.0</v>
      </c>
      <c r="B220" s="16">
        <v>90.0</v>
      </c>
      <c r="C220" s="13" t="s">
        <v>7236</v>
      </c>
      <c r="D220" s="13" t="s">
        <v>7237</v>
      </c>
      <c r="E220" s="13" t="s">
        <v>7238</v>
      </c>
      <c r="F220" s="13" t="s">
        <v>7239</v>
      </c>
      <c r="G220" s="13" t="s">
        <v>7240</v>
      </c>
      <c r="H220" s="15"/>
      <c r="I220" s="1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22.5" customHeight="1">
      <c r="A221" s="9">
        <v>219.0</v>
      </c>
      <c r="B221" s="16">
        <v>90.0</v>
      </c>
      <c r="C221" s="13" t="s">
        <v>7241</v>
      </c>
      <c r="D221" s="13" t="s">
        <v>697</v>
      </c>
      <c r="E221" s="13" t="s">
        <v>698</v>
      </c>
      <c r="F221" s="13" t="s">
        <v>6559</v>
      </c>
      <c r="G221" s="13" t="s">
        <v>7242</v>
      </c>
      <c r="H221" s="15"/>
      <c r="I221" s="1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22.5" customHeight="1">
      <c r="A222" s="9">
        <v>220.0</v>
      </c>
      <c r="B222" s="16">
        <v>90.0</v>
      </c>
      <c r="C222" s="13" t="s">
        <v>7243</v>
      </c>
      <c r="D222" s="13" t="s">
        <v>6708</v>
      </c>
      <c r="E222" s="13" t="s">
        <v>6709</v>
      </c>
      <c r="F222" s="13" t="s">
        <v>6710</v>
      </c>
      <c r="G222" s="13" t="s">
        <v>7244</v>
      </c>
      <c r="H222" s="14" t="s">
        <v>18</v>
      </c>
      <c r="I222" s="1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22.5" customHeight="1">
      <c r="A223" s="9">
        <v>221.0</v>
      </c>
      <c r="B223" s="16">
        <v>87.0</v>
      </c>
      <c r="C223" s="13" t="s">
        <v>7245</v>
      </c>
      <c r="D223" s="13" t="s">
        <v>7113</v>
      </c>
      <c r="E223" s="13" t="s">
        <v>7114</v>
      </c>
      <c r="F223" s="13" t="s">
        <v>7246</v>
      </c>
      <c r="G223" s="13" t="s">
        <v>7247</v>
      </c>
      <c r="H223" s="15"/>
      <c r="I223" s="1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22.5" customHeight="1">
      <c r="A224" s="9">
        <v>222.0</v>
      </c>
      <c r="B224" s="16">
        <v>87.0</v>
      </c>
      <c r="C224" s="13" t="s">
        <v>7248</v>
      </c>
      <c r="D224" s="13" t="s">
        <v>7249</v>
      </c>
      <c r="E224" s="13" t="s">
        <v>7250</v>
      </c>
      <c r="F224" s="13" t="s">
        <v>7251</v>
      </c>
      <c r="G224" s="13" t="s">
        <v>7252</v>
      </c>
      <c r="H224" s="14" t="s">
        <v>18</v>
      </c>
      <c r="I224" s="1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22.5" customHeight="1">
      <c r="A225" s="9">
        <v>223.0</v>
      </c>
      <c r="B225" s="16">
        <v>87.0</v>
      </c>
      <c r="C225" s="13" t="s">
        <v>7253</v>
      </c>
      <c r="D225" s="13" t="s">
        <v>3713</v>
      </c>
      <c r="E225" s="13" t="s">
        <v>7254</v>
      </c>
      <c r="F225" s="13" t="s">
        <v>3917</v>
      </c>
      <c r="G225" s="13" t="s">
        <v>7255</v>
      </c>
      <c r="H225" s="14" t="s">
        <v>18</v>
      </c>
      <c r="I225" s="1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22.5" customHeight="1">
      <c r="A226" s="9">
        <v>224.0</v>
      </c>
      <c r="B226" s="16">
        <v>87.0</v>
      </c>
      <c r="C226" s="13" t="s">
        <v>7256</v>
      </c>
      <c r="D226" s="13" t="s">
        <v>6591</v>
      </c>
      <c r="E226" s="13" t="s">
        <v>6592</v>
      </c>
      <c r="F226" s="13" t="s">
        <v>7257</v>
      </c>
      <c r="G226" s="13" t="s">
        <v>7258</v>
      </c>
      <c r="H226" s="15"/>
      <c r="I226" s="1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22.5" customHeight="1">
      <c r="A227" s="9">
        <v>225.0</v>
      </c>
      <c r="B227" s="16">
        <v>87.0</v>
      </c>
      <c r="C227" s="13" t="s">
        <v>7259</v>
      </c>
      <c r="D227" s="13" t="s">
        <v>4186</v>
      </c>
      <c r="E227" s="13" t="s">
        <v>4187</v>
      </c>
      <c r="F227" s="13" t="s">
        <v>6503</v>
      </c>
      <c r="G227" s="13" t="s">
        <v>7260</v>
      </c>
      <c r="H227" s="15"/>
      <c r="I227" s="1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22.5" customHeight="1">
      <c r="A228" s="9">
        <v>226.0</v>
      </c>
      <c r="B228" s="16">
        <v>87.0</v>
      </c>
      <c r="C228" s="13" t="s">
        <v>7261</v>
      </c>
      <c r="D228" s="13" t="s">
        <v>6910</v>
      </c>
      <c r="E228" s="13" t="s">
        <v>6911</v>
      </c>
      <c r="F228" s="13" t="s">
        <v>6912</v>
      </c>
      <c r="G228" s="13" t="s">
        <v>6913</v>
      </c>
      <c r="H228" s="14" t="s">
        <v>18</v>
      </c>
      <c r="I228" s="1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22.5" customHeight="1">
      <c r="A229" s="9">
        <v>227.0</v>
      </c>
      <c r="B229" s="16">
        <v>87.0</v>
      </c>
      <c r="C229" s="13" t="s">
        <v>7262</v>
      </c>
      <c r="D229" s="13" t="s">
        <v>67</v>
      </c>
      <c r="E229" s="13" t="s">
        <v>68</v>
      </c>
      <c r="F229" s="13" t="s">
        <v>7263</v>
      </c>
      <c r="G229" s="13" t="s">
        <v>7264</v>
      </c>
      <c r="H229" s="14" t="s">
        <v>18</v>
      </c>
      <c r="I229" s="1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22.5" customHeight="1">
      <c r="A230" s="9">
        <v>228.0</v>
      </c>
      <c r="B230" s="16">
        <v>87.0</v>
      </c>
      <c r="C230" s="13" t="s">
        <v>7265</v>
      </c>
      <c r="D230" s="13" t="s">
        <v>953</v>
      </c>
      <c r="E230" s="13" t="s">
        <v>954</v>
      </c>
      <c r="F230" s="13" t="s">
        <v>7266</v>
      </c>
      <c r="G230" s="13" t="s">
        <v>7267</v>
      </c>
      <c r="H230" s="14" t="s">
        <v>18</v>
      </c>
      <c r="I230" s="1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22.5" customHeight="1">
      <c r="A231" s="9">
        <v>229.0</v>
      </c>
      <c r="B231" s="16">
        <v>87.0</v>
      </c>
      <c r="C231" s="13" t="s">
        <v>7268</v>
      </c>
      <c r="D231" s="13" t="s">
        <v>753</v>
      </c>
      <c r="E231" s="13" t="s">
        <v>754</v>
      </c>
      <c r="F231" s="13" t="s">
        <v>7269</v>
      </c>
      <c r="G231" s="13" t="s">
        <v>7270</v>
      </c>
      <c r="H231" s="15"/>
      <c r="I231" s="1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22.5" customHeight="1">
      <c r="A232" s="9">
        <v>230.0</v>
      </c>
      <c r="B232" s="16">
        <v>87.0</v>
      </c>
      <c r="C232" s="13" t="s">
        <v>7271</v>
      </c>
      <c r="D232" s="13" t="s">
        <v>7272</v>
      </c>
      <c r="E232" s="13" t="s">
        <v>7273</v>
      </c>
      <c r="F232" s="13" t="s">
        <v>7274</v>
      </c>
      <c r="G232" s="13" t="s">
        <v>7275</v>
      </c>
      <c r="H232" s="14" t="s">
        <v>18</v>
      </c>
      <c r="I232" s="1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22.5" customHeight="1">
      <c r="A233" s="9">
        <v>231.0</v>
      </c>
      <c r="B233" s="16">
        <v>86.0</v>
      </c>
      <c r="C233" s="13" t="s">
        <v>7276</v>
      </c>
      <c r="D233" s="13" t="s">
        <v>1113</v>
      </c>
      <c r="E233" s="13" t="s">
        <v>1114</v>
      </c>
      <c r="F233" s="13" t="s">
        <v>7277</v>
      </c>
      <c r="G233" s="13" t="s">
        <v>7278</v>
      </c>
      <c r="H233" s="14" t="s">
        <v>18</v>
      </c>
      <c r="I233" s="1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22.5" customHeight="1">
      <c r="A234" s="9">
        <v>232.0</v>
      </c>
      <c r="B234" s="16">
        <v>86.0</v>
      </c>
      <c r="C234" s="13" t="s">
        <v>6489</v>
      </c>
      <c r="D234" s="13" t="s">
        <v>6490</v>
      </c>
      <c r="E234" s="13" t="s">
        <v>6491</v>
      </c>
      <c r="F234" s="13" t="s">
        <v>6492</v>
      </c>
      <c r="G234" s="13" t="s">
        <v>7279</v>
      </c>
      <c r="H234" s="14" t="s">
        <v>18</v>
      </c>
      <c r="I234" s="1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22.5" customHeight="1">
      <c r="A235" s="9">
        <v>233.0</v>
      </c>
      <c r="B235" s="16">
        <v>86.0</v>
      </c>
      <c r="C235" s="13" t="s">
        <v>7109</v>
      </c>
      <c r="D235" s="13" t="s">
        <v>7110</v>
      </c>
      <c r="E235" s="13" t="s">
        <v>7280</v>
      </c>
      <c r="F235" s="13" t="s">
        <v>6830</v>
      </c>
      <c r="G235" s="13" t="s">
        <v>7281</v>
      </c>
      <c r="H235" s="15"/>
      <c r="I235" s="1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22.5" customHeight="1">
      <c r="A236" s="9">
        <v>234.0</v>
      </c>
      <c r="B236" s="16">
        <v>86.0</v>
      </c>
      <c r="C236" s="13" t="s">
        <v>7282</v>
      </c>
      <c r="D236" s="13" t="s">
        <v>7283</v>
      </c>
      <c r="E236" s="13" t="s">
        <v>7284</v>
      </c>
      <c r="F236" s="13" t="s">
        <v>7199</v>
      </c>
      <c r="G236" s="13" t="s">
        <v>7285</v>
      </c>
      <c r="H236" s="14" t="s">
        <v>18</v>
      </c>
      <c r="I236" s="1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22.5" customHeight="1">
      <c r="A237" s="9">
        <v>235.0</v>
      </c>
      <c r="B237" s="16">
        <v>86.0</v>
      </c>
      <c r="C237" s="13" t="s">
        <v>7286</v>
      </c>
      <c r="D237" s="13" t="s">
        <v>7287</v>
      </c>
      <c r="E237" s="13" t="s">
        <v>7288</v>
      </c>
      <c r="F237" s="13" t="s">
        <v>7289</v>
      </c>
      <c r="G237" s="13" t="s">
        <v>7290</v>
      </c>
      <c r="H237" s="14" t="s">
        <v>18</v>
      </c>
      <c r="I237" s="1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22.5" customHeight="1">
      <c r="A238" s="9">
        <v>236.0</v>
      </c>
      <c r="B238" s="16">
        <v>86.0</v>
      </c>
      <c r="C238" s="13" t="s">
        <v>7291</v>
      </c>
      <c r="D238" s="13" t="s">
        <v>3015</v>
      </c>
      <c r="E238" s="13" t="s">
        <v>3016</v>
      </c>
      <c r="F238" s="13" t="s">
        <v>7292</v>
      </c>
      <c r="G238" s="13" t="s">
        <v>7293</v>
      </c>
      <c r="H238" s="14" t="s">
        <v>18</v>
      </c>
      <c r="I238" s="1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22.5" customHeight="1">
      <c r="A239" s="9">
        <v>237.0</v>
      </c>
      <c r="B239" s="16">
        <v>86.0</v>
      </c>
      <c r="C239" s="13" t="s">
        <v>7294</v>
      </c>
      <c r="D239" s="13" t="s">
        <v>7295</v>
      </c>
      <c r="E239" s="13" t="s">
        <v>7296</v>
      </c>
      <c r="F239" s="13" t="s">
        <v>6519</v>
      </c>
      <c r="G239" s="13" t="s">
        <v>6520</v>
      </c>
      <c r="H239" s="15"/>
      <c r="I239" s="1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22.5" customHeight="1">
      <c r="A240" s="9">
        <v>238.0</v>
      </c>
      <c r="B240" s="16">
        <v>86.0</v>
      </c>
      <c r="C240" s="13" t="s">
        <v>7297</v>
      </c>
      <c r="D240" s="13" t="s">
        <v>492</v>
      </c>
      <c r="E240" s="13" t="s">
        <v>493</v>
      </c>
      <c r="F240" s="13" t="s">
        <v>6776</v>
      </c>
      <c r="G240" s="13" t="s">
        <v>7298</v>
      </c>
      <c r="H240" s="15"/>
      <c r="I240" s="1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22.5" customHeight="1">
      <c r="A241" s="9">
        <v>239.0</v>
      </c>
      <c r="B241" s="16">
        <v>86.0</v>
      </c>
      <c r="C241" s="13" t="s">
        <v>7299</v>
      </c>
      <c r="D241" s="13" t="s">
        <v>183</v>
      </c>
      <c r="E241" s="13" t="s">
        <v>184</v>
      </c>
      <c r="F241" s="13" t="s">
        <v>7300</v>
      </c>
      <c r="G241" s="13" t="s">
        <v>7301</v>
      </c>
      <c r="H241" s="14" t="s">
        <v>18</v>
      </c>
      <c r="I241" s="1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22.5" customHeight="1">
      <c r="A242" s="9">
        <v>240.0</v>
      </c>
      <c r="B242" s="16">
        <v>86.0</v>
      </c>
      <c r="C242" s="13" t="s">
        <v>7006</v>
      </c>
      <c r="D242" s="13" t="s">
        <v>3731</v>
      </c>
      <c r="E242" s="13" t="s">
        <v>3732</v>
      </c>
      <c r="F242" s="13" t="s">
        <v>6607</v>
      </c>
      <c r="G242" s="13" t="s">
        <v>6903</v>
      </c>
      <c r="H242" s="15"/>
      <c r="I242" s="1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22.5" customHeight="1">
      <c r="A243" s="9">
        <v>241.0</v>
      </c>
      <c r="B243" s="16">
        <v>85.0</v>
      </c>
      <c r="C243" s="13" t="s">
        <v>7302</v>
      </c>
      <c r="D243" s="13" t="s">
        <v>7303</v>
      </c>
      <c r="E243" s="13" t="s">
        <v>7304</v>
      </c>
      <c r="F243" s="13" t="s">
        <v>7305</v>
      </c>
      <c r="G243" s="13" t="s">
        <v>7306</v>
      </c>
      <c r="H243" s="15"/>
      <c r="I243" s="1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22.5" customHeight="1">
      <c r="A244" s="9">
        <v>242.0</v>
      </c>
      <c r="B244" s="16">
        <v>85.0</v>
      </c>
      <c r="C244" s="13" t="s">
        <v>7176</v>
      </c>
      <c r="D244" s="13" t="s">
        <v>6703</v>
      </c>
      <c r="E244" s="13" t="s">
        <v>6704</v>
      </c>
      <c r="F244" s="13" t="s">
        <v>6705</v>
      </c>
      <c r="G244" s="13" t="s">
        <v>7307</v>
      </c>
      <c r="H244" s="15"/>
      <c r="I244" s="1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22.5" customHeight="1">
      <c r="A245" s="9">
        <v>243.0</v>
      </c>
      <c r="B245" s="16">
        <v>85.0</v>
      </c>
      <c r="C245" s="13" t="s">
        <v>7032</v>
      </c>
      <c r="D245" s="13" t="s">
        <v>345</v>
      </c>
      <c r="E245" s="13" t="s">
        <v>346</v>
      </c>
      <c r="F245" s="13" t="s">
        <v>6948</v>
      </c>
      <c r="G245" s="13" t="s">
        <v>7033</v>
      </c>
      <c r="H245" s="15"/>
      <c r="I245" s="1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22.5" customHeight="1">
      <c r="A246" s="9">
        <v>244.0</v>
      </c>
      <c r="B246" s="16">
        <v>85.0</v>
      </c>
      <c r="C246" s="13" t="s">
        <v>7308</v>
      </c>
      <c r="D246" s="13" t="s">
        <v>834</v>
      </c>
      <c r="E246" s="13" t="s">
        <v>835</v>
      </c>
      <c r="F246" s="13" t="s">
        <v>7123</v>
      </c>
      <c r="G246" s="13" t="s">
        <v>7309</v>
      </c>
      <c r="H246" s="15"/>
      <c r="I246" s="1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22.5" customHeight="1">
      <c r="A247" s="9">
        <v>245.0</v>
      </c>
      <c r="B247" s="16">
        <v>85.0</v>
      </c>
      <c r="C247" s="13" t="s">
        <v>7310</v>
      </c>
      <c r="D247" s="13" t="s">
        <v>7311</v>
      </c>
      <c r="E247" s="13" t="s">
        <v>7312</v>
      </c>
      <c r="F247" s="13" t="s">
        <v>7313</v>
      </c>
      <c r="G247" s="13" t="s">
        <v>7314</v>
      </c>
      <c r="H247" s="14" t="s">
        <v>18</v>
      </c>
      <c r="I247" s="1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22.5" customHeight="1">
      <c r="A248" s="9">
        <v>246.0</v>
      </c>
      <c r="B248" s="16">
        <v>85.0</v>
      </c>
      <c r="C248" s="13" t="s">
        <v>7315</v>
      </c>
      <c r="D248" s="13" t="s">
        <v>7316</v>
      </c>
      <c r="E248" s="13" t="s">
        <v>7317</v>
      </c>
      <c r="F248" s="13" t="s">
        <v>7318</v>
      </c>
      <c r="G248" s="13" t="s">
        <v>7319</v>
      </c>
      <c r="H248" s="15"/>
      <c r="I248" s="1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22.5" customHeight="1">
      <c r="A249" s="9">
        <v>247.0</v>
      </c>
      <c r="B249" s="16">
        <v>85.0</v>
      </c>
      <c r="C249" s="13" t="s">
        <v>7320</v>
      </c>
      <c r="D249" s="13" t="s">
        <v>6960</v>
      </c>
      <c r="E249" s="13" t="s">
        <v>6961</v>
      </c>
      <c r="F249" s="13" t="s">
        <v>6962</v>
      </c>
      <c r="G249" s="13" t="s">
        <v>7321</v>
      </c>
      <c r="H249" s="15"/>
      <c r="I249" s="1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22.5" customHeight="1">
      <c r="A250" s="9">
        <v>248.0</v>
      </c>
      <c r="B250" s="16">
        <v>85.0</v>
      </c>
      <c r="C250" s="13" t="s">
        <v>7322</v>
      </c>
      <c r="D250" s="13" t="s">
        <v>6570</v>
      </c>
      <c r="E250" s="13" t="s">
        <v>6571</v>
      </c>
      <c r="F250" s="13" t="s">
        <v>6572</v>
      </c>
      <c r="G250" s="13" t="s">
        <v>7323</v>
      </c>
      <c r="H250" s="14" t="s">
        <v>18</v>
      </c>
      <c r="I250" s="1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22.5" customHeight="1">
      <c r="A251" s="9">
        <v>249.0</v>
      </c>
      <c r="B251" s="16">
        <v>85.0</v>
      </c>
      <c r="C251" s="13" t="s">
        <v>7324</v>
      </c>
      <c r="D251" s="13" t="s">
        <v>7117</v>
      </c>
      <c r="E251" s="13" t="s">
        <v>7118</v>
      </c>
      <c r="F251" s="13" t="s">
        <v>7046</v>
      </c>
      <c r="G251" s="13" t="s">
        <v>7325</v>
      </c>
      <c r="H251" s="15"/>
      <c r="I251" s="1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22.5" customHeight="1">
      <c r="A252" s="9">
        <v>250.0</v>
      </c>
      <c r="B252" s="16">
        <v>85.0</v>
      </c>
      <c r="C252" s="13" t="s">
        <v>7297</v>
      </c>
      <c r="D252" s="13" t="s">
        <v>492</v>
      </c>
      <c r="E252" s="13" t="s">
        <v>493</v>
      </c>
      <c r="F252" s="13" t="s">
        <v>6776</v>
      </c>
      <c r="G252" s="13" t="s">
        <v>7326</v>
      </c>
      <c r="H252" s="15"/>
      <c r="I252" s="1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22.5" customHeight="1">
      <c r="A253" s="9">
        <v>251.0</v>
      </c>
      <c r="B253" s="42">
        <v>84.0</v>
      </c>
      <c r="C253" s="13" t="s">
        <v>7315</v>
      </c>
      <c r="D253" s="13" t="s">
        <v>7316</v>
      </c>
      <c r="E253" s="13" t="s">
        <v>7317</v>
      </c>
      <c r="F253" s="13" t="s">
        <v>7318</v>
      </c>
      <c r="G253" s="13" t="s">
        <v>7327</v>
      </c>
      <c r="H253" s="15"/>
      <c r="I253" s="1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22.5" customHeight="1">
      <c r="A254" s="9">
        <v>252.0</v>
      </c>
      <c r="B254" s="42">
        <v>84.0</v>
      </c>
      <c r="C254" s="13" t="s">
        <v>7248</v>
      </c>
      <c r="D254" s="13" t="s">
        <v>7249</v>
      </c>
      <c r="E254" s="13" t="s">
        <v>7250</v>
      </c>
      <c r="F254" s="13" t="s">
        <v>7251</v>
      </c>
      <c r="G254" s="13" t="s">
        <v>7328</v>
      </c>
      <c r="H254" s="15"/>
      <c r="I254" s="1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22.5" customHeight="1">
      <c r="A255" s="9">
        <v>253.0</v>
      </c>
      <c r="B255" s="42">
        <v>84.0</v>
      </c>
      <c r="C255" s="13" t="s">
        <v>7329</v>
      </c>
      <c r="D255" s="13" t="s">
        <v>7035</v>
      </c>
      <c r="E255" s="13" t="s">
        <v>7036</v>
      </c>
      <c r="F255" s="13" t="s">
        <v>7227</v>
      </c>
      <c r="G255" s="13" t="s">
        <v>7330</v>
      </c>
      <c r="H255" s="14" t="s">
        <v>18</v>
      </c>
      <c r="I255" s="1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22.5" customHeight="1">
      <c r="A256" s="9">
        <v>254.0</v>
      </c>
      <c r="B256" s="42">
        <v>84.0</v>
      </c>
      <c r="C256" s="13" t="s">
        <v>7331</v>
      </c>
      <c r="D256" s="13" t="s">
        <v>7332</v>
      </c>
      <c r="E256" s="13" t="s">
        <v>7333</v>
      </c>
      <c r="F256" s="13" t="s">
        <v>7334</v>
      </c>
      <c r="G256" s="13" t="s">
        <v>7335</v>
      </c>
      <c r="H256" s="15"/>
      <c r="I256" s="1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22.5" customHeight="1">
      <c r="A257" s="9">
        <v>255.0</v>
      </c>
      <c r="B257" s="42">
        <v>84.0</v>
      </c>
      <c r="C257" s="13" t="s">
        <v>7336</v>
      </c>
      <c r="D257" s="13" t="s">
        <v>3938</v>
      </c>
      <c r="E257" s="13" t="s">
        <v>3939</v>
      </c>
      <c r="F257" s="13" t="s">
        <v>7337</v>
      </c>
      <c r="G257" s="13" t="s">
        <v>7338</v>
      </c>
      <c r="H257" s="14" t="s">
        <v>18</v>
      </c>
      <c r="I257" s="1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22.5" customHeight="1">
      <c r="A258" s="9">
        <v>256.0</v>
      </c>
      <c r="B258" s="42">
        <v>84.0</v>
      </c>
      <c r="C258" s="13" t="s">
        <v>7339</v>
      </c>
      <c r="D258" s="13" t="s">
        <v>879</v>
      </c>
      <c r="E258" s="13" t="s">
        <v>880</v>
      </c>
      <c r="F258" s="13" t="s">
        <v>7340</v>
      </c>
      <c r="G258" s="13" t="s">
        <v>7341</v>
      </c>
      <c r="H258" s="14" t="s">
        <v>18</v>
      </c>
      <c r="I258" s="1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22.5" customHeight="1">
      <c r="A259" s="9">
        <v>257.0</v>
      </c>
      <c r="B259" s="42">
        <v>84.0</v>
      </c>
      <c r="C259" s="13" t="s">
        <v>7342</v>
      </c>
      <c r="D259" s="13" t="s">
        <v>7343</v>
      </c>
      <c r="E259" s="13" t="s">
        <v>7344</v>
      </c>
      <c r="F259" s="13" t="s">
        <v>7345</v>
      </c>
      <c r="G259" s="13" t="s">
        <v>7346</v>
      </c>
      <c r="H259" s="14" t="s">
        <v>18</v>
      </c>
      <c r="I259" s="1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22.5" customHeight="1">
      <c r="A260" s="9">
        <v>258.0</v>
      </c>
      <c r="B260" s="42">
        <v>84.0</v>
      </c>
      <c r="C260" s="13" t="s">
        <v>7178</v>
      </c>
      <c r="D260" s="13" t="s">
        <v>3723</v>
      </c>
      <c r="E260" s="13" t="s">
        <v>3724</v>
      </c>
      <c r="F260" s="13" t="s">
        <v>6639</v>
      </c>
      <c r="G260" s="13" t="s">
        <v>7347</v>
      </c>
      <c r="H260" s="15"/>
      <c r="I260" s="1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22.5" customHeight="1">
      <c r="A261" s="9">
        <v>259.0</v>
      </c>
      <c r="B261" s="42">
        <v>84.0</v>
      </c>
      <c r="C261" s="13" t="s">
        <v>7348</v>
      </c>
      <c r="D261" s="13" t="s">
        <v>7349</v>
      </c>
      <c r="E261" s="13" t="s">
        <v>162</v>
      </c>
      <c r="F261" s="13" t="s">
        <v>7350</v>
      </c>
      <c r="G261" s="13" t="s">
        <v>7351</v>
      </c>
      <c r="H261" s="14" t="s">
        <v>18</v>
      </c>
      <c r="I261" s="1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22.5" customHeight="1">
      <c r="A262" s="9">
        <v>260.0</v>
      </c>
      <c r="B262" s="42">
        <v>84.0</v>
      </c>
      <c r="C262" s="13" t="s">
        <v>7352</v>
      </c>
      <c r="D262" s="13" t="s">
        <v>1456</v>
      </c>
      <c r="E262" s="13" t="s">
        <v>1457</v>
      </c>
      <c r="F262" s="13" t="s">
        <v>7353</v>
      </c>
      <c r="G262" s="13" t="s">
        <v>7354</v>
      </c>
      <c r="H262" s="15"/>
      <c r="I262" s="1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22.5" customHeight="1">
      <c r="A263" s="9">
        <v>261.0</v>
      </c>
      <c r="B263" s="42">
        <v>83.0</v>
      </c>
      <c r="C263" s="13" t="s">
        <v>7355</v>
      </c>
      <c r="D263" s="13" t="s">
        <v>7356</v>
      </c>
      <c r="E263" s="13" t="s">
        <v>7357</v>
      </c>
      <c r="F263" s="13" t="s">
        <v>7358</v>
      </c>
      <c r="G263" s="13" t="s">
        <v>7359</v>
      </c>
      <c r="H263" s="14" t="s">
        <v>18</v>
      </c>
      <c r="I263" s="1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22.5" customHeight="1">
      <c r="A264" s="9">
        <v>262.0</v>
      </c>
      <c r="B264" s="42">
        <v>83.0</v>
      </c>
      <c r="C264" s="13" t="s">
        <v>7360</v>
      </c>
      <c r="D264" s="13" t="s">
        <v>7361</v>
      </c>
      <c r="E264" s="13" t="s">
        <v>7362</v>
      </c>
      <c r="F264" s="13" t="s">
        <v>7363</v>
      </c>
      <c r="G264" s="13" t="s">
        <v>7364</v>
      </c>
      <c r="H264" s="14" t="s">
        <v>18</v>
      </c>
      <c r="I264" s="1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22.5" customHeight="1">
      <c r="A265" s="9">
        <v>263.0</v>
      </c>
      <c r="B265" s="42">
        <v>83.0</v>
      </c>
      <c r="C265" s="13" t="s">
        <v>6521</v>
      </c>
      <c r="D265" s="13" t="s">
        <v>6522</v>
      </c>
      <c r="E265" s="13" t="s">
        <v>7365</v>
      </c>
      <c r="F265" s="13" t="s">
        <v>6524</v>
      </c>
      <c r="G265" s="13" t="s">
        <v>7366</v>
      </c>
      <c r="H265" s="15"/>
      <c r="I265" s="1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22.5" customHeight="1">
      <c r="A266" s="9">
        <v>264.0</v>
      </c>
      <c r="B266" s="42">
        <v>83.0</v>
      </c>
      <c r="C266" s="13" t="s">
        <v>7367</v>
      </c>
      <c r="D266" s="13" t="s">
        <v>3731</v>
      </c>
      <c r="E266" s="13" t="s">
        <v>7368</v>
      </c>
      <c r="F266" s="13" t="s">
        <v>3917</v>
      </c>
      <c r="G266" s="13" t="s">
        <v>7369</v>
      </c>
      <c r="H266" s="15"/>
      <c r="I266" s="1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22.5" customHeight="1">
      <c r="A267" s="9">
        <v>265.0</v>
      </c>
      <c r="B267" s="42">
        <v>83.0</v>
      </c>
      <c r="C267" s="13" t="s">
        <v>7370</v>
      </c>
      <c r="D267" s="13" t="s">
        <v>7371</v>
      </c>
      <c r="E267" s="13" t="s">
        <v>7372</v>
      </c>
      <c r="F267" s="13" t="s">
        <v>6912</v>
      </c>
      <c r="G267" s="13" t="s">
        <v>6913</v>
      </c>
      <c r="H267" s="15"/>
      <c r="I267" s="1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22.5" customHeight="1">
      <c r="A268" s="9">
        <v>266.0</v>
      </c>
      <c r="B268" s="42">
        <v>83.0</v>
      </c>
      <c r="C268" s="13" t="s">
        <v>7373</v>
      </c>
      <c r="D268" s="13" t="s">
        <v>1534</v>
      </c>
      <c r="E268" s="13" t="s">
        <v>1535</v>
      </c>
      <c r="F268" s="13" t="s">
        <v>3978</v>
      </c>
      <c r="G268" s="13" t="s">
        <v>7374</v>
      </c>
      <c r="H268" s="14" t="s">
        <v>18</v>
      </c>
      <c r="I268" s="1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22.5" customHeight="1">
      <c r="A269" s="9">
        <v>267.0</v>
      </c>
      <c r="B269" s="42">
        <v>83.0</v>
      </c>
      <c r="C269" s="13" t="s">
        <v>7375</v>
      </c>
      <c r="D269" s="13" t="s">
        <v>145</v>
      </c>
      <c r="E269" s="13" t="s">
        <v>146</v>
      </c>
      <c r="F269" s="13" t="s">
        <v>3983</v>
      </c>
      <c r="G269" s="13" t="s">
        <v>7376</v>
      </c>
      <c r="H269" s="15"/>
      <c r="I269" s="1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22.5" customHeight="1">
      <c r="A270" s="9">
        <v>268.0</v>
      </c>
      <c r="B270" s="42">
        <v>83.0</v>
      </c>
      <c r="C270" s="13" t="s">
        <v>6531</v>
      </c>
      <c r="D270" s="13" t="s">
        <v>6532</v>
      </c>
      <c r="E270" s="13" t="s">
        <v>6533</v>
      </c>
      <c r="F270" s="13" t="s">
        <v>6534</v>
      </c>
      <c r="G270" s="13" t="s">
        <v>7377</v>
      </c>
      <c r="H270" s="15"/>
      <c r="I270" s="1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22.5" customHeight="1">
      <c r="A271" s="9">
        <v>269.0</v>
      </c>
      <c r="B271" s="42">
        <v>83.0</v>
      </c>
      <c r="C271" s="13" t="s">
        <v>7378</v>
      </c>
      <c r="D271" s="13" t="s">
        <v>7379</v>
      </c>
      <c r="E271" s="13" t="s">
        <v>7380</v>
      </c>
      <c r="F271" s="13" t="s">
        <v>7381</v>
      </c>
      <c r="G271" s="13" t="s">
        <v>7382</v>
      </c>
      <c r="H271" s="15"/>
      <c r="I271" s="1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22.5" customHeight="1">
      <c r="A272" s="9">
        <v>270.0</v>
      </c>
      <c r="B272" s="42">
        <v>83.0</v>
      </c>
      <c r="C272" s="13" t="s">
        <v>7013</v>
      </c>
      <c r="D272" s="13" t="s">
        <v>3361</v>
      </c>
      <c r="E272" s="13" t="s">
        <v>3362</v>
      </c>
      <c r="F272" s="13" t="s">
        <v>6596</v>
      </c>
      <c r="G272" s="13" t="s">
        <v>7383</v>
      </c>
      <c r="H272" s="15"/>
      <c r="I272" s="1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22.5" customHeight="1">
      <c r="A273" s="9">
        <v>271.0</v>
      </c>
      <c r="B273" s="42">
        <v>82.0</v>
      </c>
      <c r="C273" s="13" t="s">
        <v>7315</v>
      </c>
      <c r="D273" s="13" t="s">
        <v>7316</v>
      </c>
      <c r="E273" s="13" t="s">
        <v>7317</v>
      </c>
      <c r="F273" s="13" t="s">
        <v>7318</v>
      </c>
      <c r="G273" s="13" t="s">
        <v>7384</v>
      </c>
      <c r="H273" s="14" t="s">
        <v>18</v>
      </c>
      <c r="I273" s="1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22.5" customHeight="1">
      <c r="A274" s="9">
        <v>272.0</v>
      </c>
      <c r="B274" s="42">
        <v>82.0</v>
      </c>
      <c r="C274" s="13" t="s">
        <v>7248</v>
      </c>
      <c r="D274" s="13" t="s">
        <v>7249</v>
      </c>
      <c r="E274" s="13" t="s">
        <v>7250</v>
      </c>
      <c r="F274" s="13" t="s">
        <v>7251</v>
      </c>
      <c r="G274" s="13" t="s">
        <v>7385</v>
      </c>
      <c r="H274" s="14" t="s">
        <v>18</v>
      </c>
      <c r="I274" s="1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22.5" customHeight="1">
      <c r="A275" s="9">
        <v>273.0</v>
      </c>
      <c r="B275" s="42">
        <v>82.0</v>
      </c>
      <c r="C275" s="13" t="s">
        <v>7329</v>
      </c>
      <c r="D275" s="13" t="s">
        <v>7035</v>
      </c>
      <c r="E275" s="13" t="s">
        <v>7036</v>
      </c>
      <c r="F275" s="13" t="s">
        <v>7227</v>
      </c>
      <c r="G275" s="13" t="s">
        <v>7386</v>
      </c>
      <c r="H275" s="14" t="s">
        <v>18</v>
      </c>
      <c r="I275" s="1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22.5" customHeight="1">
      <c r="A276" s="9">
        <v>274.0</v>
      </c>
      <c r="B276" s="42">
        <v>82.0</v>
      </c>
      <c r="C276" s="13" t="s">
        <v>7387</v>
      </c>
      <c r="D276" s="13" t="s">
        <v>541</v>
      </c>
      <c r="E276" s="13" t="s">
        <v>542</v>
      </c>
      <c r="F276" s="13" t="s">
        <v>7137</v>
      </c>
      <c r="G276" s="13" t="s">
        <v>7388</v>
      </c>
      <c r="H276" s="14" t="s">
        <v>18</v>
      </c>
      <c r="I276" s="1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22.5" customHeight="1">
      <c r="A277" s="9">
        <v>275.0</v>
      </c>
      <c r="B277" s="42">
        <v>82.0</v>
      </c>
      <c r="C277" s="13" t="s">
        <v>7367</v>
      </c>
      <c r="D277" s="13" t="s">
        <v>3731</v>
      </c>
      <c r="E277" s="13" t="s">
        <v>7368</v>
      </c>
      <c r="F277" s="13" t="s">
        <v>3917</v>
      </c>
      <c r="G277" s="13" t="s">
        <v>7389</v>
      </c>
      <c r="H277" s="15"/>
      <c r="I277" s="1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22.5" customHeight="1">
      <c r="A278" s="9">
        <v>276.0</v>
      </c>
      <c r="B278" s="42">
        <v>82.0</v>
      </c>
      <c r="C278" s="13" t="s">
        <v>7370</v>
      </c>
      <c r="D278" s="13" t="s">
        <v>7371</v>
      </c>
      <c r="E278" s="13" t="s">
        <v>7372</v>
      </c>
      <c r="F278" s="13" t="s">
        <v>6912</v>
      </c>
      <c r="G278" s="13" t="s">
        <v>7390</v>
      </c>
      <c r="H278" s="15"/>
      <c r="I278" s="1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22.5" customHeight="1">
      <c r="A279" s="9">
        <v>277.0</v>
      </c>
      <c r="B279" s="42">
        <v>82.0</v>
      </c>
      <c r="C279" s="13" t="s">
        <v>7373</v>
      </c>
      <c r="D279" s="13" t="s">
        <v>1534</v>
      </c>
      <c r="E279" s="13" t="s">
        <v>1535</v>
      </c>
      <c r="F279" s="13" t="s">
        <v>3978</v>
      </c>
      <c r="G279" s="13" t="s">
        <v>7374</v>
      </c>
      <c r="H279" s="14" t="s">
        <v>18</v>
      </c>
      <c r="I279" s="1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22.5" customHeight="1">
      <c r="A280" s="9">
        <v>278.0</v>
      </c>
      <c r="B280" s="42">
        <v>82.0</v>
      </c>
      <c r="C280" s="13" t="s">
        <v>7375</v>
      </c>
      <c r="D280" s="13" t="s">
        <v>145</v>
      </c>
      <c r="E280" s="13" t="s">
        <v>146</v>
      </c>
      <c r="F280" s="13" t="s">
        <v>3983</v>
      </c>
      <c r="G280" s="13" t="s">
        <v>7391</v>
      </c>
      <c r="H280" s="14" t="s">
        <v>18</v>
      </c>
      <c r="I280" s="1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22.5" customHeight="1">
      <c r="A281" s="9">
        <v>279.0</v>
      </c>
      <c r="B281" s="42">
        <v>82.0</v>
      </c>
      <c r="C281" s="13" t="s">
        <v>6531</v>
      </c>
      <c r="D281" s="13" t="s">
        <v>6532</v>
      </c>
      <c r="E281" s="13" t="s">
        <v>6533</v>
      </c>
      <c r="F281" s="13" t="s">
        <v>6534</v>
      </c>
      <c r="G281" s="13" t="s">
        <v>7392</v>
      </c>
      <c r="H281" s="15"/>
      <c r="I281" s="1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22.5" customHeight="1">
      <c r="A282" s="9">
        <v>280.0</v>
      </c>
      <c r="B282" s="42">
        <v>82.0</v>
      </c>
      <c r="C282" s="13" t="s">
        <v>7378</v>
      </c>
      <c r="D282" s="13" t="s">
        <v>7379</v>
      </c>
      <c r="E282" s="13" t="s">
        <v>7380</v>
      </c>
      <c r="F282" s="13" t="s">
        <v>7381</v>
      </c>
      <c r="G282" s="13" t="s">
        <v>7393</v>
      </c>
      <c r="H282" s="14" t="s">
        <v>18</v>
      </c>
      <c r="I282" s="1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22.5" customHeight="1">
      <c r="A283" s="9">
        <v>281.0</v>
      </c>
      <c r="B283" s="42">
        <v>81.0</v>
      </c>
      <c r="C283" s="13" t="s">
        <v>7048</v>
      </c>
      <c r="D283" s="13" t="s">
        <v>6575</v>
      </c>
      <c r="E283" s="13" t="s">
        <v>6576</v>
      </c>
      <c r="F283" s="13" t="s">
        <v>6577</v>
      </c>
      <c r="G283" s="13" t="s">
        <v>7394</v>
      </c>
      <c r="H283" s="15"/>
      <c r="I283" s="1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22.5" customHeight="1">
      <c r="A284" s="9">
        <v>282.0</v>
      </c>
      <c r="B284" s="42">
        <v>81.0</v>
      </c>
      <c r="C284" s="13" t="s">
        <v>7395</v>
      </c>
      <c r="D284" s="13" t="s">
        <v>6667</v>
      </c>
      <c r="E284" s="13" t="s">
        <v>6668</v>
      </c>
      <c r="F284" s="13" t="s">
        <v>6669</v>
      </c>
      <c r="G284" s="13" t="s">
        <v>7074</v>
      </c>
      <c r="H284" s="15"/>
      <c r="I284" s="1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22.5" customHeight="1">
      <c r="A285" s="9">
        <v>283.0</v>
      </c>
      <c r="B285" s="42">
        <v>81.0</v>
      </c>
      <c r="C285" s="13" t="s">
        <v>7396</v>
      </c>
      <c r="D285" s="13" t="s">
        <v>7361</v>
      </c>
      <c r="E285" s="13" t="s">
        <v>7362</v>
      </c>
      <c r="F285" s="13" t="s">
        <v>7397</v>
      </c>
      <c r="G285" s="13" t="s">
        <v>7398</v>
      </c>
      <c r="H285" s="15"/>
      <c r="I285" s="1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22.5" customHeight="1">
      <c r="A286" s="9">
        <v>284.0</v>
      </c>
      <c r="B286" s="42">
        <v>81.0</v>
      </c>
      <c r="C286" s="13" t="s">
        <v>7043</v>
      </c>
      <c r="D286" s="13" t="s">
        <v>7044</v>
      </c>
      <c r="E286" s="13" t="s">
        <v>7045</v>
      </c>
      <c r="F286" s="13" t="s">
        <v>7046</v>
      </c>
      <c r="G286" s="13" t="s">
        <v>7047</v>
      </c>
      <c r="H286" s="14" t="s">
        <v>18</v>
      </c>
      <c r="I286" s="1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22.5" customHeight="1">
      <c r="A287" s="9">
        <v>285.0</v>
      </c>
      <c r="B287" s="42">
        <v>81.0</v>
      </c>
      <c r="C287" s="13" t="s">
        <v>7399</v>
      </c>
      <c r="D287" s="13" t="s">
        <v>3938</v>
      </c>
      <c r="E287" s="13" t="s">
        <v>3939</v>
      </c>
      <c r="F287" s="13" t="s">
        <v>6972</v>
      </c>
      <c r="G287" s="13" t="s">
        <v>7400</v>
      </c>
      <c r="H287" s="14" t="s">
        <v>18</v>
      </c>
      <c r="I287" s="1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22.5" customHeight="1">
      <c r="A288" s="9">
        <v>286.0</v>
      </c>
      <c r="B288" s="42">
        <v>81.0</v>
      </c>
      <c r="C288" s="13" t="s">
        <v>7401</v>
      </c>
      <c r="D288" s="13" t="s">
        <v>3015</v>
      </c>
      <c r="E288" s="13" t="s">
        <v>3016</v>
      </c>
      <c r="F288" s="13" t="s">
        <v>7292</v>
      </c>
      <c r="G288" s="13" t="s">
        <v>7293</v>
      </c>
      <c r="H288" s="14" t="s">
        <v>18</v>
      </c>
      <c r="I288" s="1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22.5" customHeight="1">
      <c r="A289" s="9">
        <v>287.0</v>
      </c>
      <c r="B289" s="42">
        <v>81.0</v>
      </c>
      <c r="C289" s="13" t="s">
        <v>7402</v>
      </c>
      <c r="D289" s="13" t="s">
        <v>6977</v>
      </c>
      <c r="E289" s="13" t="s">
        <v>6978</v>
      </c>
      <c r="F289" s="13" t="s">
        <v>6726</v>
      </c>
      <c r="G289" s="13" t="s">
        <v>7403</v>
      </c>
      <c r="H289" s="14" t="s">
        <v>18</v>
      </c>
      <c r="I289" s="1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22.5" customHeight="1">
      <c r="A290" s="9">
        <v>288.0</v>
      </c>
      <c r="B290" s="42">
        <v>81.0</v>
      </c>
      <c r="C290" s="13" t="s">
        <v>7308</v>
      </c>
      <c r="D290" s="13" t="s">
        <v>834</v>
      </c>
      <c r="E290" s="13" t="s">
        <v>835</v>
      </c>
      <c r="F290" s="13" t="s">
        <v>7123</v>
      </c>
      <c r="G290" s="13" t="s">
        <v>7404</v>
      </c>
      <c r="H290" s="15"/>
      <c r="I290" s="1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22.5" customHeight="1">
      <c r="A291" s="9">
        <v>289.0</v>
      </c>
      <c r="B291" s="42">
        <v>81.0</v>
      </c>
      <c r="C291" s="13" t="s">
        <v>6518</v>
      </c>
      <c r="D291" s="13" t="s">
        <v>3702</v>
      </c>
      <c r="E291" s="13" t="s">
        <v>3703</v>
      </c>
      <c r="F291" s="13" t="s">
        <v>6519</v>
      </c>
      <c r="G291" s="13" t="s">
        <v>6520</v>
      </c>
      <c r="H291" s="14" t="s">
        <v>18</v>
      </c>
      <c r="I291" s="1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22.5" customHeight="1">
      <c r="A292" s="9">
        <v>290.0</v>
      </c>
      <c r="B292" s="42">
        <v>81.0</v>
      </c>
      <c r="C292" s="13" t="s">
        <v>7053</v>
      </c>
      <c r="D292" s="13" t="s">
        <v>7054</v>
      </c>
      <c r="E292" s="13" t="s">
        <v>7055</v>
      </c>
      <c r="F292" s="13" t="s">
        <v>6644</v>
      </c>
      <c r="G292" s="13" t="s">
        <v>7056</v>
      </c>
      <c r="H292" s="14" t="s">
        <v>18</v>
      </c>
      <c r="I292" s="1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22.5" customHeight="1">
      <c r="A293" s="9">
        <v>291.0</v>
      </c>
      <c r="B293" s="42">
        <v>80.0</v>
      </c>
      <c r="C293" s="13" t="s">
        <v>7229</v>
      </c>
      <c r="D293" s="13" t="s">
        <v>7230</v>
      </c>
      <c r="E293" s="13" t="s">
        <v>7231</v>
      </c>
      <c r="F293" s="13" t="s">
        <v>7232</v>
      </c>
      <c r="G293" s="13" t="s">
        <v>7405</v>
      </c>
      <c r="H293" s="14" t="s">
        <v>18</v>
      </c>
      <c r="I293" s="1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22.5" customHeight="1">
      <c r="A294" s="9">
        <v>292.0</v>
      </c>
      <c r="B294" s="42">
        <v>80.0</v>
      </c>
      <c r="C294" s="13" t="s">
        <v>7406</v>
      </c>
      <c r="D294" s="13" t="s">
        <v>834</v>
      </c>
      <c r="E294" s="13" t="s">
        <v>835</v>
      </c>
      <c r="F294" s="13" t="s">
        <v>6664</v>
      </c>
      <c r="G294" s="13" t="s">
        <v>7407</v>
      </c>
      <c r="H294" s="14" t="s">
        <v>18</v>
      </c>
      <c r="I294" s="1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22.5" customHeight="1">
      <c r="A295" s="9">
        <v>293.0</v>
      </c>
      <c r="B295" s="42">
        <v>80.0</v>
      </c>
      <c r="C295" s="13" t="s">
        <v>7408</v>
      </c>
      <c r="D295" s="13" t="s">
        <v>7409</v>
      </c>
      <c r="E295" s="13" t="s">
        <v>7410</v>
      </c>
      <c r="F295" s="13" t="s">
        <v>7411</v>
      </c>
      <c r="G295" s="13" t="s">
        <v>7412</v>
      </c>
      <c r="H295" s="14" t="s">
        <v>18</v>
      </c>
      <c r="I295" s="1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22.5" customHeight="1">
      <c r="A296" s="9">
        <v>294.0</v>
      </c>
      <c r="B296" s="42">
        <v>80.0</v>
      </c>
      <c r="C296" s="13" t="s">
        <v>7413</v>
      </c>
      <c r="D296" s="13" t="s">
        <v>7414</v>
      </c>
      <c r="E296" s="13" t="s">
        <v>7415</v>
      </c>
      <c r="F296" s="13" t="s">
        <v>6618</v>
      </c>
      <c r="G296" s="13" t="s">
        <v>7416</v>
      </c>
      <c r="H296" s="14" t="s">
        <v>18</v>
      </c>
      <c r="I296" s="1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22.5" customHeight="1">
      <c r="A297" s="9">
        <v>295.0</v>
      </c>
      <c r="B297" s="42">
        <v>80.0</v>
      </c>
      <c r="C297" s="13" t="s">
        <v>7417</v>
      </c>
      <c r="D297" s="13" t="s">
        <v>6495</v>
      </c>
      <c r="E297" s="13" t="s">
        <v>6496</v>
      </c>
      <c r="F297" s="13" t="s">
        <v>7418</v>
      </c>
      <c r="G297" s="13" t="s">
        <v>7419</v>
      </c>
      <c r="H297" s="14" t="s">
        <v>18</v>
      </c>
      <c r="I297" s="1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22.5" customHeight="1">
      <c r="A298" s="9">
        <v>296.0</v>
      </c>
      <c r="B298" s="42">
        <v>80.0</v>
      </c>
      <c r="C298" s="13" t="s">
        <v>7062</v>
      </c>
      <c r="D298" s="13" t="s">
        <v>7420</v>
      </c>
      <c r="E298" s="13" t="s">
        <v>7421</v>
      </c>
      <c r="F298" s="13" t="s">
        <v>7422</v>
      </c>
      <c r="G298" s="13" t="s">
        <v>7423</v>
      </c>
      <c r="H298" s="14" t="s">
        <v>18</v>
      </c>
      <c r="I298" s="1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22.5" customHeight="1">
      <c r="A299" s="9">
        <v>297.0</v>
      </c>
      <c r="B299" s="42">
        <v>80.0</v>
      </c>
      <c r="C299" s="13" t="s">
        <v>7424</v>
      </c>
      <c r="D299" s="13" t="s">
        <v>2627</v>
      </c>
      <c r="E299" s="13" t="s">
        <v>2628</v>
      </c>
      <c r="F299" s="13" t="s">
        <v>7425</v>
      </c>
      <c r="G299" s="13" t="s">
        <v>7426</v>
      </c>
      <c r="H299" s="14" t="s">
        <v>18</v>
      </c>
      <c r="I299" s="1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22.5" customHeight="1">
      <c r="A300" s="9">
        <v>298.0</v>
      </c>
      <c r="B300" s="42">
        <v>80.0</v>
      </c>
      <c r="C300" s="13" t="s">
        <v>7427</v>
      </c>
      <c r="D300" s="13" t="s">
        <v>4068</v>
      </c>
      <c r="E300" s="13" t="s">
        <v>4069</v>
      </c>
      <c r="F300" s="13" t="s">
        <v>6593</v>
      </c>
      <c r="G300" s="13" t="s">
        <v>7428</v>
      </c>
      <c r="H300" s="14" t="s">
        <v>18</v>
      </c>
      <c r="I300" s="1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22.5" customHeight="1">
      <c r="A301" s="9">
        <v>299.0</v>
      </c>
      <c r="B301" s="42">
        <v>80.0</v>
      </c>
      <c r="C301" s="13" t="s">
        <v>7261</v>
      </c>
      <c r="D301" s="13" t="s">
        <v>6910</v>
      </c>
      <c r="E301" s="13" t="s">
        <v>6911</v>
      </c>
      <c r="F301" s="13" t="s">
        <v>6912</v>
      </c>
      <c r="G301" s="13" t="s">
        <v>7429</v>
      </c>
      <c r="H301" s="15"/>
      <c r="I301" s="1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22.5" customHeight="1">
      <c r="A302" s="9">
        <v>300.0</v>
      </c>
      <c r="B302" s="42">
        <v>80.0</v>
      </c>
      <c r="C302" s="13" t="s">
        <v>7430</v>
      </c>
      <c r="D302" s="13" t="s">
        <v>911</v>
      </c>
      <c r="E302" s="13" t="s">
        <v>912</v>
      </c>
      <c r="F302" s="13" t="s">
        <v>6742</v>
      </c>
      <c r="G302" s="13" t="s">
        <v>7431</v>
      </c>
      <c r="H302" s="15"/>
      <c r="I302" s="1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22.5" customHeight="1">
      <c r="A303" s="9">
        <v>301.0</v>
      </c>
      <c r="B303" s="42">
        <v>79.0</v>
      </c>
      <c r="C303" s="13" t="s">
        <v>7432</v>
      </c>
      <c r="D303" s="13" t="s">
        <v>6629</v>
      </c>
      <c r="E303" s="13" t="s">
        <v>7433</v>
      </c>
      <c r="F303" s="13" t="s">
        <v>6631</v>
      </c>
      <c r="G303" s="13" t="s">
        <v>7434</v>
      </c>
      <c r="H303" s="15"/>
      <c r="I303" s="1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22.5" customHeight="1">
      <c r="A304" s="9">
        <v>302.0</v>
      </c>
      <c r="B304" s="42">
        <v>79.0</v>
      </c>
      <c r="C304" s="13" t="s">
        <v>7016</v>
      </c>
      <c r="D304" s="13" t="s">
        <v>1778</v>
      </c>
      <c r="E304" s="13" t="s">
        <v>1779</v>
      </c>
      <c r="F304" s="13" t="s">
        <v>6781</v>
      </c>
      <c r="G304" s="13" t="s">
        <v>7435</v>
      </c>
      <c r="H304" s="14" t="s">
        <v>18</v>
      </c>
      <c r="I304" s="1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22.5" customHeight="1">
      <c r="A305" s="9">
        <v>303.0</v>
      </c>
      <c r="B305" s="42">
        <v>79.0</v>
      </c>
      <c r="C305" s="13" t="s">
        <v>7234</v>
      </c>
      <c r="D305" s="13" t="s">
        <v>6928</v>
      </c>
      <c r="E305" s="13" t="s">
        <v>7436</v>
      </c>
      <c r="F305" s="13" t="s">
        <v>6930</v>
      </c>
      <c r="G305" s="13" t="s">
        <v>7437</v>
      </c>
      <c r="H305" s="15"/>
      <c r="I305" s="1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22.5" customHeight="1">
      <c r="A306" s="9">
        <v>304.0</v>
      </c>
      <c r="B306" s="42">
        <v>79.0</v>
      </c>
      <c r="C306" s="13" t="s">
        <v>7373</v>
      </c>
      <c r="D306" s="13" t="s">
        <v>1534</v>
      </c>
      <c r="E306" s="13" t="s">
        <v>1535</v>
      </c>
      <c r="F306" s="13" t="s">
        <v>3978</v>
      </c>
      <c r="G306" s="13" t="s">
        <v>7438</v>
      </c>
      <c r="H306" s="15"/>
      <c r="I306" s="1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22.5" customHeight="1">
      <c r="A307" s="9">
        <v>305.0</v>
      </c>
      <c r="B307" s="42">
        <v>79.0</v>
      </c>
      <c r="C307" s="13" t="s">
        <v>7439</v>
      </c>
      <c r="D307" s="13" t="s">
        <v>7440</v>
      </c>
      <c r="E307" s="13" t="s">
        <v>7441</v>
      </c>
      <c r="F307" s="13" t="s">
        <v>7442</v>
      </c>
      <c r="G307" s="13" t="s">
        <v>7443</v>
      </c>
      <c r="H307" s="14" t="s">
        <v>18</v>
      </c>
      <c r="I307" s="1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22.5" customHeight="1">
      <c r="A308" s="9">
        <v>306.0</v>
      </c>
      <c r="B308" s="42">
        <v>79.0</v>
      </c>
      <c r="C308" s="13" t="s">
        <v>7444</v>
      </c>
      <c r="D308" s="13" t="s">
        <v>7445</v>
      </c>
      <c r="E308" s="13" t="s">
        <v>7446</v>
      </c>
      <c r="F308" s="13" t="s">
        <v>7447</v>
      </c>
      <c r="G308" s="13" t="s">
        <v>7448</v>
      </c>
      <c r="H308" s="15"/>
      <c r="I308" s="1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22.5" customHeight="1">
      <c r="A309" s="9">
        <v>307.0</v>
      </c>
      <c r="B309" s="42">
        <v>79.0</v>
      </c>
      <c r="C309" s="13" t="s">
        <v>7229</v>
      </c>
      <c r="D309" s="13" t="s">
        <v>7230</v>
      </c>
      <c r="E309" s="13" t="s">
        <v>7231</v>
      </c>
      <c r="F309" s="13" t="s">
        <v>7232</v>
      </c>
      <c r="G309" s="13" t="s">
        <v>7449</v>
      </c>
      <c r="H309" s="15"/>
      <c r="I309" s="1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22.5" customHeight="1">
      <c r="A310" s="9">
        <v>308.0</v>
      </c>
      <c r="B310" s="42">
        <v>79.0</v>
      </c>
      <c r="C310" s="13" t="s">
        <v>6999</v>
      </c>
      <c r="D310" s="13" t="s">
        <v>6621</v>
      </c>
      <c r="E310" s="13" t="s">
        <v>6622</v>
      </c>
      <c r="F310" s="13" t="s">
        <v>6512</v>
      </c>
      <c r="G310" s="13" t="s">
        <v>7450</v>
      </c>
      <c r="H310" s="15"/>
      <c r="I310" s="1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22.5" customHeight="1">
      <c r="A311" s="9">
        <v>309.0</v>
      </c>
      <c r="B311" s="42">
        <v>79.0</v>
      </c>
      <c r="C311" s="13" t="s">
        <v>7451</v>
      </c>
      <c r="D311" s="13" t="s">
        <v>3706</v>
      </c>
      <c r="E311" s="13" t="s">
        <v>3707</v>
      </c>
      <c r="F311" s="13" t="s">
        <v>7452</v>
      </c>
      <c r="G311" s="13" t="s">
        <v>7453</v>
      </c>
      <c r="H311" s="14" t="s">
        <v>18</v>
      </c>
      <c r="I311" s="1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22.5" customHeight="1">
      <c r="A312" s="9">
        <v>310.0</v>
      </c>
      <c r="B312" s="42">
        <v>79.0</v>
      </c>
      <c r="C312" s="13" t="s">
        <v>7339</v>
      </c>
      <c r="D312" s="13" t="s">
        <v>879</v>
      </c>
      <c r="E312" s="13" t="s">
        <v>880</v>
      </c>
      <c r="F312" s="13" t="s">
        <v>7340</v>
      </c>
      <c r="G312" s="13" t="s">
        <v>7454</v>
      </c>
      <c r="H312" s="15"/>
      <c r="I312" s="1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22.5" customHeight="1">
      <c r="A313" s="9">
        <v>311.0</v>
      </c>
      <c r="B313" s="42">
        <v>78.0</v>
      </c>
      <c r="C313" s="13" t="s">
        <v>7088</v>
      </c>
      <c r="D313" s="13" t="s">
        <v>7089</v>
      </c>
      <c r="E313" s="13" t="s">
        <v>7090</v>
      </c>
      <c r="F313" s="13" t="s">
        <v>6659</v>
      </c>
      <c r="G313" s="13" t="s">
        <v>6660</v>
      </c>
      <c r="H313" s="15"/>
      <c r="I313" s="1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22.5" customHeight="1">
      <c r="A314" s="9">
        <v>312.0</v>
      </c>
      <c r="B314" s="42">
        <v>78.0</v>
      </c>
      <c r="C314" s="13" t="s">
        <v>7455</v>
      </c>
      <c r="D314" s="13" t="s">
        <v>7456</v>
      </c>
      <c r="E314" s="13" t="s">
        <v>7457</v>
      </c>
      <c r="F314" s="13" t="s">
        <v>7458</v>
      </c>
      <c r="G314" s="13" t="s">
        <v>7459</v>
      </c>
      <c r="H314" s="15"/>
      <c r="I314" s="1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22.5" customHeight="1">
      <c r="A315" s="9">
        <v>313.0</v>
      </c>
      <c r="B315" s="42">
        <v>78.0</v>
      </c>
      <c r="C315" s="13" t="s">
        <v>7427</v>
      </c>
      <c r="D315" s="13" t="s">
        <v>4068</v>
      </c>
      <c r="E315" s="13" t="s">
        <v>4069</v>
      </c>
      <c r="F315" s="13" t="s">
        <v>6593</v>
      </c>
      <c r="G315" s="13" t="s">
        <v>7460</v>
      </c>
      <c r="H315" s="15"/>
      <c r="I315" s="1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22.5" customHeight="1">
      <c r="A316" s="9">
        <v>314.0</v>
      </c>
      <c r="B316" s="42">
        <v>78.0</v>
      </c>
      <c r="C316" s="13" t="s">
        <v>7461</v>
      </c>
      <c r="D316" s="13" t="s">
        <v>7462</v>
      </c>
      <c r="E316" s="13" t="s">
        <v>7463</v>
      </c>
      <c r="F316" s="13" t="s">
        <v>7464</v>
      </c>
      <c r="G316" s="13" t="s">
        <v>7465</v>
      </c>
      <c r="H316" s="15"/>
      <c r="I316" s="1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22.5" customHeight="1">
      <c r="A317" s="9">
        <v>315.0</v>
      </c>
      <c r="B317" s="42">
        <v>78.0</v>
      </c>
      <c r="C317" s="13" t="s">
        <v>7048</v>
      </c>
      <c r="D317" s="13" t="s">
        <v>6575</v>
      </c>
      <c r="E317" s="13" t="s">
        <v>6576</v>
      </c>
      <c r="F317" s="13" t="s">
        <v>6577</v>
      </c>
      <c r="G317" s="13" t="s">
        <v>7394</v>
      </c>
      <c r="H317" s="14" t="s">
        <v>18</v>
      </c>
      <c r="I317" s="1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22.5" customHeight="1">
      <c r="A318" s="9">
        <v>316.0</v>
      </c>
      <c r="B318" s="42">
        <v>78.0</v>
      </c>
      <c r="C318" s="13" t="s">
        <v>7466</v>
      </c>
      <c r="D318" s="13" t="s">
        <v>713</v>
      </c>
      <c r="E318" s="13" t="s">
        <v>180</v>
      </c>
      <c r="F318" s="13" t="s">
        <v>6876</v>
      </c>
      <c r="G318" s="13" t="s">
        <v>7467</v>
      </c>
      <c r="H318" s="15"/>
      <c r="I318" s="1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22.5" customHeight="1">
      <c r="A319" s="9">
        <v>317.0</v>
      </c>
      <c r="B319" s="42">
        <v>78.0</v>
      </c>
      <c r="C319" s="13" t="s">
        <v>7468</v>
      </c>
      <c r="D319" s="13" t="s">
        <v>7469</v>
      </c>
      <c r="E319" s="13" t="s">
        <v>7470</v>
      </c>
      <c r="F319" s="13" t="s">
        <v>7471</v>
      </c>
      <c r="G319" s="13" t="s">
        <v>7472</v>
      </c>
      <c r="H319" s="14" t="s">
        <v>18</v>
      </c>
      <c r="I319" s="1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22.5" customHeight="1">
      <c r="A320" s="9">
        <v>318.0</v>
      </c>
      <c r="B320" s="42">
        <v>78.0</v>
      </c>
      <c r="C320" s="13" t="s">
        <v>7473</v>
      </c>
      <c r="D320" s="13" t="s">
        <v>622</v>
      </c>
      <c r="E320" s="13" t="s">
        <v>623</v>
      </c>
      <c r="F320" s="13" t="s">
        <v>7474</v>
      </c>
      <c r="G320" s="13" t="s">
        <v>7475</v>
      </c>
      <c r="H320" s="14" t="s">
        <v>18</v>
      </c>
      <c r="I320" s="14" t="s">
        <v>18</v>
      </c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22.5" customHeight="1">
      <c r="A321" s="9">
        <v>319.0</v>
      </c>
      <c r="B321" s="42">
        <v>78.0</v>
      </c>
      <c r="C321" s="13" t="s">
        <v>7476</v>
      </c>
      <c r="D321" s="13" t="s">
        <v>7477</v>
      </c>
      <c r="E321" s="13" t="s">
        <v>7478</v>
      </c>
      <c r="F321" s="13" t="s">
        <v>7479</v>
      </c>
      <c r="G321" s="13" t="s">
        <v>7480</v>
      </c>
      <c r="H321" s="14" t="s">
        <v>18</v>
      </c>
      <c r="I321" s="1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22.5" customHeight="1">
      <c r="A322" s="9">
        <v>320.0</v>
      </c>
      <c r="B322" s="42">
        <v>78.0</v>
      </c>
      <c r="C322" s="13" t="s">
        <v>7481</v>
      </c>
      <c r="D322" s="13" t="s">
        <v>7482</v>
      </c>
      <c r="E322" s="13" t="s">
        <v>7483</v>
      </c>
      <c r="F322" s="13" t="s">
        <v>6618</v>
      </c>
      <c r="G322" s="13" t="s">
        <v>7484</v>
      </c>
      <c r="H322" s="15"/>
      <c r="I322" s="1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22.5" customHeight="1">
      <c r="A323" s="9">
        <v>321.0</v>
      </c>
      <c r="B323" s="42">
        <v>77.0</v>
      </c>
      <c r="C323" s="13" t="s">
        <v>7375</v>
      </c>
      <c r="D323" s="13" t="s">
        <v>145</v>
      </c>
      <c r="E323" s="13" t="s">
        <v>146</v>
      </c>
      <c r="F323" s="13" t="s">
        <v>3983</v>
      </c>
      <c r="G323" s="13" t="s">
        <v>7485</v>
      </c>
      <c r="H323" s="15"/>
      <c r="I323" s="1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22.5" customHeight="1">
      <c r="A324" s="9">
        <v>322.0</v>
      </c>
      <c r="B324" s="42">
        <v>77.0</v>
      </c>
      <c r="C324" s="13" t="s">
        <v>7486</v>
      </c>
      <c r="D324" s="13" t="s">
        <v>6605</v>
      </c>
      <c r="E324" s="13" t="s">
        <v>6606</v>
      </c>
      <c r="F324" s="13" t="s">
        <v>7458</v>
      </c>
      <c r="G324" s="13" t="s">
        <v>7487</v>
      </c>
      <c r="H324" s="15"/>
      <c r="I324" s="1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22.5" customHeight="1">
      <c r="A325" s="9">
        <v>323.0</v>
      </c>
      <c r="B325" s="42">
        <v>77.0</v>
      </c>
      <c r="C325" s="13" t="s">
        <v>7488</v>
      </c>
      <c r="D325" s="13" t="s">
        <v>377</v>
      </c>
      <c r="E325" s="13" t="s">
        <v>378</v>
      </c>
      <c r="F325" s="13" t="s">
        <v>6497</v>
      </c>
      <c r="G325" s="13" t="s">
        <v>7489</v>
      </c>
      <c r="H325" s="14" t="s">
        <v>18</v>
      </c>
      <c r="I325" s="1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22.5" customHeight="1">
      <c r="A326" s="9">
        <v>324.0</v>
      </c>
      <c r="B326" s="42">
        <v>77.0</v>
      </c>
      <c r="C326" s="13" t="s">
        <v>7027</v>
      </c>
      <c r="D326" s="13" t="s">
        <v>2932</v>
      </c>
      <c r="E326" s="13" t="s">
        <v>2933</v>
      </c>
      <c r="F326" s="13" t="s">
        <v>7028</v>
      </c>
      <c r="G326" s="13" t="s">
        <v>7029</v>
      </c>
      <c r="H326" s="15"/>
      <c r="I326" s="1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22.5" customHeight="1">
      <c r="A327" s="9">
        <v>325.0</v>
      </c>
      <c r="B327" s="42">
        <v>77.0</v>
      </c>
      <c r="C327" s="13" t="s">
        <v>7490</v>
      </c>
      <c r="D327" s="13" t="s">
        <v>7491</v>
      </c>
      <c r="E327" s="13" t="s">
        <v>7492</v>
      </c>
      <c r="F327" s="13" t="s">
        <v>6664</v>
      </c>
      <c r="G327" s="13" t="s">
        <v>7407</v>
      </c>
      <c r="H327" s="14" t="s">
        <v>18</v>
      </c>
      <c r="I327" s="1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22.5" customHeight="1">
      <c r="A328" s="9">
        <v>326.0</v>
      </c>
      <c r="B328" s="42">
        <v>77.0</v>
      </c>
      <c r="C328" s="13" t="s">
        <v>7493</v>
      </c>
      <c r="D328" s="13" t="s">
        <v>7494</v>
      </c>
      <c r="E328" s="13" t="s">
        <v>7495</v>
      </c>
      <c r="F328" s="13" t="s">
        <v>7496</v>
      </c>
      <c r="G328" s="13" t="s">
        <v>7497</v>
      </c>
      <c r="H328" s="14" t="s">
        <v>18</v>
      </c>
      <c r="I328" s="1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22.5" customHeight="1">
      <c r="A329" s="9">
        <v>327.0</v>
      </c>
      <c r="B329" s="42">
        <v>77.0</v>
      </c>
      <c r="C329" s="13" t="s">
        <v>7498</v>
      </c>
      <c r="D329" s="13" t="s">
        <v>595</v>
      </c>
      <c r="E329" s="13" t="s">
        <v>596</v>
      </c>
      <c r="F329" s="13" t="s">
        <v>7499</v>
      </c>
      <c r="G329" s="13" t="s">
        <v>7500</v>
      </c>
      <c r="H329" s="14" t="s">
        <v>18</v>
      </c>
      <c r="I329" s="1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22.5" customHeight="1">
      <c r="A330" s="9">
        <v>328.0</v>
      </c>
      <c r="B330" s="42">
        <v>77.0</v>
      </c>
      <c r="C330" s="13" t="s">
        <v>7501</v>
      </c>
      <c r="D330" s="13" t="s">
        <v>7502</v>
      </c>
      <c r="E330" s="13" t="s">
        <v>7503</v>
      </c>
      <c r="F330" s="13" t="s">
        <v>7504</v>
      </c>
      <c r="G330" s="13" t="s">
        <v>7505</v>
      </c>
      <c r="H330" s="15"/>
      <c r="I330" s="1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22.5" customHeight="1">
      <c r="A331" s="9">
        <v>329.0</v>
      </c>
      <c r="B331" s="42">
        <v>77.0</v>
      </c>
      <c r="C331" s="13" t="s">
        <v>7261</v>
      </c>
      <c r="D331" s="13" t="s">
        <v>6910</v>
      </c>
      <c r="E331" s="13" t="s">
        <v>6911</v>
      </c>
      <c r="F331" s="13" t="s">
        <v>6912</v>
      </c>
      <c r="G331" s="13" t="s">
        <v>7506</v>
      </c>
      <c r="H331" s="15"/>
      <c r="I331" s="1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22.5" customHeight="1">
      <c r="A332" s="9">
        <v>330.0</v>
      </c>
      <c r="B332" s="42">
        <v>77.0</v>
      </c>
      <c r="C332" s="13" t="s">
        <v>7220</v>
      </c>
      <c r="D332" s="13" t="s">
        <v>7221</v>
      </c>
      <c r="E332" s="13" t="s">
        <v>7507</v>
      </c>
      <c r="F332" s="13" t="s">
        <v>6577</v>
      </c>
      <c r="G332" s="13" t="s">
        <v>7394</v>
      </c>
      <c r="H332" s="15"/>
      <c r="I332" s="1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22.5" customHeight="1">
      <c r="A333" s="9">
        <v>331.0</v>
      </c>
      <c r="B333" s="42">
        <v>76.0</v>
      </c>
      <c r="C333" s="13" t="s">
        <v>7508</v>
      </c>
      <c r="D333" s="13" t="s">
        <v>3447</v>
      </c>
      <c r="E333" s="13" t="s">
        <v>3448</v>
      </c>
      <c r="F333" s="13" t="s">
        <v>7509</v>
      </c>
      <c r="G333" s="13" t="s">
        <v>7510</v>
      </c>
      <c r="H333" s="15"/>
      <c r="I333" s="1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22.5" customHeight="1">
      <c r="A334" s="9">
        <v>332.0</v>
      </c>
      <c r="B334" s="42">
        <v>76.0</v>
      </c>
      <c r="C334" s="13" t="s">
        <v>7256</v>
      </c>
      <c r="D334" s="13" t="s">
        <v>6591</v>
      </c>
      <c r="E334" s="13" t="s">
        <v>6592</v>
      </c>
      <c r="F334" s="13" t="s">
        <v>7257</v>
      </c>
      <c r="G334" s="13" t="s">
        <v>7511</v>
      </c>
      <c r="H334" s="15"/>
      <c r="I334" s="1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22.5" customHeight="1">
      <c r="A335" s="9">
        <v>333.0</v>
      </c>
      <c r="B335" s="42">
        <v>76.0</v>
      </c>
      <c r="C335" s="13" t="s">
        <v>7399</v>
      </c>
      <c r="D335" s="13" t="s">
        <v>3938</v>
      </c>
      <c r="E335" s="13" t="s">
        <v>3939</v>
      </c>
      <c r="F335" s="13" t="s">
        <v>6972</v>
      </c>
      <c r="G335" s="13" t="s">
        <v>7512</v>
      </c>
      <c r="H335" s="15"/>
      <c r="I335" s="1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22.5" customHeight="1">
      <c r="A336" s="9">
        <v>334.0</v>
      </c>
      <c r="B336" s="42">
        <v>76.0</v>
      </c>
      <c r="C336" s="13" t="s">
        <v>7513</v>
      </c>
      <c r="D336" s="13" t="s">
        <v>3699</v>
      </c>
      <c r="E336" s="13" t="s">
        <v>3700</v>
      </c>
      <c r="F336" s="13" t="s">
        <v>7514</v>
      </c>
      <c r="G336" s="13" t="s">
        <v>7515</v>
      </c>
      <c r="H336" s="14" t="s">
        <v>18</v>
      </c>
      <c r="I336" s="1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22.5" customHeight="1">
      <c r="A337" s="9">
        <v>335.0</v>
      </c>
      <c r="B337" s="42">
        <v>76.0</v>
      </c>
      <c r="C337" s="13" t="s">
        <v>7516</v>
      </c>
      <c r="D337" s="13" t="s">
        <v>7230</v>
      </c>
      <c r="E337" s="13" t="s">
        <v>7231</v>
      </c>
      <c r="F337" s="13" t="s">
        <v>7232</v>
      </c>
      <c r="G337" s="13" t="s">
        <v>7517</v>
      </c>
      <c r="H337" s="14" t="s">
        <v>18</v>
      </c>
      <c r="I337" s="1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22.5" customHeight="1">
      <c r="A338" s="9">
        <v>336.0</v>
      </c>
      <c r="B338" s="42">
        <v>76.0</v>
      </c>
      <c r="C338" s="13" t="s">
        <v>7236</v>
      </c>
      <c r="D338" s="13" t="s">
        <v>7237</v>
      </c>
      <c r="E338" s="13" t="s">
        <v>7238</v>
      </c>
      <c r="F338" s="13" t="s">
        <v>7239</v>
      </c>
      <c r="G338" s="13" t="s">
        <v>7518</v>
      </c>
      <c r="H338" s="14" t="s">
        <v>18</v>
      </c>
      <c r="I338" s="1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22.5" customHeight="1">
      <c r="A339" s="9">
        <v>337.0</v>
      </c>
      <c r="B339" s="42">
        <v>76.0</v>
      </c>
      <c r="C339" s="13" t="s">
        <v>7367</v>
      </c>
      <c r="D339" s="13" t="s">
        <v>3731</v>
      </c>
      <c r="E339" s="13" t="s">
        <v>7368</v>
      </c>
      <c r="F339" s="13" t="s">
        <v>3917</v>
      </c>
      <c r="G339" s="13" t="s">
        <v>7519</v>
      </c>
      <c r="H339" s="14" t="s">
        <v>18</v>
      </c>
      <c r="I339" s="1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22.5" customHeight="1">
      <c r="A340" s="9">
        <v>338.0</v>
      </c>
      <c r="B340" s="42">
        <v>76.0</v>
      </c>
      <c r="C340" s="13" t="s">
        <v>7220</v>
      </c>
      <c r="D340" s="13" t="s">
        <v>7221</v>
      </c>
      <c r="E340" s="13" t="s">
        <v>7507</v>
      </c>
      <c r="F340" s="13" t="s">
        <v>6577</v>
      </c>
      <c r="G340" s="13" t="s">
        <v>7223</v>
      </c>
      <c r="H340" s="15"/>
      <c r="I340" s="1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22.5" customHeight="1">
      <c r="A341" s="9">
        <v>339.0</v>
      </c>
      <c r="B341" s="42">
        <v>76.0</v>
      </c>
      <c r="C341" s="13" t="s">
        <v>7373</v>
      </c>
      <c r="D341" s="13" t="s">
        <v>1534</v>
      </c>
      <c r="E341" s="13" t="s">
        <v>1535</v>
      </c>
      <c r="F341" s="13" t="s">
        <v>3978</v>
      </c>
      <c r="G341" s="13" t="s">
        <v>7374</v>
      </c>
      <c r="H341" s="15"/>
      <c r="I341" s="1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22.5" customHeight="1">
      <c r="A342" s="9">
        <v>340.0</v>
      </c>
      <c r="B342" s="42">
        <v>76.0</v>
      </c>
      <c r="C342" s="13" t="s">
        <v>7224</v>
      </c>
      <c r="D342" s="13" t="s">
        <v>7225</v>
      </c>
      <c r="E342" s="13" t="s">
        <v>7226</v>
      </c>
      <c r="F342" s="13" t="s">
        <v>7227</v>
      </c>
      <c r="G342" s="13" t="s">
        <v>7520</v>
      </c>
      <c r="H342" s="15"/>
      <c r="I342" s="1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22.5" customHeight="1">
      <c r="A343" s="9">
        <v>341.0</v>
      </c>
      <c r="B343" s="42">
        <v>75.0</v>
      </c>
      <c r="C343" s="13" t="s">
        <v>7075</v>
      </c>
      <c r="D343" s="13" t="s">
        <v>7076</v>
      </c>
      <c r="E343" s="13" t="s">
        <v>7077</v>
      </c>
      <c r="F343" s="13" t="s">
        <v>7078</v>
      </c>
      <c r="G343" s="13" t="s">
        <v>7521</v>
      </c>
      <c r="H343" s="15"/>
      <c r="I343" s="1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22.5" customHeight="1">
      <c r="A344" s="9">
        <v>342.0</v>
      </c>
      <c r="B344" s="42">
        <v>75.0</v>
      </c>
      <c r="C344" s="13" t="s">
        <v>7522</v>
      </c>
      <c r="D344" s="13" t="s">
        <v>891</v>
      </c>
      <c r="E344" s="13" t="s">
        <v>892</v>
      </c>
      <c r="F344" s="13" t="s">
        <v>7523</v>
      </c>
      <c r="G344" s="13" t="s">
        <v>7524</v>
      </c>
      <c r="H344" s="15"/>
      <c r="I344" s="1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22.5" customHeight="1">
      <c r="A345" s="9">
        <v>343.0</v>
      </c>
      <c r="B345" s="42">
        <v>75.0</v>
      </c>
      <c r="C345" s="13" t="s">
        <v>7525</v>
      </c>
      <c r="D345" s="13" t="s">
        <v>7526</v>
      </c>
      <c r="E345" s="13" t="s">
        <v>7527</v>
      </c>
      <c r="F345" s="13" t="s">
        <v>7528</v>
      </c>
      <c r="G345" s="13" t="s">
        <v>7529</v>
      </c>
      <c r="H345" s="15"/>
      <c r="I345" s="1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22.5" customHeight="1">
      <c r="A346" s="9">
        <v>344.0</v>
      </c>
      <c r="B346" s="42">
        <v>75.0</v>
      </c>
      <c r="C346" s="13" t="s">
        <v>7530</v>
      </c>
      <c r="D346" s="13" t="s">
        <v>7092</v>
      </c>
      <c r="E346" s="13" t="s">
        <v>7093</v>
      </c>
      <c r="F346" s="13" t="s">
        <v>7292</v>
      </c>
      <c r="G346" s="13" t="s">
        <v>7531</v>
      </c>
      <c r="H346" s="15"/>
      <c r="I346" s="1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22.5" customHeight="1">
      <c r="A347" s="9">
        <v>345.0</v>
      </c>
      <c r="B347" s="42">
        <v>75.0</v>
      </c>
      <c r="C347" s="13" t="s">
        <v>7532</v>
      </c>
      <c r="D347" s="13" t="s">
        <v>7533</v>
      </c>
      <c r="E347" s="13" t="s">
        <v>7534</v>
      </c>
      <c r="F347" s="13" t="s">
        <v>7535</v>
      </c>
      <c r="G347" s="13" t="s">
        <v>7536</v>
      </c>
      <c r="H347" s="15"/>
      <c r="I347" s="1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22.5" customHeight="1">
      <c r="A348" s="9">
        <v>346.0</v>
      </c>
      <c r="B348" s="42">
        <v>75.0</v>
      </c>
      <c r="C348" s="13" t="s">
        <v>7069</v>
      </c>
      <c r="D348" s="13" t="s">
        <v>7070</v>
      </c>
      <c r="E348" s="13" t="s">
        <v>7071</v>
      </c>
      <c r="F348" s="13" t="s">
        <v>6809</v>
      </c>
      <c r="G348" s="13" t="s">
        <v>7537</v>
      </c>
      <c r="H348" s="14" t="s">
        <v>18</v>
      </c>
      <c r="I348" s="1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22.5" customHeight="1">
      <c r="A349" s="9">
        <v>347.0</v>
      </c>
      <c r="B349" s="42">
        <v>75.0</v>
      </c>
      <c r="C349" s="13" t="s">
        <v>7538</v>
      </c>
      <c r="D349" s="13" t="s">
        <v>2748</v>
      </c>
      <c r="E349" s="13" t="s">
        <v>2749</v>
      </c>
      <c r="F349" s="13" t="s">
        <v>6585</v>
      </c>
      <c r="G349" s="13" t="s">
        <v>7539</v>
      </c>
      <c r="H349" s="15"/>
      <c r="I349" s="1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22.5" customHeight="1">
      <c r="A350" s="9">
        <v>348.0</v>
      </c>
      <c r="B350" s="42">
        <v>75.0</v>
      </c>
      <c r="C350" s="13" t="s">
        <v>7540</v>
      </c>
      <c r="D350" s="13" t="s">
        <v>7541</v>
      </c>
      <c r="E350" s="13" t="s">
        <v>7542</v>
      </c>
      <c r="F350" s="13" t="s">
        <v>7411</v>
      </c>
      <c r="G350" s="13" t="s">
        <v>7543</v>
      </c>
      <c r="H350" s="14" t="s">
        <v>18</v>
      </c>
      <c r="I350" s="1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22.5" customHeight="1">
      <c r="A351" s="9">
        <v>349.0</v>
      </c>
      <c r="B351" s="42">
        <v>75.0</v>
      </c>
      <c r="C351" s="13" t="s">
        <v>7544</v>
      </c>
      <c r="D351" s="13" t="s">
        <v>6754</v>
      </c>
      <c r="E351" s="13" t="s">
        <v>6755</v>
      </c>
      <c r="F351" s="13" t="s">
        <v>6756</v>
      </c>
      <c r="G351" s="13" t="s">
        <v>7545</v>
      </c>
      <c r="H351" s="15"/>
      <c r="I351" s="1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22.5" customHeight="1">
      <c r="A352" s="9">
        <v>350.0</v>
      </c>
      <c r="B352" s="42">
        <v>75.0</v>
      </c>
      <c r="C352" s="13" t="s">
        <v>7109</v>
      </c>
      <c r="D352" s="13" t="s">
        <v>7110</v>
      </c>
      <c r="E352" s="13" t="s">
        <v>7280</v>
      </c>
      <c r="F352" s="13" t="s">
        <v>6830</v>
      </c>
      <c r="G352" s="13" t="s">
        <v>7546</v>
      </c>
      <c r="H352" s="15"/>
      <c r="I352" s="1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22.5" customHeight="1">
      <c r="A353" s="9">
        <v>351.0</v>
      </c>
      <c r="B353" s="42">
        <v>74.0</v>
      </c>
      <c r="C353" s="13" t="s">
        <v>7547</v>
      </c>
      <c r="D353" s="13" t="s">
        <v>7548</v>
      </c>
      <c r="E353" s="13" t="s">
        <v>7549</v>
      </c>
      <c r="F353" s="13" t="s">
        <v>6948</v>
      </c>
      <c r="G353" s="13" t="s">
        <v>7550</v>
      </c>
      <c r="H353" s="14" t="s">
        <v>18</v>
      </c>
      <c r="I353" s="1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22.5" customHeight="1">
      <c r="A354" s="9">
        <v>352.0</v>
      </c>
      <c r="B354" s="42">
        <v>74.0</v>
      </c>
      <c r="C354" s="13" t="s">
        <v>7088</v>
      </c>
      <c r="D354" s="13" t="s">
        <v>7089</v>
      </c>
      <c r="E354" s="13" t="s">
        <v>7090</v>
      </c>
      <c r="F354" s="13" t="s">
        <v>6659</v>
      </c>
      <c r="G354" s="13" t="s">
        <v>7551</v>
      </c>
      <c r="H354" s="15"/>
      <c r="I354" s="1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22.5" customHeight="1">
      <c r="A355" s="9">
        <v>353.0</v>
      </c>
      <c r="B355" s="42">
        <v>74.0</v>
      </c>
      <c r="C355" s="13" t="s">
        <v>6494</v>
      </c>
      <c r="D355" s="13" t="s">
        <v>6495</v>
      </c>
      <c r="E355" s="13" t="s">
        <v>6496</v>
      </c>
      <c r="F355" s="13" t="s">
        <v>6497</v>
      </c>
      <c r="G355" s="13" t="s">
        <v>7552</v>
      </c>
      <c r="H355" s="15"/>
      <c r="I355" s="1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22.5" customHeight="1">
      <c r="A356" s="9">
        <v>354.0</v>
      </c>
      <c r="B356" s="42">
        <v>74.0</v>
      </c>
      <c r="C356" s="13" t="s">
        <v>7253</v>
      </c>
      <c r="D356" s="13" t="s">
        <v>3713</v>
      </c>
      <c r="E356" s="13" t="s">
        <v>7254</v>
      </c>
      <c r="F356" s="13" t="s">
        <v>3917</v>
      </c>
      <c r="G356" s="13" t="s">
        <v>7553</v>
      </c>
      <c r="H356" s="15"/>
      <c r="I356" s="1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22.5" customHeight="1">
      <c r="A357" s="9">
        <v>355.0</v>
      </c>
      <c r="B357" s="42">
        <v>74.0</v>
      </c>
      <c r="C357" s="13" t="s">
        <v>7554</v>
      </c>
      <c r="D357" s="13" t="s">
        <v>7555</v>
      </c>
      <c r="E357" s="13" t="s">
        <v>7556</v>
      </c>
      <c r="F357" s="13" t="s">
        <v>6726</v>
      </c>
      <c r="G357" s="13" t="s">
        <v>7557</v>
      </c>
      <c r="H357" s="15"/>
      <c r="I357" s="1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22.5" customHeight="1">
      <c r="A358" s="9">
        <v>356.0</v>
      </c>
      <c r="B358" s="42">
        <v>74.0</v>
      </c>
      <c r="C358" s="13" t="s">
        <v>7399</v>
      </c>
      <c r="D358" s="13" t="s">
        <v>3938</v>
      </c>
      <c r="E358" s="13" t="s">
        <v>3939</v>
      </c>
      <c r="F358" s="13" t="s">
        <v>6972</v>
      </c>
      <c r="G358" s="13" t="s">
        <v>7558</v>
      </c>
      <c r="H358" s="14" t="s">
        <v>18</v>
      </c>
      <c r="I358" s="1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22.5" customHeight="1">
      <c r="A359" s="9">
        <v>357.0</v>
      </c>
      <c r="B359" s="42">
        <v>74.0</v>
      </c>
      <c r="C359" s="13" t="s">
        <v>7432</v>
      </c>
      <c r="D359" s="13" t="s">
        <v>6629</v>
      </c>
      <c r="E359" s="13" t="s">
        <v>7433</v>
      </c>
      <c r="F359" s="13" t="s">
        <v>6631</v>
      </c>
      <c r="G359" s="13" t="s">
        <v>7434</v>
      </c>
      <c r="H359" s="15"/>
      <c r="I359" s="1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22.5" customHeight="1">
      <c r="A360" s="9">
        <v>358.0</v>
      </c>
      <c r="B360" s="42">
        <v>74.0</v>
      </c>
      <c r="C360" s="13" t="s">
        <v>6518</v>
      </c>
      <c r="D360" s="13" t="s">
        <v>3702</v>
      </c>
      <c r="E360" s="13" t="s">
        <v>3703</v>
      </c>
      <c r="F360" s="13" t="s">
        <v>6519</v>
      </c>
      <c r="G360" s="13" t="s">
        <v>7559</v>
      </c>
      <c r="H360" s="15"/>
      <c r="I360" s="1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22.5" customHeight="1">
      <c r="A361" s="9">
        <v>359.0</v>
      </c>
      <c r="B361" s="42">
        <v>74.0</v>
      </c>
      <c r="C361" s="13" t="s">
        <v>7560</v>
      </c>
      <c r="D361" s="13" t="s">
        <v>4040</v>
      </c>
      <c r="E361" s="13" t="s">
        <v>4041</v>
      </c>
      <c r="F361" s="13" t="s">
        <v>6654</v>
      </c>
      <c r="G361" s="13" t="s">
        <v>7561</v>
      </c>
      <c r="H361" s="15"/>
      <c r="I361" s="1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22.5" customHeight="1">
      <c r="A362" s="9">
        <v>360.0</v>
      </c>
      <c r="B362" s="42">
        <v>74.0</v>
      </c>
      <c r="C362" s="13" t="s">
        <v>7080</v>
      </c>
      <c r="D362" s="13" t="s">
        <v>6613</v>
      </c>
      <c r="E362" s="13" t="s">
        <v>6614</v>
      </c>
      <c r="F362" s="13" t="s">
        <v>6615</v>
      </c>
      <c r="G362" s="13" t="s">
        <v>7562</v>
      </c>
      <c r="H362" s="14" t="s">
        <v>18</v>
      </c>
      <c r="I362" s="1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22.5" customHeight="1">
      <c r="A363" s="9">
        <v>361.0</v>
      </c>
      <c r="B363" s="42">
        <v>73.0</v>
      </c>
      <c r="C363" s="13" t="s">
        <v>7563</v>
      </c>
      <c r="D363" s="13" t="s">
        <v>7564</v>
      </c>
      <c r="E363" s="13" t="s">
        <v>7565</v>
      </c>
      <c r="F363" s="13" t="s">
        <v>6710</v>
      </c>
      <c r="G363" s="13" t="s">
        <v>7566</v>
      </c>
      <c r="H363" s="14" t="s">
        <v>18</v>
      </c>
      <c r="I363" s="1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22.5" customHeight="1">
      <c r="A364" s="9">
        <v>362.0</v>
      </c>
      <c r="B364" s="42">
        <v>73.0</v>
      </c>
      <c r="C364" s="13" t="s">
        <v>7567</v>
      </c>
      <c r="D364" s="13" t="s">
        <v>3051</v>
      </c>
      <c r="E364" s="13" t="s">
        <v>3052</v>
      </c>
      <c r="F364" s="13" t="s">
        <v>7568</v>
      </c>
      <c r="G364" s="13" t="s">
        <v>7569</v>
      </c>
      <c r="H364" s="14" t="s">
        <v>18</v>
      </c>
      <c r="I364" s="1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22.5" customHeight="1">
      <c r="A365" s="9">
        <v>363.0</v>
      </c>
      <c r="B365" s="42">
        <v>73.0</v>
      </c>
      <c r="C365" s="13" t="s">
        <v>7570</v>
      </c>
      <c r="D365" s="13" t="s">
        <v>630</v>
      </c>
      <c r="E365" s="13" t="s">
        <v>631</v>
      </c>
      <c r="F365" s="13" t="s">
        <v>6907</v>
      </c>
      <c r="G365" s="13" t="s">
        <v>7571</v>
      </c>
      <c r="H365" s="15"/>
      <c r="I365" s="1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22.5" customHeight="1">
      <c r="A366" s="9">
        <v>364.0</v>
      </c>
      <c r="B366" s="42">
        <v>73.0</v>
      </c>
      <c r="C366" s="13" t="s">
        <v>7572</v>
      </c>
      <c r="D366" s="13" t="s">
        <v>1207</v>
      </c>
      <c r="E366" s="13" t="s">
        <v>1208</v>
      </c>
      <c r="F366" s="13" t="s">
        <v>7160</v>
      </c>
      <c r="G366" s="13" t="s">
        <v>7573</v>
      </c>
      <c r="H366" s="14" t="s">
        <v>18</v>
      </c>
      <c r="I366" s="1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22.5" customHeight="1">
      <c r="A367" s="9">
        <v>365.0</v>
      </c>
      <c r="B367" s="42">
        <v>73.0</v>
      </c>
      <c r="C367" s="13" t="s">
        <v>7574</v>
      </c>
      <c r="D367" s="13" t="s">
        <v>525</v>
      </c>
      <c r="E367" s="13" t="s">
        <v>526</v>
      </c>
      <c r="F367" s="13" t="s">
        <v>7575</v>
      </c>
      <c r="G367" s="13" t="s">
        <v>7576</v>
      </c>
      <c r="H367" s="14" t="s">
        <v>18</v>
      </c>
      <c r="I367" s="1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22.5" customHeight="1">
      <c r="A368" s="9">
        <v>366.0</v>
      </c>
      <c r="B368" s="42">
        <v>73.0</v>
      </c>
      <c r="C368" s="13" t="s">
        <v>7577</v>
      </c>
      <c r="D368" s="13" t="s">
        <v>6938</v>
      </c>
      <c r="E368" s="13" t="s">
        <v>6939</v>
      </c>
      <c r="F368" s="13" t="s">
        <v>6940</v>
      </c>
      <c r="G368" s="13" t="s">
        <v>7578</v>
      </c>
      <c r="H368" s="14" t="s">
        <v>18</v>
      </c>
      <c r="I368" s="1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22.5" customHeight="1">
      <c r="A369" s="9">
        <v>367.0</v>
      </c>
      <c r="B369" s="42">
        <v>73.0</v>
      </c>
      <c r="C369" s="13" t="s">
        <v>6514</v>
      </c>
      <c r="D369" s="13" t="s">
        <v>6515</v>
      </c>
      <c r="E369" s="13" t="s">
        <v>246</v>
      </c>
      <c r="F369" s="13" t="s">
        <v>6516</v>
      </c>
      <c r="G369" s="13" t="s">
        <v>7579</v>
      </c>
      <c r="H369" s="14" t="s">
        <v>18</v>
      </c>
      <c r="I369" s="1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22.5" customHeight="1">
      <c r="A370" s="9">
        <v>368.0</v>
      </c>
      <c r="B370" s="42">
        <v>73.0</v>
      </c>
      <c r="C370" s="13" t="s">
        <v>7580</v>
      </c>
      <c r="D370" s="13" t="s">
        <v>475</v>
      </c>
      <c r="E370" s="13" t="s">
        <v>476</v>
      </c>
      <c r="F370" s="13" t="s">
        <v>7581</v>
      </c>
      <c r="G370" s="13" t="s">
        <v>7582</v>
      </c>
      <c r="H370" s="15"/>
      <c r="I370" s="1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22.5" customHeight="1">
      <c r="A371" s="9">
        <v>369.0</v>
      </c>
      <c r="B371" s="42">
        <v>73.0</v>
      </c>
      <c r="C371" s="13" t="s">
        <v>7583</v>
      </c>
      <c r="D371" s="13" t="s">
        <v>7584</v>
      </c>
      <c r="E371" s="13" t="s">
        <v>7585</v>
      </c>
      <c r="F371" s="13" t="s">
        <v>7169</v>
      </c>
      <c r="G371" s="13" t="s">
        <v>7586</v>
      </c>
      <c r="H371" s="15"/>
      <c r="I371" s="1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22.5" customHeight="1">
      <c r="A372" s="9">
        <v>370.0</v>
      </c>
      <c r="B372" s="42">
        <v>73.0</v>
      </c>
      <c r="C372" s="13" t="s">
        <v>7587</v>
      </c>
      <c r="D372" s="13" t="s">
        <v>7588</v>
      </c>
      <c r="E372" s="13" t="s">
        <v>7589</v>
      </c>
      <c r="F372" s="13" t="s">
        <v>7590</v>
      </c>
      <c r="G372" s="13" t="s">
        <v>7591</v>
      </c>
      <c r="H372" s="14" t="s">
        <v>18</v>
      </c>
      <c r="I372" s="1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22.5" customHeight="1">
      <c r="A373" s="9">
        <v>371.0</v>
      </c>
      <c r="B373" s="42">
        <v>72.0</v>
      </c>
      <c r="C373" s="13" t="s">
        <v>7592</v>
      </c>
      <c r="D373" s="13" t="s">
        <v>6737</v>
      </c>
      <c r="E373" s="13" t="s">
        <v>6738</v>
      </c>
      <c r="F373" s="13" t="s">
        <v>6577</v>
      </c>
      <c r="G373" s="13" t="s">
        <v>7593</v>
      </c>
      <c r="H373" s="15"/>
      <c r="I373" s="1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22.5" customHeight="1">
      <c r="A374" s="9">
        <v>372.0</v>
      </c>
      <c r="B374" s="42">
        <v>72.0</v>
      </c>
      <c r="C374" s="13" t="s">
        <v>7594</v>
      </c>
      <c r="D374" s="13" t="s">
        <v>7595</v>
      </c>
      <c r="E374" s="13" t="s">
        <v>7596</v>
      </c>
      <c r="F374" s="13" t="s">
        <v>7597</v>
      </c>
      <c r="G374" s="13" t="s">
        <v>7598</v>
      </c>
      <c r="H374" s="15"/>
      <c r="I374" s="1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22.5" customHeight="1">
      <c r="A375" s="9">
        <v>373.0</v>
      </c>
      <c r="B375" s="42">
        <v>72.0</v>
      </c>
      <c r="C375" s="13" t="s">
        <v>7297</v>
      </c>
      <c r="D375" s="13" t="s">
        <v>492</v>
      </c>
      <c r="E375" s="13" t="s">
        <v>493</v>
      </c>
      <c r="F375" s="13" t="s">
        <v>6776</v>
      </c>
      <c r="G375" s="13" t="s">
        <v>7599</v>
      </c>
      <c r="H375" s="14" t="s">
        <v>18</v>
      </c>
      <c r="I375" s="1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22.5" customHeight="1">
      <c r="A376" s="9">
        <v>374.0</v>
      </c>
      <c r="B376" s="42">
        <v>72.0</v>
      </c>
      <c r="C376" s="13" t="s">
        <v>7600</v>
      </c>
      <c r="D376" s="13" t="s">
        <v>7601</v>
      </c>
      <c r="E376" s="13" t="s">
        <v>7602</v>
      </c>
      <c r="F376" s="13" t="s">
        <v>7603</v>
      </c>
      <c r="G376" s="13" t="s">
        <v>7604</v>
      </c>
      <c r="H376" s="15"/>
      <c r="I376" s="1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22.5" customHeight="1">
      <c r="A377" s="9">
        <v>375.0</v>
      </c>
      <c r="B377" s="42">
        <v>72.0</v>
      </c>
      <c r="C377" s="13" t="s">
        <v>7605</v>
      </c>
      <c r="D377" s="13" t="s">
        <v>7225</v>
      </c>
      <c r="E377" s="13" t="s">
        <v>7226</v>
      </c>
      <c r="F377" s="13" t="s">
        <v>7606</v>
      </c>
      <c r="G377" s="13" t="s">
        <v>7607</v>
      </c>
      <c r="H377" s="15"/>
      <c r="I377" s="1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22.5" customHeight="1">
      <c r="A378" s="9">
        <v>376.0</v>
      </c>
      <c r="B378" s="42">
        <v>72.0</v>
      </c>
      <c r="C378" s="13" t="s">
        <v>6494</v>
      </c>
      <c r="D378" s="13" t="s">
        <v>6495</v>
      </c>
      <c r="E378" s="13" t="s">
        <v>6496</v>
      </c>
      <c r="F378" s="13" t="s">
        <v>6497</v>
      </c>
      <c r="G378" s="13" t="s">
        <v>6498</v>
      </c>
      <c r="H378" s="15"/>
      <c r="I378" s="1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22.5" customHeight="1">
      <c r="A379" s="9">
        <v>377.0</v>
      </c>
      <c r="B379" s="42">
        <v>72.0</v>
      </c>
      <c r="C379" s="13" t="s">
        <v>7608</v>
      </c>
      <c r="D379" s="13" t="s">
        <v>2230</v>
      </c>
      <c r="E379" s="13" t="s">
        <v>2231</v>
      </c>
      <c r="F379" s="13" t="s">
        <v>7609</v>
      </c>
      <c r="G379" s="13" t="s">
        <v>7610</v>
      </c>
      <c r="H379" s="15"/>
      <c r="I379" s="1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22.5" customHeight="1">
      <c r="A380" s="9">
        <v>378.0</v>
      </c>
      <c r="B380" s="42">
        <v>72.0</v>
      </c>
      <c r="C380" s="13" t="s">
        <v>7241</v>
      </c>
      <c r="D380" s="13" t="s">
        <v>697</v>
      </c>
      <c r="E380" s="13" t="s">
        <v>698</v>
      </c>
      <c r="F380" s="13" t="s">
        <v>6559</v>
      </c>
      <c r="G380" s="13" t="s">
        <v>7611</v>
      </c>
      <c r="H380" s="14" t="s">
        <v>18</v>
      </c>
      <c r="I380" s="1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22.5" customHeight="1">
      <c r="A381" s="9">
        <v>379.0</v>
      </c>
      <c r="B381" s="42">
        <v>72.0</v>
      </c>
      <c r="C381" s="13" t="s">
        <v>7612</v>
      </c>
      <c r="D381" s="13" t="s">
        <v>7349</v>
      </c>
      <c r="E381" s="13" t="s">
        <v>162</v>
      </c>
      <c r="F381" s="13" t="s">
        <v>7613</v>
      </c>
      <c r="G381" s="13" t="s">
        <v>7614</v>
      </c>
      <c r="H381" s="15"/>
      <c r="I381" s="1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22.5" customHeight="1">
      <c r="A382" s="9">
        <v>380.0</v>
      </c>
      <c r="B382" s="42">
        <v>72.0</v>
      </c>
      <c r="C382" s="13" t="s">
        <v>7198</v>
      </c>
      <c r="D382" s="13" t="s">
        <v>1234</v>
      </c>
      <c r="E382" s="13" t="s">
        <v>1235</v>
      </c>
      <c r="F382" s="13" t="s">
        <v>7199</v>
      </c>
      <c r="G382" s="13" t="s">
        <v>7615</v>
      </c>
      <c r="H382" s="15"/>
      <c r="I382" s="1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22.5" customHeight="1">
      <c r="A383" s="9">
        <v>381.0</v>
      </c>
      <c r="B383" s="42">
        <v>71.0</v>
      </c>
      <c r="C383" s="13" t="s">
        <v>7616</v>
      </c>
      <c r="D383" s="13" t="s">
        <v>6761</v>
      </c>
      <c r="E383" s="13" t="s">
        <v>6762</v>
      </c>
      <c r="F383" s="13" t="s">
        <v>6763</v>
      </c>
      <c r="G383" s="13" t="s">
        <v>7617</v>
      </c>
      <c r="H383" s="14" t="s">
        <v>18</v>
      </c>
      <c r="I383" s="1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22.5" customHeight="1">
      <c r="A384" s="9">
        <v>382.0</v>
      </c>
      <c r="B384" s="42">
        <v>71.0</v>
      </c>
      <c r="C384" s="13" t="s">
        <v>7618</v>
      </c>
      <c r="D384" s="13" t="s">
        <v>7619</v>
      </c>
      <c r="E384" s="13" t="s">
        <v>7620</v>
      </c>
      <c r="F384" s="13" t="s">
        <v>7621</v>
      </c>
      <c r="G384" s="13" t="s">
        <v>7622</v>
      </c>
      <c r="H384" s="14" t="s">
        <v>18</v>
      </c>
      <c r="I384" s="1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22.5" customHeight="1">
      <c r="A385" s="9">
        <v>383.0</v>
      </c>
      <c r="B385" s="42">
        <v>71.0</v>
      </c>
      <c r="C385" s="13" t="s">
        <v>7623</v>
      </c>
      <c r="D385" s="13" t="s">
        <v>7624</v>
      </c>
      <c r="E385" s="13" t="s">
        <v>7625</v>
      </c>
      <c r="F385" s="13" t="s">
        <v>7626</v>
      </c>
      <c r="G385" s="13" t="s">
        <v>7627</v>
      </c>
      <c r="H385" s="14" t="s">
        <v>18</v>
      </c>
      <c r="I385" s="1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22.5" customHeight="1">
      <c r="A386" s="9">
        <v>384.0</v>
      </c>
      <c r="B386" s="42">
        <v>71.0</v>
      </c>
      <c r="C386" s="13" t="s">
        <v>7628</v>
      </c>
      <c r="D386" s="13" t="s">
        <v>7629</v>
      </c>
      <c r="E386" s="13" t="s">
        <v>7630</v>
      </c>
      <c r="F386" s="13" t="s">
        <v>7631</v>
      </c>
      <c r="G386" s="13" t="s">
        <v>7632</v>
      </c>
      <c r="H386" s="15"/>
      <c r="I386" s="1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22.5" customHeight="1">
      <c r="A387" s="9">
        <v>385.0</v>
      </c>
      <c r="B387" s="42">
        <v>71.0</v>
      </c>
      <c r="C387" s="13" t="s">
        <v>7633</v>
      </c>
      <c r="D387" s="13" t="s">
        <v>6605</v>
      </c>
      <c r="E387" s="13" t="s">
        <v>6606</v>
      </c>
      <c r="F387" s="13" t="s">
        <v>6607</v>
      </c>
      <c r="G387" s="13" t="s">
        <v>6903</v>
      </c>
      <c r="H387" s="15"/>
      <c r="I387" s="1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22.5" customHeight="1">
      <c r="A388" s="9">
        <v>386.0</v>
      </c>
      <c r="B388" s="42">
        <v>71.0</v>
      </c>
      <c r="C388" s="13" t="s">
        <v>7634</v>
      </c>
      <c r="D388" s="13" t="s">
        <v>377</v>
      </c>
      <c r="E388" s="13" t="s">
        <v>378</v>
      </c>
      <c r="F388" s="13" t="s">
        <v>6618</v>
      </c>
      <c r="G388" s="13" t="s">
        <v>7484</v>
      </c>
      <c r="H388" s="14" t="s">
        <v>18</v>
      </c>
      <c r="I388" s="1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22.5" customHeight="1">
      <c r="A389" s="9">
        <v>387.0</v>
      </c>
      <c r="B389" s="42">
        <v>71.0</v>
      </c>
      <c r="C389" s="13" t="s">
        <v>7635</v>
      </c>
      <c r="D389" s="13" t="s">
        <v>7636</v>
      </c>
      <c r="E389" s="13" t="s">
        <v>7637</v>
      </c>
      <c r="F389" s="13" t="s">
        <v>7638</v>
      </c>
      <c r="G389" s="13" t="s">
        <v>7639</v>
      </c>
      <c r="H389" s="15"/>
      <c r="I389" s="1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22.5" customHeight="1">
      <c r="A390" s="9">
        <v>388.0</v>
      </c>
      <c r="B390" s="42">
        <v>71.0</v>
      </c>
      <c r="C390" s="13" t="s">
        <v>7640</v>
      </c>
      <c r="D390" s="13" t="s">
        <v>7641</v>
      </c>
      <c r="E390" s="13" t="s">
        <v>7642</v>
      </c>
      <c r="F390" s="13" t="s">
        <v>7643</v>
      </c>
      <c r="G390" s="13" t="s">
        <v>7644</v>
      </c>
      <c r="H390" s="14" t="s">
        <v>18</v>
      </c>
      <c r="I390" s="1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22.5" customHeight="1">
      <c r="A391" s="9">
        <v>389.0</v>
      </c>
      <c r="B391" s="42">
        <v>71.0</v>
      </c>
      <c r="C391" s="13" t="s">
        <v>7645</v>
      </c>
      <c r="D391" s="13" t="s">
        <v>453</v>
      </c>
      <c r="E391" s="13" t="s">
        <v>454</v>
      </c>
      <c r="F391" s="13" t="s">
        <v>6554</v>
      </c>
      <c r="G391" s="13" t="s">
        <v>7646</v>
      </c>
      <c r="H391" s="15"/>
      <c r="I391" s="1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22.5" customHeight="1">
      <c r="A392" s="9">
        <v>390.0</v>
      </c>
      <c r="B392" s="42">
        <v>71.0</v>
      </c>
      <c r="C392" s="13" t="s">
        <v>7647</v>
      </c>
      <c r="D392" s="13" t="s">
        <v>1414</v>
      </c>
      <c r="E392" s="13" t="s">
        <v>1415</v>
      </c>
      <c r="F392" s="13" t="s">
        <v>7648</v>
      </c>
      <c r="G392" s="13" t="s">
        <v>7649</v>
      </c>
      <c r="H392" s="15"/>
      <c r="I392" s="1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22.5" customHeight="1">
      <c r="A393" s="9">
        <v>391.0</v>
      </c>
      <c r="B393" s="42">
        <v>70.0</v>
      </c>
      <c r="C393" s="13" t="s">
        <v>7088</v>
      </c>
      <c r="D393" s="13" t="s">
        <v>7089</v>
      </c>
      <c r="E393" s="13" t="s">
        <v>7090</v>
      </c>
      <c r="F393" s="13" t="s">
        <v>6659</v>
      </c>
      <c r="G393" s="13" t="s">
        <v>6660</v>
      </c>
      <c r="H393" s="15"/>
      <c r="I393" s="1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22.5" customHeight="1">
      <c r="A394" s="9">
        <v>392.0</v>
      </c>
      <c r="B394" s="42">
        <v>70.0</v>
      </c>
      <c r="C394" s="13" t="s">
        <v>7650</v>
      </c>
      <c r="D394" s="13" t="s">
        <v>7117</v>
      </c>
      <c r="E394" s="13" t="s">
        <v>7118</v>
      </c>
      <c r="F394" s="13" t="s">
        <v>7651</v>
      </c>
      <c r="G394" s="13" t="s">
        <v>7652</v>
      </c>
      <c r="H394" s="14" t="s">
        <v>18</v>
      </c>
      <c r="I394" s="1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22.5" customHeight="1">
      <c r="A395" s="9">
        <v>393.0</v>
      </c>
      <c r="B395" s="42">
        <v>70.0</v>
      </c>
      <c r="C395" s="13" t="s">
        <v>7086</v>
      </c>
      <c r="D395" s="13" t="s">
        <v>283</v>
      </c>
      <c r="E395" s="13" t="s">
        <v>284</v>
      </c>
      <c r="F395" s="13" t="s">
        <v>6830</v>
      </c>
      <c r="G395" s="13" t="s">
        <v>7653</v>
      </c>
      <c r="H395" s="14" t="s">
        <v>18</v>
      </c>
      <c r="I395" s="1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22.5" customHeight="1">
      <c r="A396" s="9">
        <v>394.0</v>
      </c>
      <c r="B396" s="42">
        <v>70.0</v>
      </c>
      <c r="C396" s="13" t="s">
        <v>7654</v>
      </c>
      <c r="D396" s="13" t="s">
        <v>7054</v>
      </c>
      <c r="E396" s="13" t="s">
        <v>7055</v>
      </c>
      <c r="F396" s="13" t="s">
        <v>7411</v>
      </c>
      <c r="G396" s="13" t="s">
        <v>7412</v>
      </c>
      <c r="H396" s="15"/>
      <c r="I396" s="1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22.5" customHeight="1">
      <c r="A397" s="9">
        <v>395.0</v>
      </c>
      <c r="B397" s="42">
        <v>70.0</v>
      </c>
      <c r="C397" s="13" t="s">
        <v>7640</v>
      </c>
      <c r="D397" s="13" t="s">
        <v>7641</v>
      </c>
      <c r="E397" s="13" t="s">
        <v>7642</v>
      </c>
      <c r="F397" s="13" t="s">
        <v>7643</v>
      </c>
      <c r="G397" s="13" t="s">
        <v>7655</v>
      </c>
      <c r="H397" s="15"/>
      <c r="I397" s="1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22.5" customHeight="1">
      <c r="A398" s="9">
        <v>396.0</v>
      </c>
      <c r="B398" s="42">
        <v>70.0</v>
      </c>
      <c r="C398" s="13" t="s">
        <v>7034</v>
      </c>
      <c r="D398" s="13" t="s">
        <v>7035</v>
      </c>
      <c r="E398" s="13" t="s">
        <v>7036</v>
      </c>
      <c r="F398" s="13" t="s">
        <v>7037</v>
      </c>
      <c r="G398" s="13" t="s">
        <v>7656</v>
      </c>
      <c r="H398" s="15"/>
      <c r="I398" s="1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22.5" customHeight="1">
      <c r="A399" s="9">
        <v>397.0</v>
      </c>
      <c r="B399" s="42">
        <v>70.0</v>
      </c>
      <c r="C399" s="13" t="s">
        <v>7657</v>
      </c>
      <c r="D399" s="13" t="s">
        <v>3898</v>
      </c>
      <c r="E399" s="13" t="s">
        <v>3899</v>
      </c>
      <c r="F399" s="13" t="s">
        <v>7022</v>
      </c>
      <c r="G399" s="13" t="s">
        <v>7658</v>
      </c>
      <c r="H399" s="15"/>
      <c r="I399" s="1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22.5" customHeight="1">
      <c r="A400" s="9">
        <v>398.0</v>
      </c>
      <c r="B400" s="42">
        <v>70.0</v>
      </c>
      <c r="C400" s="13" t="s">
        <v>7659</v>
      </c>
      <c r="D400" s="13" t="s">
        <v>6625</v>
      </c>
      <c r="E400" s="13" t="s">
        <v>6626</v>
      </c>
      <c r="F400" s="13" t="s">
        <v>7660</v>
      </c>
      <c r="G400" s="13" t="s">
        <v>7661</v>
      </c>
      <c r="H400" s="14" t="s">
        <v>18</v>
      </c>
      <c r="I400" s="1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22.5" customHeight="1">
      <c r="A401" s="9">
        <v>399.0</v>
      </c>
      <c r="B401" s="42">
        <v>70.0</v>
      </c>
      <c r="C401" s="13" t="s">
        <v>7662</v>
      </c>
      <c r="D401" s="13" t="s">
        <v>2561</v>
      </c>
      <c r="E401" s="13" t="s">
        <v>2562</v>
      </c>
      <c r="F401" s="13" t="s">
        <v>6683</v>
      </c>
      <c r="G401" s="13" t="s">
        <v>7663</v>
      </c>
      <c r="H401" s="15"/>
      <c r="I401" s="1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22.5" customHeight="1">
      <c r="A402" s="9">
        <v>400.0</v>
      </c>
      <c r="B402" s="42">
        <v>70.0</v>
      </c>
      <c r="C402" s="13" t="s">
        <v>6551</v>
      </c>
      <c r="D402" s="13" t="s">
        <v>1884</v>
      </c>
      <c r="E402" s="13" t="s">
        <v>1885</v>
      </c>
      <c r="F402" s="13" t="s">
        <v>6552</v>
      </c>
      <c r="G402" s="13" t="s">
        <v>7664</v>
      </c>
      <c r="H402" s="15"/>
      <c r="I402" s="1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22.5" customHeight="1">
      <c r="A403" s="9">
        <v>401.0</v>
      </c>
      <c r="B403" s="42">
        <v>69.0</v>
      </c>
      <c r="C403" s="13" t="s">
        <v>7665</v>
      </c>
      <c r="D403" s="13" t="s">
        <v>4186</v>
      </c>
      <c r="E403" s="13" t="s">
        <v>4187</v>
      </c>
      <c r="F403" s="13" t="s">
        <v>6615</v>
      </c>
      <c r="G403" s="13" t="s">
        <v>7666</v>
      </c>
      <c r="H403" s="15"/>
      <c r="I403" s="1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22.5" customHeight="1">
      <c r="A404" s="9">
        <v>402.0</v>
      </c>
      <c r="B404" s="42">
        <v>69.0</v>
      </c>
      <c r="C404" s="13" t="s">
        <v>6481</v>
      </c>
      <c r="D404" s="13" t="s">
        <v>1281</v>
      </c>
      <c r="E404" s="13" t="s">
        <v>1282</v>
      </c>
      <c r="F404" s="13" t="s">
        <v>6482</v>
      </c>
      <c r="G404" s="13" t="s">
        <v>7667</v>
      </c>
      <c r="H404" s="15"/>
      <c r="I404" s="1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22.5" customHeight="1">
      <c r="A405" s="9">
        <v>403.0</v>
      </c>
      <c r="B405" s="42">
        <v>69.0</v>
      </c>
      <c r="C405" s="13" t="s">
        <v>7075</v>
      </c>
      <c r="D405" s="13" t="s">
        <v>7076</v>
      </c>
      <c r="E405" s="13" t="s">
        <v>7077</v>
      </c>
      <c r="F405" s="13" t="s">
        <v>7078</v>
      </c>
      <c r="G405" s="13" t="s">
        <v>7668</v>
      </c>
      <c r="H405" s="15"/>
      <c r="I405" s="1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22.5" customHeight="1">
      <c r="A406" s="9">
        <v>404.0</v>
      </c>
      <c r="B406" s="42">
        <v>69.0</v>
      </c>
      <c r="C406" s="13" t="s">
        <v>7320</v>
      </c>
      <c r="D406" s="13" t="s">
        <v>6960</v>
      </c>
      <c r="E406" s="13" t="s">
        <v>6961</v>
      </c>
      <c r="F406" s="13" t="s">
        <v>7669</v>
      </c>
      <c r="G406" s="13" t="s">
        <v>7670</v>
      </c>
      <c r="H406" s="15"/>
      <c r="I406" s="1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22.5" customHeight="1">
      <c r="A407" s="9">
        <v>405.0</v>
      </c>
      <c r="B407" s="42">
        <v>69.0</v>
      </c>
      <c r="C407" s="13" t="s">
        <v>6546</v>
      </c>
      <c r="D407" s="13" t="s">
        <v>6547</v>
      </c>
      <c r="E407" s="13" t="s">
        <v>6548</v>
      </c>
      <c r="F407" s="13" t="s">
        <v>6549</v>
      </c>
      <c r="G407" s="13" t="s">
        <v>7671</v>
      </c>
      <c r="H407" s="15"/>
      <c r="I407" s="1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22.5" customHeight="1">
      <c r="A408" s="9">
        <v>406.0</v>
      </c>
      <c r="B408" s="42">
        <v>69.0</v>
      </c>
      <c r="C408" s="13" t="s">
        <v>7672</v>
      </c>
      <c r="D408" s="13" t="s">
        <v>6662</v>
      </c>
      <c r="E408" s="13" t="s">
        <v>6663</v>
      </c>
      <c r="F408" s="13" t="s">
        <v>7673</v>
      </c>
      <c r="G408" s="13" t="s">
        <v>7674</v>
      </c>
      <c r="H408" s="14" t="s">
        <v>18</v>
      </c>
      <c r="I408" s="1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22.5" customHeight="1">
      <c r="A409" s="9">
        <v>407.0</v>
      </c>
      <c r="B409" s="42">
        <v>69.0</v>
      </c>
      <c r="C409" s="13" t="s">
        <v>7675</v>
      </c>
      <c r="D409" s="13" t="s">
        <v>2266</v>
      </c>
      <c r="E409" s="13" t="s">
        <v>2267</v>
      </c>
      <c r="F409" s="13" t="s">
        <v>7676</v>
      </c>
      <c r="G409" s="13" t="s">
        <v>7677</v>
      </c>
      <c r="H409" s="14" t="s">
        <v>18</v>
      </c>
      <c r="I409" s="1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22.5" customHeight="1">
      <c r="A410" s="9">
        <v>408.0</v>
      </c>
      <c r="B410" s="42">
        <v>69.0</v>
      </c>
      <c r="C410" s="13" t="s">
        <v>7444</v>
      </c>
      <c r="D410" s="13" t="s">
        <v>7445</v>
      </c>
      <c r="E410" s="13" t="s">
        <v>7446</v>
      </c>
      <c r="F410" s="13" t="s">
        <v>7447</v>
      </c>
      <c r="G410" s="13" t="s">
        <v>7678</v>
      </c>
      <c r="H410" s="15"/>
      <c r="I410" s="1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22.5" customHeight="1">
      <c r="A411" s="9">
        <v>409.0</v>
      </c>
      <c r="B411" s="42">
        <v>69.0</v>
      </c>
      <c r="C411" s="13" t="s">
        <v>7679</v>
      </c>
      <c r="D411" s="13" t="s">
        <v>891</v>
      </c>
      <c r="E411" s="13" t="s">
        <v>892</v>
      </c>
      <c r="F411" s="13" t="s">
        <v>6781</v>
      </c>
      <c r="G411" s="13" t="s">
        <v>7680</v>
      </c>
      <c r="H411" s="15"/>
      <c r="I411" s="1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22.5" customHeight="1">
      <c r="A412" s="9">
        <v>410.0</v>
      </c>
      <c r="B412" s="42">
        <v>69.0</v>
      </c>
      <c r="C412" s="13" t="s">
        <v>7681</v>
      </c>
      <c r="D412" s="13" t="s">
        <v>2779</v>
      </c>
      <c r="E412" s="13" t="s">
        <v>883</v>
      </c>
      <c r="F412" s="13" t="s">
        <v>6552</v>
      </c>
      <c r="G412" s="13" t="s">
        <v>7682</v>
      </c>
      <c r="H412" s="14" t="s">
        <v>18</v>
      </c>
      <c r="I412" s="1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22.5" customHeight="1">
      <c r="A413" s="9">
        <v>411.0</v>
      </c>
      <c r="B413" s="42">
        <v>68.0</v>
      </c>
      <c r="C413" s="13" t="s">
        <v>7253</v>
      </c>
      <c r="D413" s="13" t="s">
        <v>3713</v>
      </c>
      <c r="E413" s="13" t="s">
        <v>7254</v>
      </c>
      <c r="F413" s="13" t="s">
        <v>3917</v>
      </c>
      <c r="G413" s="13" t="s">
        <v>7683</v>
      </c>
      <c r="H413" s="14" t="s">
        <v>18</v>
      </c>
      <c r="I413" s="1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22.5" customHeight="1">
      <c r="A414" s="9">
        <v>412.0</v>
      </c>
      <c r="B414" s="42">
        <v>68.0</v>
      </c>
      <c r="C414" s="13" t="s">
        <v>7684</v>
      </c>
      <c r="D414" s="13" t="s">
        <v>283</v>
      </c>
      <c r="E414" s="13" t="s">
        <v>284</v>
      </c>
      <c r="F414" s="13" t="s">
        <v>6672</v>
      </c>
      <c r="G414" s="13" t="s">
        <v>7685</v>
      </c>
      <c r="H414" s="15"/>
      <c r="I414" s="1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22.5" customHeight="1">
      <c r="A415" s="9">
        <v>413.0</v>
      </c>
      <c r="B415" s="42">
        <v>68.0</v>
      </c>
      <c r="C415" s="13" t="s">
        <v>7444</v>
      </c>
      <c r="D415" s="13" t="s">
        <v>7445</v>
      </c>
      <c r="E415" s="13" t="s">
        <v>7446</v>
      </c>
      <c r="F415" s="13" t="s">
        <v>7447</v>
      </c>
      <c r="G415" s="13" t="s">
        <v>7686</v>
      </c>
      <c r="H415" s="15"/>
      <c r="I415" s="1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22.5" customHeight="1">
      <c r="A416" s="9">
        <v>414.0</v>
      </c>
      <c r="B416" s="42">
        <v>68.0</v>
      </c>
      <c r="C416" s="13" t="s">
        <v>7687</v>
      </c>
      <c r="D416" s="13" t="s">
        <v>1016</v>
      </c>
      <c r="E416" s="13" t="s">
        <v>1017</v>
      </c>
      <c r="F416" s="13" t="s">
        <v>7187</v>
      </c>
      <c r="G416" s="13" t="s">
        <v>7688</v>
      </c>
      <c r="H416" s="14" t="s">
        <v>18</v>
      </c>
      <c r="I416" s="1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22.5" customHeight="1">
      <c r="A417" s="9">
        <v>415.0</v>
      </c>
      <c r="B417" s="42">
        <v>68.0</v>
      </c>
      <c r="C417" s="13" t="s">
        <v>7048</v>
      </c>
      <c r="D417" s="13" t="s">
        <v>6575</v>
      </c>
      <c r="E417" s="13" t="s">
        <v>6576</v>
      </c>
      <c r="F417" s="13" t="s">
        <v>6577</v>
      </c>
      <c r="G417" s="13" t="s">
        <v>7394</v>
      </c>
      <c r="H417" s="15"/>
      <c r="I417" s="1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22.5" customHeight="1">
      <c r="A418" s="9">
        <v>416.0</v>
      </c>
      <c r="B418" s="42">
        <v>68.0</v>
      </c>
      <c r="C418" s="13" t="s">
        <v>7689</v>
      </c>
      <c r="D418" s="13" t="s">
        <v>7690</v>
      </c>
      <c r="E418" s="13" t="s">
        <v>7691</v>
      </c>
      <c r="F418" s="13" t="s">
        <v>7648</v>
      </c>
      <c r="G418" s="13" t="s">
        <v>7692</v>
      </c>
      <c r="H418" s="15"/>
      <c r="I418" s="1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22.5" customHeight="1">
      <c r="A419" s="9">
        <v>417.0</v>
      </c>
      <c r="B419" s="42">
        <v>68.0</v>
      </c>
      <c r="C419" s="13" t="s">
        <v>6546</v>
      </c>
      <c r="D419" s="13" t="s">
        <v>6547</v>
      </c>
      <c r="E419" s="13" t="s">
        <v>7693</v>
      </c>
      <c r="F419" s="13" t="s">
        <v>6549</v>
      </c>
      <c r="G419" s="13" t="s">
        <v>7694</v>
      </c>
      <c r="H419" s="15"/>
      <c r="I419" s="1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22.5" customHeight="1">
      <c r="A420" s="9">
        <v>418.0</v>
      </c>
      <c r="B420" s="42">
        <v>68.0</v>
      </c>
      <c r="C420" s="13" t="s">
        <v>7695</v>
      </c>
      <c r="D420" s="13" t="s">
        <v>2824</v>
      </c>
      <c r="E420" s="13" t="s">
        <v>2825</v>
      </c>
      <c r="F420" s="13" t="s">
        <v>6935</v>
      </c>
      <c r="G420" s="13" t="s">
        <v>7696</v>
      </c>
      <c r="H420" s="15"/>
      <c r="I420" s="1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22.5" customHeight="1">
      <c r="A421" s="9">
        <v>419.0</v>
      </c>
      <c r="B421" s="42">
        <v>68.0</v>
      </c>
      <c r="C421" s="13" t="s">
        <v>6553</v>
      </c>
      <c r="D421" s="13" t="s">
        <v>1012</v>
      </c>
      <c r="E421" s="13" t="s">
        <v>1013</v>
      </c>
      <c r="F421" s="13" t="s">
        <v>6554</v>
      </c>
      <c r="G421" s="13" t="s">
        <v>7646</v>
      </c>
      <c r="H421" s="15"/>
      <c r="I421" s="1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22.5" customHeight="1">
      <c r="A422" s="9">
        <v>420.0</v>
      </c>
      <c r="B422" s="42">
        <v>68.0</v>
      </c>
      <c r="C422" s="13" t="s">
        <v>7015</v>
      </c>
      <c r="D422" s="13" t="s">
        <v>6625</v>
      </c>
      <c r="E422" s="13" t="s">
        <v>6626</v>
      </c>
      <c r="F422" s="13" t="s">
        <v>6516</v>
      </c>
      <c r="G422" s="13" t="s">
        <v>7697</v>
      </c>
      <c r="H422" s="15"/>
      <c r="I422" s="1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22.5" customHeight="1">
      <c r="A423" s="9">
        <v>421.0</v>
      </c>
      <c r="B423" s="42">
        <v>67.0</v>
      </c>
      <c r="C423" s="13" t="s">
        <v>7698</v>
      </c>
      <c r="D423" s="13" t="s">
        <v>6691</v>
      </c>
      <c r="E423" s="13" t="s">
        <v>6692</v>
      </c>
      <c r="F423" s="13" t="s">
        <v>6607</v>
      </c>
      <c r="G423" s="13" t="s">
        <v>6903</v>
      </c>
      <c r="H423" s="14" t="s">
        <v>18</v>
      </c>
      <c r="I423" s="1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22.5" customHeight="1">
      <c r="A424" s="9">
        <v>422.0</v>
      </c>
      <c r="B424" s="42">
        <v>67.0</v>
      </c>
      <c r="C424" s="13" t="s">
        <v>6526</v>
      </c>
      <c r="D424" s="13" t="s">
        <v>6527</v>
      </c>
      <c r="E424" s="13" t="s">
        <v>7699</v>
      </c>
      <c r="F424" s="13" t="s">
        <v>6529</v>
      </c>
      <c r="G424" s="13" t="s">
        <v>7700</v>
      </c>
      <c r="H424" s="15"/>
      <c r="I424" s="1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22.5" customHeight="1">
      <c r="A425" s="9">
        <v>423.0</v>
      </c>
      <c r="B425" s="42">
        <v>67.0</v>
      </c>
      <c r="C425" s="13" t="s">
        <v>7701</v>
      </c>
      <c r="D425" s="13" t="s">
        <v>6591</v>
      </c>
      <c r="E425" s="13" t="s">
        <v>6592</v>
      </c>
      <c r="F425" s="13" t="s">
        <v>6593</v>
      </c>
      <c r="G425" s="13" t="s">
        <v>7702</v>
      </c>
      <c r="H425" s="15"/>
      <c r="I425" s="1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22.5" customHeight="1">
      <c r="A426" s="9">
        <v>424.0</v>
      </c>
      <c r="B426" s="42">
        <v>67.0</v>
      </c>
      <c r="C426" s="13" t="s">
        <v>7703</v>
      </c>
      <c r="D426" s="13" t="s">
        <v>305</v>
      </c>
      <c r="E426" s="13" t="s">
        <v>7704</v>
      </c>
      <c r="F426" s="13" t="s">
        <v>7705</v>
      </c>
      <c r="G426" s="13" t="s">
        <v>7706</v>
      </c>
      <c r="H426" s="15"/>
      <c r="I426" s="1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22.5" customHeight="1">
      <c r="A427" s="9">
        <v>425.0</v>
      </c>
      <c r="B427" s="42">
        <v>67.0</v>
      </c>
      <c r="C427" s="13" t="s">
        <v>7707</v>
      </c>
      <c r="D427" s="13" t="s">
        <v>7708</v>
      </c>
      <c r="E427" s="13" t="s">
        <v>7709</v>
      </c>
      <c r="F427" s="13" t="s">
        <v>7019</v>
      </c>
      <c r="G427" s="13" t="s">
        <v>7710</v>
      </c>
      <c r="H427" s="15"/>
      <c r="I427" s="1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22.5" customHeight="1">
      <c r="A428" s="9">
        <v>426.0</v>
      </c>
      <c r="B428" s="42">
        <v>67.0</v>
      </c>
      <c r="C428" s="13" t="s">
        <v>7310</v>
      </c>
      <c r="D428" s="13" t="s">
        <v>7311</v>
      </c>
      <c r="E428" s="13" t="s">
        <v>7312</v>
      </c>
      <c r="F428" s="13" t="s">
        <v>7313</v>
      </c>
      <c r="G428" s="13" t="s">
        <v>7314</v>
      </c>
      <c r="H428" s="14" t="s">
        <v>18</v>
      </c>
      <c r="I428" s="1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22.5" customHeight="1">
      <c r="A429" s="9">
        <v>427.0</v>
      </c>
      <c r="B429" s="42">
        <v>67.0</v>
      </c>
      <c r="C429" s="13" t="s">
        <v>7057</v>
      </c>
      <c r="D429" s="13" t="s">
        <v>7058</v>
      </c>
      <c r="E429" s="13" t="s">
        <v>7059</v>
      </c>
      <c r="F429" s="13" t="s">
        <v>7060</v>
      </c>
      <c r="G429" s="13" t="s">
        <v>7061</v>
      </c>
      <c r="H429" s="15"/>
      <c r="I429" s="1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22.5" customHeight="1">
      <c r="A430" s="9">
        <v>428.0</v>
      </c>
      <c r="B430" s="42">
        <v>67.0</v>
      </c>
      <c r="C430" s="13" t="s">
        <v>7143</v>
      </c>
      <c r="D430" s="13" t="s">
        <v>1073</v>
      </c>
      <c r="E430" s="13" t="s">
        <v>1074</v>
      </c>
      <c r="F430" s="13" t="s">
        <v>7144</v>
      </c>
      <c r="G430" s="13" t="s">
        <v>7711</v>
      </c>
      <c r="H430" s="15"/>
      <c r="I430" s="1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22.5" customHeight="1">
      <c r="A431" s="9">
        <v>429.0</v>
      </c>
      <c r="B431" s="42">
        <v>67.0</v>
      </c>
      <c r="C431" s="13" t="s">
        <v>7030</v>
      </c>
      <c r="D431" s="13" t="s">
        <v>6915</v>
      </c>
      <c r="E431" s="13" t="s">
        <v>7712</v>
      </c>
      <c r="F431" s="13" t="s">
        <v>6917</v>
      </c>
      <c r="G431" s="13" t="s">
        <v>7713</v>
      </c>
      <c r="H431" s="15"/>
      <c r="I431" s="1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22.5" customHeight="1">
      <c r="A432" s="9">
        <v>430.0</v>
      </c>
      <c r="B432" s="42">
        <v>67.0</v>
      </c>
      <c r="C432" s="13" t="s">
        <v>7714</v>
      </c>
      <c r="D432" s="13" t="s">
        <v>7715</v>
      </c>
      <c r="E432" s="13" t="s">
        <v>7716</v>
      </c>
      <c r="F432" s="13" t="s">
        <v>7717</v>
      </c>
      <c r="G432" s="13" t="s">
        <v>7718</v>
      </c>
      <c r="H432" s="14" t="s">
        <v>18</v>
      </c>
      <c r="I432" s="1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22.5" customHeight="1">
      <c r="A433" s="9">
        <v>431.0</v>
      </c>
      <c r="B433" s="42">
        <v>66.0</v>
      </c>
      <c r="C433" s="13" t="s">
        <v>7719</v>
      </c>
      <c r="D433" s="13" t="s">
        <v>650</v>
      </c>
      <c r="E433" s="13" t="s">
        <v>651</v>
      </c>
      <c r="F433" s="13" t="s">
        <v>7720</v>
      </c>
      <c r="G433" s="13" t="s">
        <v>7721</v>
      </c>
      <c r="H433" s="14" t="s">
        <v>18</v>
      </c>
      <c r="I433" s="1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22.5" customHeight="1">
      <c r="A434" s="9">
        <v>432.0</v>
      </c>
      <c r="B434" s="42">
        <v>66.0</v>
      </c>
      <c r="C434" s="13" t="s">
        <v>7722</v>
      </c>
      <c r="D434" s="13" t="s">
        <v>1012</v>
      </c>
      <c r="E434" s="13" t="s">
        <v>1013</v>
      </c>
      <c r="F434" s="13" t="s">
        <v>7723</v>
      </c>
      <c r="G434" s="13" t="s">
        <v>7724</v>
      </c>
      <c r="H434" s="14" t="s">
        <v>18</v>
      </c>
      <c r="I434" s="1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22.5" customHeight="1">
      <c r="A435" s="9">
        <v>433.0</v>
      </c>
      <c r="B435" s="42">
        <v>66.0</v>
      </c>
      <c r="C435" s="13" t="s">
        <v>7725</v>
      </c>
      <c r="D435" s="13" t="s">
        <v>7726</v>
      </c>
      <c r="E435" s="13" t="s">
        <v>7727</v>
      </c>
      <c r="F435" s="13" t="s">
        <v>7104</v>
      </c>
      <c r="G435" s="13" t="s">
        <v>7728</v>
      </c>
      <c r="H435" s="14" t="s">
        <v>18</v>
      </c>
      <c r="I435" s="1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22.5" customHeight="1">
      <c r="A436" s="9">
        <v>434.0</v>
      </c>
      <c r="B436" s="42">
        <v>66.0</v>
      </c>
      <c r="C436" s="13" t="s">
        <v>7729</v>
      </c>
      <c r="D436" s="13" t="s">
        <v>7730</v>
      </c>
      <c r="E436" s="13" t="s">
        <v>7731</v>
      </c>
      <c r="F436" s="13" t="s">
        <v>6572</v>
      </c>
      <c r="G436" s="13" t="s">
        <v>7732</v>
      </c>
      <c r="H436" s="14" t="s">
        <v>18</v>
      </c>
      <c r="I436" s="1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22.5" customHeight="1">
      <c r="A437" s="9">
        <v>435.0</v>
      </c>
      <c r="B437" s="42">
        <v>66.0</v>
      </c>
      <c r="C437" s="13" t="s">
        <v>7733</v>
      </c>
      <c r="D437" s="13" t="s">
        <v>7734</v>
      </c>
      <c r="E437" s="13" t="s">
        <v>7735</v>
      </c>
      <c r="F437" s="13" t="s">
        <v>7736</v>
      </c>
      <c r="G437" s="13" t="s">
        <v>7737</v>
      </c>
      <c r="H437" s="14" t="s">
        <v>18</v>
      </c>
      <c r="I437" s="1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22.5" customHeight="1">
      <c r="A438" s="9">
        <v>436.0</v>
      </c>
      <c r="B438" s="42">
        <v>66.0</v>
      </c>
      <c r="C438" s="13" t="s">
        <v>7738</v>
      </c>
      <c r="D438" s="13" t="s">
        <v>6774</v>
      </c>
      <c r="E438" s="13" t="s">
        <v>6775</v>
      </c>
      <c r="F438" s="13" t="s">
        <v>6776</v>
      </c>
      <c r="G438" s="13" t="s">
        <v>7739</v>
      </c>
      <c r="H438" s="14" t="s">
        <v>18</v>
      </c>
      <c r="I438" s="1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22.5" customHeight="1">
      <c r="A439" s="9">
        <v>437.0</v>
      </c>
      <c r="B439" s="42">
        <v>66.0</v>
      </c>
      <c r="C439" s="13" t="s">
        <v>7740</v>
      </c>
      <c r="D439" s="13" t="s">
        <v>6562</v>
      </c>
      <c r="E439" s="13" t="s">
        <v>6563</v>
      </c>
      <c r="F439" s="13" t="s">
        <v>7741</v>
      </c>
      <c r="G439" s="13" t="s">
        <v>7742</v>
      </c>
      <c r="H439" s="15"/>
      <c r="I439" s="1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22.5" customHeight="1">
      <c r="A440" s="9">
        <v>438.0</v>
      </c>
      <c r="B440" s="42">
        <v>66.0</v>
      </c>
      <c r="C440" s="13" t="s">
        <v>7229</v>
      </c>
      <c r="D440" s="13" t="s">
        <v>7230</v>
      </c>
      <c r="E440" s="13" t="s">
        <v>7231</v>
      </c>
      <c r="F440" s="13" t="s">
        <v>7232</v>
      </c>
      <c r="G440" s="13" t="s">
        <v>7743</v>
      </c>
      <c r="H440" s="15"/>
      <c r="I440" s="1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22.5" customHeight="1">
      <c r="A441" s="9">
        <v>439.0</v>
      </c>
      <c r="B441" s="42">
        <v>66.0</v>
      </c>
      <c r="C441" s="13" t="s">
        <v>7744</v>
      </c>
      <c r="D441" s="13" t="s">
        <v>7745</v>
      </c>
      <c r="E441" s="13" t="s">
        <v>7746</v>
      </c>
      <c r="F441" s="13" t="s">
        <v>7747</v>
      </c>
      <c r="G441" s="13" t="s">
        <v>7748</v>
      </c>
      <c r="H441" s="14" t="s">
        <v>18</v>
      </c>
      <c r="I441" s="1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22.5" customHeight="1">
      <c r="A442" s="9">
        <v>440.0</v>
      </c>
      <c r="B442" s="42">
        <v>66.0</v>
      </c>
      <c r="C442" s="13" t="s">
        <v>7749</v>
      </c>
      <c r="D442" s="13" t="s">
        <v>2924</v>
      </c>
      <c r="E442" s="13" t="s">
        <v>2925</v>
      </c>
      <c r="F442" s="13" t="s">
        <v>7638</v>
      </c>
      <c r="G442" s="13" t="s">
        <v>7639</v>
      </c>
      <c r="H442" s="15"/>
      <c r="I442" s="1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22.5" customHeight="1">
      <c r="A443" s="9">
        <v>441.0</v>
      </c>
      <c r="B443" s="42">
        <v>65.0</v>
      </c>
      <c r="C443" s="13" t="s">
        <v>7577</v>
      </c>
      <c r="D443" s="13" t="s">
        <v>6938</v>
      </c>
      <c r="E443" s="13" t="s">
        <v>6939</v>
      </c>
      <c r="F443" s="13" t="s">
        <v>6940</v>
      </c>
      <c r="G443" s="13" t="s">
        <v>7750</v>
      </c>
      <c r="H443" s="14" t="s">
        <v>18</v>
      </c>
      <c r="I443" s="14" t="s">
        <v>18</v>
      </c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22.5" customHeight="1">
      <c r="A444" s="9">
        <v>442.0</v>
      </c>
      <c r="B444" s="42">
        <v>65.0</v>
      </c>
      <c r="C444" s="13" t="s">
        <v>7751</v>
      </c>
      <c r="D444" s="13" t="s">
        <v>1154</v>
      </c>
      <c r="E444" s="13" t="s">
        <v>1155</v>
      </c>
      <c r="F444" s="13" t="s">
        <v>7752</v>
      </c>
      <c r="G444" s="13" t="s">
        <v>7753</v>
      </c>
      <c r="H444" s="14" t="s">
        <v>18</v>
      </c>
      <c r="I444" s="14" t="s">
        <v>18</v>
      </c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22.5" customHeight="1">
      <c r="A445" s="9">
        <v>443.0</v>
      </c>
      <c r="B445" s="42">
        <v>65.0</v>
      </c>
      <c r="C445" s="13" t="s">
        <v>7754</v>
      </c>
      <c r="D445" s="13" t="s">
        <v>7040</v>
      </c>
      <c r="E445" s="13" t="s">
        <v>7041</v>
      </c>
      <c r="F445" s="13" t="s">
        <v>3891</v>
      </c>
      <c r="G445" s="13" t="s">
        <v>6701</v>
      </c>
      <c r="H445" s="15"/>
      <c r="I445" s="1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22.5" customHeight="1">
      <c r="A446" s="9">
        <v>444.0</v>
      </c>
      <c r="B446" s="42">
        <v>65.0</v>
      </c>
      <c r="C446" s="13" t="s">
        <v>7755</v>
      </c>
      <c r="D446" s="13" t="s">
        <v>7756</v>
      </c>
      <c r="E446" s="13" t="s">
        <v>7757</v>
      </c>
      <c r="F446" s="13" t="s">
        <v>7758</v>
      </c>
      <c r="G446" s="13" t="s">
        <v>7759</v>
      </c>
      <c r="H446" s="14" t="s">
        <v>18</v>
      </c>
      <c r="I446" s="1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22.5" customHeight="1">
      <c r="A447" s="9">
        <v>445.0</v>
      </c>
      <c r="B447" s="42">
        <v>65.0</v>
      </c>
      <c r="C447" s="13" t="s">
        <v>7760</v>
      </c>
      <c r="D447" s="13" t="s">
        <v>6943</v>
      </c>
      <c r="E447" s="13" t="s">
        <v>6944</v>
      </c>
      <c r="F447" s="13" t="s">
        <v>6945</v>
      </c>
      <c r="G447" s="13" t="s">
        <v>7761</v>
      </c>
      <c r="H447" s="15"/>
      <c r="I447" s="1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22.5" customHeight="1">
      <c r="A448" s="9">
        <v>446.0</v>
      </c>
      <c r="B448" s="42">
        <v>65.0</v>
      </c>
      <c r="C448" s="13" t="s">
        <v>7762</v>
      </c>
      <c r="D448" s="13" t="s">
        <v>7230</v>
      </c>
      <c r="E448" s="13" t="s">
        <v>7231</v>
      </c>
      <c r="F448" s="13" t="s">
        <v>7763</v>
      </c>
      <c r="G448" s="13" t="s">
        <v>7764</v>
      </c>
      <c r="H448" s="15"/>
      <c r="I448" s="1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22.5" customHeight="1">
      <c r="A449" s="9">
        <v>447.0</v>
      </c>
      <c r="B449" s="42">
        <v>65.0</v>
      </c>
      <c r="C449" s="13" t="s">
        <v>7082</v>
      </c>
      <c r="D449" s="13" t="s">
        <v>2627</v>
      </c>
      <c r="E449" s="13" t="s">
        <v>7765</v>
      </c>
      <c r="F449" s="13" t="s">
        <v>7084</v>
      </c>
      <c r="G449" s="13" t="s">
        <v>7766</v>
      </c>
      <c r="H449" s="14" t="s">
        <v>18</v>
      </c>
      <c r="I449" s="1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22.5" customHeight="1">
      <c r="A450" s="9">
        <v>448.0</v>
      </c>
      <c r="B450" s="42">
        <v>65.0</v>
      </c>
      <c r="C450" s="13" t="s">
        <v>7767</v>
      </c>
      <c r="D450" s="13" t="s">
        <v>6722</v>
      </c>
      <c r="E450" s="13" t="s">
        <v>7768</v>
      </c>
      <c r="F450" s="13" t="s">
        <v>3983</v>
      </c>
      <c r="G450" s="13" t="s">
        <v>3980</v>
      </c>
      <c r="H450" s="15"/>
      <c r="I450" s="1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22.5" customHeight="1">
      <c r="A451" s="9">
        <v>449.0</v>
      </c>
      <c r="B451" s="42">
        <v>65.0</v>
      </c>
      <c r="C451" s="13" t="s">
        <v>7744</v>
      </c>
      <c r="D451" s="13" t="s">
        <v>7745</v>
      </c>
      <c r="E451" s="13" t="s">
        <v>7746</v>
      </c>
      <c r="F451" s="13" t="s">
        <v>7747</v>
      </c>
      <c r="G451" s="13" t="s">
        <v>7769</v>
      </c>
      <c r="H451" s="14" t="s">
        <v>18</v>
      </c>
      <c r="I451" s="14" t="s">
        <v>18</v>
      </c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22.5" customHeight="1">
      <c r="A452" s="9">
        <v>450.0</v>
      </c>
      <c r="B452" s="42">
        <v>65.0</v>
      </c>
      <c r="C452" s="13" t="s">
        <v>7086</v>
      </c>
      <c r="D452" s="13" t="s">
        <v>283</v>
      </c>
      <c r="E452" s="13" t="s">
        <v>284</v>
      </c>
      <c r="F452" s="13" t="s">
        <v>6830</v>
      </c>
      <c r="G452" s="13" t="s">
        <v>7770</v>
      </c>
      <c r="H452" s="15"/>
      <c r="I452" s="1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22.5" customHeight="1">
      <c r="A453" s="9">
        <v>451.0</v>
      </c>
      <c r="B453" s="42">
        <v>64.0</v>
      </c>
      <c r="C453" s="13" t="s">
        <v>7751</v>
      </c>
      <c r="D453" s="13" t="s">
        <v>1154</v>
      </c>
      <c r="E453" s="13" t="s">
        <v>1155</v>
      </c>
      <c r="F453" s="13" t="s">
        <v>7752</v>
      </c>
      <c r="G453" s="13" t="s">
        <v>7771</v>
      </c>
      <c r="H453" s="14" t="s">
        <v>18</v>
      </c>
      <c r="I453" s="1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22.5" customHeight="1">
      <c r="A454" s="9">
        <v>452.0</v>
      </c>
      <c r="B454" s="42">
        <v>64.0</v>
      </c>
      <c r="C454" s="13" t="s">
        <v>7772</v>
      </c>
      <c r="D454" s="13" t="s">
        <v>3706</v>
      </c>
      <c r="E454" s="13" t="s">
        <v>3707</v>
      </c>
      <c r="F454" s="13" t="s">
        <v>6610</v>
      </c>
      <c r="G454" s="13" t="s">
        <v>7773</v>
      </c>
      <c r="H454" s="15"/>
      <c r="I454" s="1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22.5" customHeight="1">
      <c r="A455" s="9">
        <v>453.0</v>
      </c>
      <c r="B455" s="42">
        <v>64.0</v>
      </c>
      <c r="C455" s="13" t="s">
        <v>7774</v>
      </c>
      <c r="D455" s="13" t="s">
        <v>6495</v>
      </c>
      <c r="E455" s="13" t="s">
        <v>6496</v>
      </c>
      <c r="F455" s="13" t="s">
        <v>7669</v>
      </c>
      <c r="G455" s="13" t="s">
        <v>7775</v>
      </c>
      <c r="H455" s="15"/>
      <c r="I455" s="1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22.5" customHeight="1">
      <c r="A456" s="9">
        <v>454.0</v>
      </c>
      <c r="B456" s="42">
        <v>64.0</v>
      </c>
      <c r="C456" s="13" t="s">
        <v>7587</v>
      </c>
      <c r="D456" s="13" t="s">
        <v>7588</v>
      </c>
      <c r="E456" s="13" t="s">
        <v>7589</v>
      </c>
      <c r="F456" s="13" t="s">
        <v>7590</v>
      </c>
      <c r="G456" s="13" t="s">
        <v>7776</v>
      </c>
      <c r="H456" s="14" t="s">
        <v>18</v>
      </c>
      <c r="I456" s="14" t="s">
        <v>18</v>
      </c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22.5" customHeight="1">
      <c r="A457" s="9">
        <v>455.0</v>
      </c>
      <c r="B457" s="42">
        <v>64.0</v>
      </c>
      <c r="C457" s="13" t="s">
        <v>7777</v>
      </c>
      <c r="D457" s="13" t="s">
        <v>957</v>
      </c>
      <c r="E457" s="13" t="s">
        <v>958</v>
      </c>
      <c r="F457" s="13" t="s">
        <v>7778</v>
      </c>
      <c r="G457" s="13" t="s">
        <v>7779</v>
      </c>
      <c r="H457" s="14" t="s">
        <v>18</v>
      </c>
      <c r="I457" s="1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22.5" customHeight="1">
      <c r="A458" s="9">
        <v>456.0</v>
      </c>
      <c r="B458" s="42">
        <v>64.0</v>
      </c>
      <c r="C458" s="13" t="s">
        <v>7780</v>
      </c>
      <c r="D458" s="13" t="s">
        <v>7781</v>
      </c>
      <c r="E458" s="13" t="s">
        <v>7782</v>
      </c>
      <c r="F458" s="13" t="s">
        <v>7783</v>
      </c>
      <c r="G458" s="13" t="s">
        <v>7784</v>
      </c>
      <c r="H458" s="14" t="s">
        <v>18</v>
      </c>
      <c r="I458" s="1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22.5" customHeight="1">
      <c r="A459" s="9">
        <v>457.0</v>
      </c>
      <c r="B459" s="42">
        <v>64.0</v>
      </c>
      <c r="C459" s="13" t="s">
        <v>7015</v>
      </c>
      <c r="D459" s="13" t="s">
        <v>6625</v>
      </c>
      <c r="E459" s="13" t="s">
        <v>6626</v>
      </c>
      <c r="F459" s="13" t="s">
        <v>6516</v>
      </c>
      <c r="G459" s="13" t="s">
        <v>7579</v>
      </c>
      <c r="H459" s="15"/>
      <c r="I459" s="1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22.5" customHeight="1">
      <c r="A460" s="9">
        <v>458.0</v>
      </c>
      <c r="B460" s="42">
        <v>64.0</v>
      </c>
      <c r="C460" s="13" t="s">
        <v>7001</v>
      </c>
      <c r="D460" s="13" t="s">
        <v>7002</v>
      </c>
      <c r="E460" s="13" t="s">
        <v>7003</v>
      </c>
      <c r="F460" s="13" t="s">
        <v>7004</v>
      </c>
      <c r="G460" s="13" t="s">
        <v>7785</v>
      </c>
      <c r="H460" s="14" t="s">
        <v>18</v>
      </c>
      <c r="I460" s="1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22.5" customHeight="1">
      <c r="A461" s="9">
        <v>459.0</v>
      </c>
      <c r="B461" s="42">
        <v>64.0</v>
      </c>
      <c r="C461" s="13" t="s">
        <v>7216</v>
      </c>
      <c r="D461" s="13" t="s">
        <v>3423</v>
      </c>
      <c r="E461" s="13" t="s">
        <v>3424</v>
      </c>
      <c r="F461" s="13" t="s">
        <v>7217</v>
      </c>
      <c r="G461" s="13" t="s">
        <v>7218</v>
      </c>
      <c r="H461" s="15"/>
      <c r="I461" s="1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22.5" customHeight="1">
      <c r="A462" s="9">
        <v>460.0</v>
      </c>
      <c r="B462" s="42">
        <v>64.0</v>
      </c>
      <c r="C462" s="13" t="s">
        <v>7786</v>
      </c>
      <c r="D462" s="13" t="s">
        <v>2709</v>
      </c>
      <c r="E462" s="13" t="s">
        <v>1069</v>
      </c>
      <c r="F462" s="13" t="s">
        <v>7787</v>
      </c>
      <c r="G462" s="13" t="s">
        <v>7788</v>
      </c>
      <c r="H462" s="14" t="s">
        <v>18</v>
      </c>
      <c r="I462" s="1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22.5" customHeight="1">
      <c r="A463" s="9">
        <v>461.0</v>
      </c>
      <c r="B463" s="42">
        <v>63.0</v>
      </c>
      <c r="C463" s="13" t="s">
        <v>7789</v>
      </c>
      <c r="D463" s="13" t="s">
        <v>2319</v>
      </c>
      <c r="E463" s="13" t="s">
        <v>2320</v>
      </c>
      <c r="F463" s="13" t="s">
        <v>6766</v>
      </c>
      <c r="G463" s="13" t="s">
        <v>7790</v>
      </c>
      <c r="H463" s="15"/>
      <c r="I463" s="1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22.5" customHeight="1">
      <c r="A464" s="9">
        <v>462.0</v>
      </c>
      <c r="B464" s="42">
        <v>63.0</v>
      </c>
      <c r="C464" s="13" t="s">
        <v>7791</v>
      </c>
      <c r="D464" s="13" t="s">
        <v>7272</v>
      </c>
      <c r="E464" s="13" t="s">
        <v>7273</v>
      </c>
      <c r="F464" s="13" t="s">
        <v>7792</v>
      </c>
      <c r="G464" s="13" t="s">
        <v>7793</v>
      </c>
      <c r="H464" s="14" t="s">
        <v>18</v>
      </c>
      <c r="I464" s="1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22.5" customHeight="1">
      <c r="A465" s="9">
        <v>463.0</v>
      </c>
      <c r="B465" s="42">
        <v>63.0</v>
      </c>
      <c r="C465" s="13" t="s">
        <v>7395</v>
      </c>
      <c r="D465" s="13" t="s">
        <v>6667</v>
      </c>
      <c r="E465" s="13" t="s">
        <v>6668</v>
      </c>
      <c r="F465" s="13" t="s">
        <v>6669</v>
      </c>
      <c r="G465" s="13" t="s">
        <v>7794</v>
      </c>
      <c r="H465" s="14" t="s">
        <v>18</v>
      </c>
      <c r="I465" s="1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22.5" customHeight="1">
      <c r="A466" s="9">
        <v>464.0</v>
      </c>
      <c r="B466" s="42">
        <v>63.0</v>
      </c>
      <c r="C466" s="13" t="s">
        <v>7050</v>
      </c>
      <c r="D466" s="13" t="s">
        <v>1927</v>
      </c>
      <c r="E466" s="13" t="s">
        <v>1928</v>
      </c>
      <c r="F466" s="13" t="s">
        <v>7051</v>
      </c>
      <c r="G466" s="13" t="s">
        <v>7052</v>
      </c>
      <c r="H466" s="15"/>
      <c r="I466" s="1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22.5" customHeight="1">
      <c r="A467" s="9">
        <v>465.0</v>
      </c>
      <c r="B467" s="42">
        <v>63.0</v>
      </c>
      <c r="C467" s="13" t="s">
        <v>7795</v>
      </c>
      <c r="D467" s="13" t="s">
        <v>7619</v>
      </c>
      <c r="E467" s="13" t="s">
        <v>7620</v>
      </c>
      <c r="F467" s="13" t="s">
        <v>7796</v>
      </c>
      <c r="G467" s="13" t="s">
        <v>7797</v>
      </c>
      <c r="H467" s="14" t="s">
        <v>18</v>
      </c>
      <c r="I467" s="1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22.5" customHeight="1">
      <c r="A468" s="9">
        <v>466.0</v>
      </c>
      <c r="B468" s="42">
        <v>63.0</v>
      </c>
      <c r="C468" s="13" t="s">
        <v>7798</v>
      </c>
      <c r="D468" s="13" t="s">
        <v>6737</v>
      </c>
      <c r="E468" s="13" t="s">
        <v>6738</v>
      </c>
      <c r="F468" s="13" t="s">
        <v>6577</v>
      </c>
      <c r="G468" s="13" t="s">
        <v>7799</v>
      </c>
      <c r="H468" s="14" t="s">
        <v>18</v>
      </c>
      <c r="I468" s="1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22.5" customHeight="1">
      <c r="A469" s="9">
        <v>467.0</v>
      </c>
      <c r="B469" s="42">
        <v>63.0</v>
      </c>
      <c r="C469" s="13" t="s">
        <v>7241</v>
      </c>
      <c r="D469" s="13" t="s">
        <v>697</v>
      </c>
      <c r="E469" s="13" t="s">
        <v>698</v>
      </c>
      <c r="F469" s="13" t="s">
        <v>6559</v>
      </c>
      <c r="G469" s="13" t="s">
        <v>7800</v>
      </c>
      <c r="H469" s="15"/>
      <c r="I469" s="1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22.5" customHeight="1">
      <c r="A470" s="9">
        <v>468.0</v>
      </c>
      <c r="B470" s="42">
        <v>63.0</v>
      </c>
      <c r="C470" s="13" t="s">
        <v>7544</v>
      </c>
      <c r="D470" s="13" t="s">
        <v>6754</v>
      </c>
      <c r="E470" s="13" t="s">
        <v>6755</v>
      </c>
      <c r="F470" s="13" t="s">
        <v>6756</v>
      </c>
      <c r="G470" s="13" t="s">
        <v>7801</v>
      </c>
      <c r="H470" s="14" t="s">
        <v>18</v>
      </c>
      <c r="I470" s="14" t="s">
        <v>18</v>
      </c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22.5" customHeight="1">
      <c r="A471" s="9">
        <v>469.0</v>
      </c>
      <c r="B471" s="42">
        <v>63.0</v>
      </c>
      <c r="C471" s="13" t="s">
        <v>7008</v>
      </c>
      <c r="D471" s="13" t="s">
        <v>7009</v>
      </c>
      <c r="E471" s="13" t="s">
        <v>7010</v>
      </c>
      <c r="F471" s="13" t="s">
        <v>7011</v>
      </c>
      <c r="G471" s="13" t="s">
        <v>7802</v>
      </c>
      <c r="H471" s="14" t="s">
        <v>18</v>
      </c>
      <c r="I471" s="1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22.5" customHeight="1">
      <c r="A472" s="9">
        <v>470.0</v>
      </c>
      <c r="B472" s="42">
        <v>63.0</v>
      </c>
      <c r="C472" s="13" t="s">
        <v>7803</v>
      </c>
      <c r="D472" s="13" t="s">
        <v>442</v>
      </c>
      <c r="E472" s="13" t="s">
        <v>7804</v>
      </c>
      <c r="F472" s="13" t="s">
        <v>3949</v>
      </c>
      <c r="G472" s="13" t="s">
        <v>7805</v>
      </c>
      <c r="H472" s="15"/>
      <c r="I472" s="1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22.5" customHeight="1">
      <c r="A473" s="9">
        <v>471.0</v>
      </c>
      <c r="B473" s="42">
        <v>62.0</v>
      </c>
      <c r="C473" s="13" t="s">
        <v>7806</v>
      </c>
      <c r="D473" s="13" t="s">
        <v>7807</v>
      </c>
      <c r="E473" s="13" t="s">
        <v>7808</v>
      </c>
      <c r="F473" s="13" t="s">
        <v>7809</v>
      </c>
      <c r="G473" s="13" t="s">
        <v>7810</v>
      </c>
      <c r="H473" s="14" t="s">
        <v>18</v>
      </c>
      <c r="I473" s="1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22.5" customHeight="1">
      <c r="A474" s="9">
        <v>472.0</v>
      </c>
      <c r="B474" s="42">
        <v>62.0</v>
      </c>
      <c r="C474" s="13" t="s">
        <v>7811</v>
      </c>
      <c r="D474" s="13" t="s">
        <v>7812</v>
      </c>
      <c r="E474" s="13" t="s">
        <v>7813</v>
      </c>
      <c r="F474" s="13" t="s">
        <v>6607</v>
      </c>
      <c r="G474" s="13" t="s">
        <v>7814</v>
      </c>
      <c r="H474" s="14" t="s">
        <v>18</v>
      </c>
      <c r="I474" s="1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22.5" customHeight="1">
      <c r="A475" s="9">
        <v>473.0</v>
      </c>
      <c r="B475" s="42">
        <v>62.0</v>
      </c>
      <c r="C475" s="13" t="s">
        <v>7659</v>
      </c>
      <c r="D475" s="13" t="s">
        <v>6625</v>
      </c>
      <c r="E475" s="13" t="s">
        <v>6626</v>
      </c>
      <c r="F475" s="13" t="s">
        <v>7660</v>
      </c>
      <c r="G475" s="13" t="s">
        <v>7661</v>
      </c>
      <c r="H475" s="14" t="s">
        <v>18</v>
      </c>
      <c r="I475" s="1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22.5" customHeight="1">
      <c r="A476" s="9">
        <v>474.0</v>
      </c>
      <c r="B476" s="42">
        <v>62.0</v>
      </c>
      <c r="C476" s="13" t="s">
        <v>7815</v>
      </c>
      <c r="D476" s="13" t="s">
        <v>556</v>
      </c>
      <c r="E476" s="13" t="s">
        <v>557</v>
      </c>
      <c r="F476" s="13" t="s">
        <v>3962</v>
      </c>
      <c r="G476" s="13" t="s">
        <v>7816</v>
      </c>
      <c r="H476" s="14" t="s">
        <v>18</v>
      </c>
      <c r="I476" s="1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22.5" customHeight="1">
      <c r="A477" s="9">
        <v>475.0</v>
      </c>
      <c r="B477" s="42">
        <v>62.0</v>
      </c>
      <c r="C477" s="13" t="s">
        <v>7817</v>
      </c>
      <c r="D477" s="13" t="s">
        <v>6495</v>
      </c>
      <c r="E477" s="13" t="s">
        <v>6496</v>
      </c>
      <c r="F477" s="13" t="s">
        <v>6567</v>
      </c>
      <c r="G477" s="13" t="s">
        <v>7818</v>
      </c>
      <c r="H477" s="14" t="s">
        <v>18</v>
      </c>
      <c r="I477" s="1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22.5" customHeight="1">
      <c r="A478" s="9">
        <v>476.0</v>
      </c>
      <c r="B478" s="42">
        <v>62.0</v>
      </c>
      <c r="C478" s="13" t="s">
        <v>7672</v>
      </c>
      <c r="D478" s="13" t="s">
        <v>6662</v>
      </c>
      <c r="E478" s="13" t="s">
        <v>6663</v>
      </c>
      <c r="F478" s="13" t="s">
        <v>7673</v>
      </c>
      <c r="G478" s="13" t="s">
        <v>7407</v>
      </c>
      <c r="H478" s="14" t="s">
        <v>18</v>
      </c>
      <c r="I478" s="1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22.5" customHeight="1">
      <c r="A479" s="9">
        <v>477.0</v>
      </c>
      <c r="B479" s="42">
        <v>62.0</v>
      </c>
      <c r="C479" s="13" t="s">
        <v>7819</v>
      </c>
      <c r="D479" s="13" t="s">
        <v>7820</v>
      </c>
      <c r="E479" s="13" t="s">
        <v>7821</v>
      </c>
      <c r="F479" s="13" t="s">
        <v>7822</v>
      </c>
      <c r="G479" s="13" t="s">
        <v>7823</v>
      </c>
      <c r="H479" s="15"/>
      <c r="I479" s="1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22.5" customHeight="1">
      <c r="A480" s="9">
        <v>478.0</v>
      </c>
      <c r="B480" s="42">
        <v>62.0</v>
      </c>
      <c r="C480" s="13" t="s">
        <v>7302</v>
      </c>
      <c r="D480" s="13" t="s">
        <v>7303</v>
      </c>
      <c r="E480" s="13" t="s">
        <v>7824</v>
      </c>
      <c r="F480" s="13" t="s">
        <v>7305</v>
      </c>
      <c r="G480" s="13" t="s">
        <v>7825</v>
      </c>
      <c r="H480" s="15"/>
      <c r="I480" s="1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22.5" customHeight="1">
      <c r="A481" s="9">
        <v>479.0</v>
      </c>
      <c r="B481" s="42">
        <v>62.0</v>
      </c>
      <c r="C481" s="13" t="s">
        <v>7826</v>
      </c>
      <c r="D481" s="13" t="s">
        <v>7827</v>
      </c>
      <c r="E481" s="13" t="s">
        <v>7828</v>
      </c>
      <c r="F481" s="13" t="s">
        <v>7829</v>
      </c>
      <c r="G481" s="13" t="s">
        <v>7830</v>
      </c>
      <c r="H481" s="14" t="s">
        <v>18</v>
      </c>
      <c r="I481" s="1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22.5" customHeight="1">
      <c r="A482" s="9">
        <v>480.0</v>
      </c>
      <c r="B482" s="42">
        <v>62.0</v>
      </c>
      <c r="C482" s="13" t="s">
        <v>7831</v>
      </c>
      <c r="D482" s="13" t="s">
        <v>7832</v>
      </c>
      <c r="E482" s="13" t="s">
        <v>7833</v>
      </c>
      <c r="F482" s="13" t="s">
        <v>7603</v>
      </c>
      <c r="G482" s="13" t="s">
        <v>7834</v>
      </c>
      <c r="H482" s="14" t="s">
        <v>18</v>
      </c>
      <c r="I482" s="1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22.5" customHeight="1">
      <c r="A483" s="9">
        <v>481.0</v>
      </c>
      <c r="B483" s="42">
        <v>61.0</v>
      </c>
      <c r="C483" s="13" t="s">
        <v>7835</v>
      </c>
      <c r="D483" s="13" t="s">
        <v>7836</v>
      </c>
      <c r="E483" s="13" t="s">
        <v>7837</v>
      </c>
      <c r="F483" s="13" t="s">
        <v>7621</v>
      </c>
      <c r="G483" s="13" t="s">
        <v>7622</v>
      </c>
      <c r="H483" s="14" t="s">
        <v>18</v>
      </c>
      <c r="I483" s="1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22.5" customHeight="1">
      <c r="A484" s="9">
        <v>482.0</v>
      </c>
      <c r="B484" s="42">
        <v>61.0</v>
      </c>
      <c r="C484" s="13" t="s">
        <v>7838</v>
      </c>
      <c r="D484" s="13" t="s">
        <v>7839</v>
      </c>
      <c r="E484" s="13" t="s">
        <v>7840</v>
      </c>
      <c r="F484" s="13" t="s">
        <v>7841</v>
      </c>
      <c r="G484" s="13" t="s">
        <v>7842</v>
      </c>
      <c r="H484" s="14" t="s">
        <v>18</v>
      </c>
      <c r="I484" s="1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22.5" customHeight="1">
      <c r="A485" s="9">
        <v>483.0</v>
      </c>
      <c r="B485" s="42">
        <v>61.0</v>
      </c>
      <c r="C485" s="13" t="s">
        <v>7843</v>
      </c>
      <c r="D485" s="13" t="s">
        <v>7844</v>
      </c>
      <c r="E485" s="13" t="s">
        <v>7845</v>
      </c>
      <c r="F485" s="13" t="s">
        <v>6599</v>
      </c>
      <c r="G485" s="13" t="s">
        <v>7846</v>
      </c>
      <c r="H485" s="15"/>
      <c r="I485" s="1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22.5" customHeight="1">
      <c r="A486" s="9">
        <v>484.0</v>
      </c>
      <c r="B486" s="42">
        <v>61.0</v>
      </c>
      <c r="C486" s="13" t="s">
        <v>7847</v>
      </c>
      <c r="D486" s="13" t="s">
        <v>7848</v>
      </c>
      <c r="E486" s="13" t="s">
        <v>7849</v>
      </c>
      <c r="F486" s="13" t="s">
        <v>7850</v>
      </c>
      <c r="G486" s="13" t="s">
        <v>7851</v>
      </c>
      <c r="H486" s="14" t="s">
        <v>18</v>
      </c>
      <c r="I486" s="14" t="s">
        <v>18</v>
      </c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22.5" customHeight="1">
      <c r="A487" s="9">
        <v>485.0</v>
      </c>
      <c r="B487" s="42">
        <v>61.0</v>
      </c>
      <c r="C487" s="13" t="s">
        <v>7852</v>
      </c>
      <c r="D487" s="13" t="s">
        <v>7853</v>
      </c>
      <c r="E487" s="13" t="s">
        <v>7854</v>
      </c>
      <c r="F487" s="13" t="s">
        <v>7648</v>
      </c>
      <c r="G487" s="13" t="s">
        <v>7855</v>
      </c>
      <c r="H487" s="15"/>
      <c r="I487" s="1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22.5" customHeight="1">
      <c r="A488" s="9">
        <v>486.0</v>
      </c>
      <c r="B488" s="42">
        <v>61.0</v>
      </c>
      <c r="C488" s="13" t="s">
        <v>7856</v>
      </c>
      <c r="D488" s="13" t="s">
        <v>7857</v>
      </c>
      <c r="E488" s="13" t="s">
        <v>7858</v>
      </c>
      <c r="F488" s="13" t="s">
        <v>7859</v>
      </c>
      <c r="G488" s="13" t="s">
        <v>7860</v>
      </c>
      <c r="H488" s="15"/>
      <c r="I488" s="1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22.5" customHeight="1">
      <c r="A489" s="9">
        <v>487.0</v>
      </c>
      <c r="B489" s="42">
        <v>61.0</v>
      </c>
      <c r="C489" s="13" t="s">
        <v>7861</v>
      </c>
      <c r="D489" s="13" t="s">
        <v>7862</v>
      </c>
      <c r="E489" s="13" t="s">
        <v>7863</v>
      </c>
      <c r="F489" s="13" t="s">
        <v>6726</v>
      </c>
      <c r="G489" s="13" t="s">
        <v>7864</v>
      </c>
      <c r="H489" s="15"/>
      <c r="I489" s="1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22.5" customHeight="1">
      <c r="A490" s="9">
        <v>488.0</v>
      </c>
      <c r="B490" s="42">
        <v>61.0</v>
      </c>
      <c r="C490" s="13" t="s">
        <v>7865</v>
      </c>
      <c r="D490" s="13" t="s">
        <v>7866</v>
      </c>
      <c r="E490" s="13" t="s">
        <v>7867</v>
      </c>
      <c r="F490" s="13" t="s">
        <v>6654</v>
      </c>
      <c r="G490" s="13" t="s">
        <v>7868</v>
      </c>
      <c r="H490" s="15"/>
      <c r="I490" s="1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22.5" customHeight="1">
      <c r="A491" s="9">
        <v>489.0</v>
      </c>
      <c r="B491" s="42">
        <v>61.0</v>
      </c>
      <c r="C491" s="13" t="s">
        <v>7869</v>
      </c>
      <c r="D491" s="13" t="s">
        <v>7870</v>
      </c>
      <c r="E491" s="13" t="s">
        <v>7871</v>
      </c>
      <c r="F491" s="13" t="s">
        <v>6945</v>
      </c>
      <c r="G491" s="13" t="s">
        <v>7872</v>
      </c>
      <c r="H491" s="15"/>
      <c r="I491" s="1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22.5" customHeight="1">
      <c r="A492" s="9">
        <v>490.0</v>
      </c>
      <c r="B492" s="42">
        <v>61.0</v>
      </c>
      <c r="C492" s="13" t="s">
        <v>7873</v>
      </c>
      <c r="D492" s="13" t="s">
        <v>7874</v>
      </c>
      <c r="E492" s="13" t="s">
        <v>7875</v>
      </c>
      <c r="F492" s="13" t="s">
        <v>6809</v>
      </c>
      <c r="G492" s="13" t="s">
        <v>7876</v>
      </c>
      <c r="H492" s="14" t="s">
        <v>18</v>
      </c>
      <c r="I492" s="1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22.5" customHeight="1">
      <c r="A493" s="9">
        <v>491.0</v>
      </c>
      <c r="B493" s="42">
        <v>60.0</v>
      </c>
      <c r="C493" s="13" t="s">
        <v>7424</v>
      </c>
      <c r="D493" s="13" t="s">
        <v>2627</v>
      </c>
      <c r="E493" s="13" t="s">
        <v>7083</v>
      </c>
      <c r="F493" s="13" t="s">
        <v>7425</v>
      </c>
      <c r="G493" s="13" t="s">
        <v>7426</v>
      </c>
      <c r="H493" s="15"/>
      <c r="I493" s="1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22.5" customHeight="1">
      <c r="A494" s="9">
        <v>492.0</v>
      </c>
      <c r="B494" s="42">
        <v>60.0</v>
      </c>
      <c r="C494" s="13" t="s">
        <v>7877</v>
      </c>
      <c r="D494" s="13" t="s">
        <v>7878</v>
      </c>
      <c r="E494" s="13" t="s">
        <v>7879</v>
      </c>
      <c r="F494" s="13" t="s">
        <v>6593</v>
      </c>
      <c r="G494" s="13" t="s">
        <v>7880</v>
      </c>
      <c r="H494" s="15"/>
      <c r="I494" s="1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22.5" customHeight="1">
      <c r="A495" s="9">
        <v>493.0</v>
      </c>
      <c r="B495" s="42">
        <v>60.0</v>
      </c>
      <c r="C495" s="13" t="s">
        <v>7554</v>
      </c>
      <c r="D495" s="13" t="s">
        <v>7555</v>
      </c>
      <c r="E495" s="13" t="s">
        <v>7556</v>
      </c>
      <c r="F495" s="13" t="s">
        <v>6726</v>
      </c>
      <c r="G495" s="13" t="s">
        <v>7864</v>
      </c>
      <c r="H495" s="15"/>
      <c r="I495" s="1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22.5" customHeight="1">
      <c r="A496" s="9">
        <v>494.0</v>
      </c>
      <c r="B496" s="42">
        <v>60.0</v>
      </c>
      <c r="C496" s="13" t="s">
        <v>7881</v>
      </c>
      <c r="D496" s="13" t="s">
        <v>7882</v>
      </c>
      <c r="E496" s="13" t="s">
        <v>7883</v>
      </c>
      <c r="F496" s="13" t="s">
        <v>6912</v>
      </c>
      <c r="G496" s="13" t="s">
        <v>7429</v>
      </c>
      <c r="H496" s="14" t="s">
        <v>18</v>
      </c>
      <c r="I496" s="1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22.5" customHeight="1">
      <c r="A497" s="9">
        <v>495.0</v>
      </c>
      <c r="B497" s="42">
        <v>60.0</v>
      </c>
      <c r="C497" s="13" t="s">
        <v>7884</v>
      </c>
      <c r="D497" s="13" t="s">
        <v>6794</v>
      </c>
      <c r="E497" s="13" t="s">
        <v>7885</v>
      </c>
      <c r="F497" s="13" t="s">
        <v>6688</v>
      </c>
      <c r="G497" s="13" t="s">
        <v>6689</v>
      </c>
      <c r="H497" s="14" t="s">
        <v>18</v>
      </c>
      <c r="I497" s="14" t="s">
        <v>18</v>
      </c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22.5" customHeight="1">
      <c r="A498" s="9">
        <v>496.0</v>
      </c>
      <c r="B498" s="42">
        <v>60.0</v>
      </c>
      <c r="C498" s="13" t="s">
        <v>7430</v>
      </c>
      <c r="D498" s="13" t="s">
        <v>911</v>
      </c>
      <c r="E498" s="13" t="s">
        <v>912</v>
      </c>
      <c r="F498" s="13" t="s">
        <v>6742</v>
      </c>
      <c r="G498" s="13" t="s">
        <v>7886</v>
      </c>
      <c r="H498" s="15"/>
      <c r="I498" s="1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22.5" customHeight="1">
      <c r="A499" s="9">
        <v>497.0</v>
      </c>
      <c r="B499" s="42">
        <v>60.0</v>
      </c>
      <c r="C499" s="13" t="s">
        <v>7473</v>
      </c>
      <c r="D499" s="13" t="s">
        <v>622</v>
      </c>
      <c r="E499" s="13" t="s">
        <v>7887</v>
      </c>
      <c r="F499" s="13" t="s">
        <v>7474</v>
      </c>
      <c r="G499" s="13" t="s">
        <v>7888</v>
      </c>
      <c r="H499" s="15"/>
      <c r="I499" s="1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22.5" customHeight="1">
      <c r="A500" s="9">
        <v>498.0</v>
      </c>
      <c r="B500" s="42">
        <v>60.0</v>
      </c>
      <c r="C500" s="13" t="s">
        <v>7819</v>
      </c>
      <c r="D500" s="13" t="s">
        <v>7889</v>
      </c>
      <c r="E500" s="13" t="s">
        <v>7890</v>
      </c>
      <c r="F500" s="13" t="s">
        <v>6588</v>
      </c>
      <c r="G500" s="13" t="s">
        <v>7891</v>
      </c>
      <c r="H500" s="14" t="s">
        <v>18</v>
      </c>
      <c r="I500" s="1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22.5" customHeight="1">
      <c r="A501" s="9">
        <v>499.0</v>
      </c>
      <c r="B501" s="42">
        <v>60.0</v>
      </c>
      <c r="C501" s="13" t="s">
        <v>7892</v>
      </c>
      <c r="D501" s="13" t="s">
        <v>7715</v>
      </c>
      <c r="E501" s="13" t="s">
        <v>7716</v>
      </c>
      <c r="F501" s="13" t="s">
        <v>3907</v>
      </c>
      <c r="G501" s="13" t="s">
        <v>7893</v>
      </c>
      <c r="H501" s="14" t="s">
        <v>18</v>
      </c>
      <c r="I501" s="1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22.5" customHeight="1">
      <c r="A502" s="9">
        <v>500.0</v>
      </c>
      <c r="B502" s="42">
        <v>60.0</v>
      </c>
      <c r="C502" s="13" t="s">
        <v>7015</v>
      </c>
      <c r="D502" s="13" t="s">
        <v>6625</v>
      </c>
      <c r="E502" s="13" t="s">
        <v>6626</v>
      </c>
      <c r="F502" s="13" t="s">
        <v>6516</v>
      </c>
      <c r="G502" s="13" t="s">
        <v>7894</v>
      </c>
      <c r="H502" s="14" t="s">
        <v>18</v>
      </c>
      <c r="I502" s="1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22.5" customHeight="1">
      <c r="A503" s="9">
        <v>501.0</v>
      </c>
      <c r="B503" s="42">
        <v>59.0</v>
      </c>
      <c r="C503" s="13" t="s">
        <v>7895</v>
      </c>
      <c r="D503" s="13" t="s">
        <v>7896</v>
      </c>
      <c r="E503" s="13" t="s">
        <v>7897</v>
      </c>
      <c r="F503" s="13" t="s">
        <v>7669</v>
      </c>
      <c r="G503" s="13" t="s">
        <v>7898</v>
      </c>
      <c r="H503" s="15"/>
      <c r="I503" s="1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22.5" customHeight="1">
      <c r="A504" s="9">
        <v>502.0</v>
      </c>
      <c r="B504" s="42">
        <v>59.0</v>
      </c>
      <c r="C504" s="13" t="s">
        <v>7899</v>
      </c>
      <c r="D504" s="13" t="s">
        <v>7900</v>
      </c>
      <c r="E504" s="13" t="s">
        <v>7901</v>
      </c>
      <c r="F504" s="13" t="s">
        <v>7411</v>
      </c>
      <c r="G504" s="13" t="s">
        <v>7412</v>
      </c>
      <c r="H504" s="14" t="s">
        <v>18</v>
      </c>
      <c r="I504" s="1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22.5" customHeight="1">
      <c r="A505" s="9">
        <v>503.0</v>
      </c>
      <c r="B505" s="42">
        <v>59.0</v>
      </c>
      <c r="C505" s="13" t="s">
        <v>7902</v>
      </c>
      <c r="D505" s="13" t="s">
        <v>7903</v>
      </c>
      <c r="E505" s="13" t="s">
        <v>7904</v>
      </c>
      <c r="F505" s="13" t="s">
        <v>6730</v>
      </c>
      <c r="G505" s="13" t="s">
        <v>7905</v>
      </c>
      <c r="H505" s="14" t="s">
        <v>18</v>
      </c>
      <c r="I505" s="1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22.5" customHeight="1">
      <c r="A506" s="9">
        <v>504.0</v>
      </c>
      <c r="B506" s="42">
        <v>59.0</v>
      </c>
      <c r="C506" s="13" t="s">
        <v>7906</v>
      </c>
      <c r="D506" s="13" t="s">
        <v>7907</v>
      </c>
      <c r="E506" s="13" t="s">
        <v>7908</v>
      </c>
      <c r="F506" s="13" t="s">
        <v>7232</v>
      </c>
      <c r="G506" s="13" t="s">
        <v>7405</v>
      </c>
      <c r="H506" s="14" t="s">
        <v>18</v>
      </c>
      <c r="I506" s="14" t="s">
        <v>18</v>
      </c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22.5" customHeight="1">
      <c r="A507" s="9">
        <v>505.0</v>
      </c>
      <c r="B507" s="42">
        <v>59.0</v>
      </c>
      <c r="C507" s="13" t="s">
        <v>7909</v>
      </c>
      <c r="D507" s="13" t="s">
        <v>7910</v>
      </c>
      <c r="E507" s="13" t="s">
        <v>7911</v>
      </c>
      <c r="F507" s="13" t="s">
        <v>7673</v>
      </c>
      <c r="G507" s="13" t="s">
        <v>7912</v>
      </c>
      <c r="H507" s="14" t="s">
        <v>18</v>
      </c>
      <c r="I507" s="1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22.5" customHeight="1">
      <c r="A508" s="9">
        <v>506.0</v>
      </c>
      <c r="B508" s="42">
        <v>59.0</v>
      </c>
      <c r="C508" s="13" t="s">
        <v>7913</v>
      </c>
      <c r="D508" s="13" t="s">
        <v>7914</v>
      </c>
      <c r="E508" s="13" t="s">
        <v>7915</v>
      </c>
      <c r="F508" s="13" t="s">
        <v>6631</v>
      </c>
      <c r="G508" s="13" t="s">
        <v>7916</v>
      </c>
      <c r="H508" s="15"/>
      <c r="I508" s="1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22.5" customHeight="1">
      <c r="A509" s="9">
        <v>507.0</v>
      </c>
      <c r="B509" s="42">
        <v>59.0</v>
      </c>
      <c r="C509" s="13" t="s">
        <v>7917</v>
      </c>
      <c r="D509" s="13" t="s">
        <v>7918</v>
      </c>
      <c r="E509" s="13" t="s">
        <v>7919</v>
      </c>
      <c r="F509" s="13" t="s">
        <v>6972</v>
      </c>
      <c r="G509" s="13" t="s">
        <v>7920</v>
      </c>
      <c r="H509" s="14" t="s">
        <v>18</v>
      </c>
      <c r="I509" s="1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22.5" customHeight="1">
      <c r="A510" s="9">
        <v>508.0</v>
      </c>
      <c r="B510" s="42">
        <v>59.0</v>
      </c>
      <c r="C510" s="13" t="s">
        <v>7921</v>
      </c>
      <c r="D510" s="13" t="s">
        <v>7922</v>
      </c>
      <c r="E510" s="13" t="s">
        <v>7923</v>
      </c>
      <c r="F510" s="13" t="s">
        <v>6618</v>
      </c>
      <c r="G510" s="13" t="s">
        <v>7924</v>
      </c>
      <c r="H510" s="14" t="s">
        <v>18</v>
      </c>
      <c r="I510" s="1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22.5" customHeight="1">
      <c r="A511" s="9">
        <v>509.0</v>
      </c>
      <c r="B511" s="42">
        <v>59.0</v>
      </c>
      <c r="C511" s="13" t="s">
        <v>7925</v>
      </c>
      <c r="D511" s="13" t="s">
        <v>7926</v>
      </c>
      <c r="E511" s="13" t="s">
        <v>7927</v>
      </c>
      <c r="F511" s="13" t="s">
        <v>6585</v>
      </c>
      <c r="G511" s="13" t="s">
        <v>7928</v>
      </c>
      <c r="H511" s="15"/>
      <c r="I511" s="1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22.5" customHeight="1">
      <c r="A512" s="9">
        <v>510.0</v>
      </c>
      <c r="B512" s="42">
        <v>59.0</v>
      </c>
      <c r="C512" s="13" t="s">
        <v>7929</v>
      </c>
      <c r="D512" s="13" t="s">
        <v>7930</v>
      </c>
      <c r="E512" s="13" t="s">
        <v>7931</v>
      </c>
      <c r="F512" s="13" t="s">
        <v>6599</v>
      </c>
      <c r="G512" s="13" t="s">
        <v>7846</v>
      </c>
      <c r="H512" s="15"/>
      <c r="I512" s="1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22.5" customHeight="1">
      <c r="A513" s="9">
        <v>511.0</v>
      </c>
      <c r="B513" s="42">
        <v>58.0</v>
      </c>
      <c r="C513" s="13" t="s">
        <v>7932</v>
      </c>
      <c r="D513" s="13" t="s">
        <v>7933</v>
      </c>
      <c r="E513" s="13" t="s">
        <v>7934</v>
      </c>
      <c r="F513" s="13" t="s">
        <v>6524</v>
      </c>
      <c r="G513" s="13" t="s">
        <v>7366</v>
      </c>
      <c r="H513" s="15"/>
      <c r="I513" s="1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22.5" customHeight="1">
      <c r="A514" s="9">
        <v>512.0</v>
      </c>
      <c r="B514" s="42">
        <v>58.0</v>
      </c>
      <c r="C514" s="13" t="s">
        <v>7935</v>
      </c>
      <c r="D514" s="13" t="s">
        <v>7936</v>
      </c>
      <c r="E514" s="13" t="s">
        <v>7937</v>
      </c>
      <c r="F514" s="13" t="s">
        <v>7938</v>
      </c>
      <c r="G514" s="13" t="s">
        <v>7939</v>
      </c>
      <c r="H514" s="15"/>
      <c r="I514" s="1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22.5" customHeight="1">
      <c r="A515" s="9">
        <v>513.0</v>
      </c>
      <c r="B515" s="42">
        <v>58.0</v>
      </c>
      <c r="C515" s="13" t="s">
        <v>7940</v>
      </c>
      <c r="D515" s="13" t="s">
        <v>7941</v>
      </c>
      <c r="E515" s="13" t="s">
        <v>7942</v>
      </c>
      <c r="F515" s="13" t="s">
        <v>7943</v>
      </c>
      <c r="G515" s="13" t="s">
        <v>7944</v>
      </c>
      <c r="H515" s="14" t="s">
        <v>18</v>
      </c>
      <c r="I515" s="1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22.5" customHeight="1">
      <c r="A516" s="9">
        <v>514.0</v>
      </c>
      <c r="B516" s="42">
        <v>58.0</v>
      </c>
      <c r="C516" s="13" t="s">
        <v>7945</v>
      </c>
      <c r="D516" s="13" t="s">
        <v>4909</v>
      </c>
      <c r="E516" s="13" t="s">
        <v>7946</v>
      </c>
      <c r="F516" s="13" t="s">
        <v>7947</v>
      </c>
      <c r="G516" s="13" t="s">
        <v>7948</v>
      </c>
      <c r="H516" s="14" t="s">
        <v>18</v>
      </c>
      <c r="I516" s="1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22.5" customHeight="1">
      <c r="A517" s="9">
        <v>515.0</v>
      </c>
      <c r="B517" s="42">
        <v>58.0</v>
      </c>
      <c r="C517" s="13" t="s">
        <v>7949</v>
      </c>
      <c r="D517" s="13" t="s">
        <v>7950</v>
      </c>
      <c r="E517" s="13" t="s">
        <v>7951</v>
      </c>
      <c r="F517" s="13" t="s">
        <v>6756</v>
      </c>
      <c r="G517" s="13" t="s">
        <v>7952</v>
      </c>
      <c r="H517" s="14" t="s">
        <v>18</v>
      </c>
      <c r="I517" s="14" t="s">
        <v>18</v>
      </c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22.5" customHeight="1">
      <c r="A518" s="9">
        <v>516.0</v>
      </c>
      <c r="B518" s="42">
        <v>58.0</v>
      </c>
      <c r="C518" s="13" t="s">
        <v>7088</v>
      </c>
      <c r="D518" s="13" t="s">
        <v>7089</v>
      </c>
      <c r="E518" s="13" t="s">
        <v>7090</v>
      </c>
      <c r="F518" s="13" t="s">
        <v>6659</v>
      </c>
      <c r="G518" s="13" t="s">
        <v>6660</v>
      </c>
      <c r="H518" s="15"/>
      <c r="I518" s="1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22.5" customHeight="1">
      <c r="A519" s="9">
        <v>517.0</v>
      </c>
      <c r="B519" s="42">
        <v>58.0</v>
      </c>
      <c r="C519" s="13" t="s">
        <v>7953</v>
      </c>
      <c r="D519" s="13" t="s">
        <v>4891</v>
      </c>
      <c r="E519" s="13" t="s">
        <v>7954</v>
      </c>
      <c r="F519" s="13" t="s">
        <v>7955</v>
      </c>
      <c r="G519" s="13" t="s">
        <v>7956</v>
      </c>
      <c r="H519" s="14" t="s">
        <v>18</v>
      </c>
      <c r="I519" s="1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22.5" customHeight="1">
      <c r="A520" s="9">
        <v>518.0</v>
      </c>
      <c r="B520" s="42">
        <v>58.0</v>
      </c>
      <c r="C520" s="13" t="s">
        <v>7957</v>
      </c>
      <c r="D520" s="13" t="s">
        <v>7958</v>
      </c>
      <c r="E520" s="13" t="s">
        <v>7959</v>
      </c>
      <c r="F520" s="13" t="s">
        <v>7960</v>
      </c>
      <c r="G520" s="13" t="s">
        <v>7961</v>
      </c>
      <c r="H520" s="14" t="s">
        <v>18</v>
      </c>
      <c r="I520" s="1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22.5" customHeight="1">
      <c r="A521" s="9">
        <v>519.0</v>
      </c>
      <c r="B521" s="42">
        <v>58.0</v>
      </c>
      <c r="C521" s="13" t="s">
        <v>7962</v>
      </c>
      <c r="D521" s="13" t="s">
        <v>7963</v>
      </c>
      <c r="E521" s="13" t="s">
        <v>7964</v>
      </c>
      <c r="F521" s="13" t="s">
        <v>7965</v>
      </c>
      <c r="G521" s="13" t="s">
        <v>7966</v>
      </c>
      <c r="H521" s="14" t="s">
        <v>18</v>
      </c>
      <c r="I521" s="1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22.5" customHeight="1">
      <c r="A522" s="9">
        <v>520.0</v>
      </c>
      <c r="B522" s="42">
        <v>58.0</v>
      </c>
      <c r="C522" s="13" t="s">
        <v>7967</v>
      </c>
      <c r="D522" s="13" t="s">
        <v>1060</v>
      </c>
      <c r="E522" s="13" t="s">
        <v>1061</v>
      </c>
      <c r="F522" s="13" t="s">
        <v>6899</v>
      </c>
      <c r="G522" s="13" t="s">
        <v>7968</v>
      </c>
      <c r="H522" s="15"/>
      <c r="I522" s="1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22.5" customHeight="1">
      <c r="A523" s="9">
        <v>521.0</v>
      </c>
      <c r="B523" s="42">
        <v>57.0</v>
      </c>
      <c r="C523" s="13" t="s">
        <v>6502</v>
      </c>
      <c r="D523" s="13" t="s">
        <v>492</v>
      </c>
      <c r="E523" s="13" t="s">
        <v>7969</v>
      </c>
      <c r="F523" s="13" t="s">
        <v>6503</v>
      </c>
      <c r="G523" s="13" t="s">
        <v>7970</v>
      </c>
      <c r="H523" s="15"/>
      <c r="I523" s="1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22.5" customHeight="1">
      <c r="A524" s="9">
        <v>522.0</v>
      </c>
      <c r="B524" s="42">
        <v>57.0</v>
      </c>
      <c r="C524" s="13" t="s">
        <v>7971</v>
      </c>
      <c r="D524" s="13" t="s">
        <v>3706</v>
      </c>
      <c r="E524" s="13" t="s">
        <v>3707</v>
      </c>
      <c r="F524" s="13" t="s">
        <v>7078</v>
      </c>
      <c r="G524" s="13" t="s">
        <v>7972</v>
      </c>
      <c r="H524" s="14" t="s">
        <v>18</v>
      </c>
      <c r="I524" s="14" t="s">
        <v>18</v>
      </c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22.5" customHeight="1">
      <c r="A525" s="9">
        <v>523.0</v>
      </c>
      <c r="B525" s="42">
        <v>57.0</v>
      </c>
      <c r="C525" s="13" t="s">
        <v>7973</v>
      </c>
      <c r="D525" s="13" t="s">
        <v>6951</v>
      </c>
      <c r="E525" s="13" t="s">
        <v>7974</v>
      </c>
      <c r="F525" s="13" t="s">
        <v>6953</v>
      </c>
      <c r="G525" s="13" t="s">
        <v>7975</v>
      </c>
      <c r="H525" s="15"/>
      <c r="I525" s="1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22.5" customHeight="1">
      <c r="A526" s="9">
        <v>524.0</v>
      </c>
      <c r="B526" s="42">
        <v>57.0</v>
      </c>
      <c r="C526" s="13" t="s">
        <v>7532</v>
      </c>
      <c r="D526" s="13" t="s">
        <v>7533</v>
      </c>
      <c r="E526" s="13" t="s">
        <v>7534</v>
      </c>
      <c r="F526" s="13" t="s">
        <v>7535</v>
      </c>
      <c r="G526" s="13" t="s">
        <v>7976</v>
      </c>
      <c r="H526" s="14" t="s">
        <v>18</v>
      </c>
      <c r="I526" s="1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22.5" customHeight="1">
      <c r="A527" s="9">
        <v>525.0</v>
      </c>
      <c r="B527" s="42">
        <v>57.0</v>
      </c>
      <c r="C527" s="13" t="s">
        <v>7481</v>
      </c>
      <c r="D527" s="13" t="s">
        <v>7482</v>
      </c>
      <c r="E527" s="13" t="s">
        <v>7483</v>
      </c>
      <c r="F527" s="13" t="s">
        <v>6618</v>
      </c>
      <c r="G527" s="13" t="s">
        <v>7977</v>
      </c>
      <c r="H527" s="14" t="s">
        <v>18</v>
      </c>
      <c r="I527" s="1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22.5" customHeight="1">
      <c r="A528" s="9">
        <v>526.0</v>
      </c>
      <c r="B528" s="42">
        <v>57.0</v>
      </c>
      <c r="C528" s="13" t="s">
        <v>7978</v>
      </c>
      <c r="D528" s="13" t="s">
        <v>7979</v>
      </c>
      <c r="E528" s="13" t="s">
        <v>7980</v>
      </c>
      <c r="F528" s="13" t="s">
        <v>7981</v>
      </c>
      <c r="G528" s="13" t="s">
        <v>7982</v>
      </c>
      <c r="H528" s="15"/>
      <c r="I528" s="1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22.5" customHeight="1">
      <c r="A529" s="9">
        <v>527.0</v>
      </c>
      <c r="B529" s="42">
        <v>57.0</v>
      </c>
      <c r="C529" s="13" t="s">
        <v>7983</v>
      </c>
      <c r="D529" s="13" t="s">
        <v>7984</v>
      </c>
      <c r="E529" s="13" t="s">
        <v>7985</v>
      </c>
      <c r="F529" s="13" t="s">
        <v>6930</v>
      </c>
      <c r="G529" s="13" t="s">
        <v>7986</v>
      </c>
      <c r="H529" s="14" t="s">
        <v>18</v>
      </c>
      <c r="I529" s="1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22.5" customHeight="1">
      <c r="A530" s="9">
        <v>528.0</v>
      </c>
      <c r="B530" s="42">
        <v>57.0</v>
      </c>
      <c r="C530" s="13" t="s">
        <v>7987</v>
      </c>
      <c r="D530" s="13" t="s">
        <v>7988</v>
      </c>
      <c r="E530" s="13" t="s">
        <v>7989</v>
      </c>
      <c r="F530" s="13" t="s">
        <v>6487</v>
      </c>
      <c r="G530" s="13" t="s">
        <v>7990</v>
      </c>
      <c r="H530" s="14" t="s">
        <v>18</v>
      </c>
      <c r="I530" s="1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22.5" customHeight="1">
      <c r="A531" s="9">
        <v>529.0</v>
      </c>
      <c r="B531" s="42">
        <v>57.0</v>
      </c>
      <c r="C531" s="13" t="s">
        <v>7991</v>
      </c>
      <c r="D531" s="13" t="s">
        <v>7992</v>
      </c>
      <c r="E531" s="13" t="s">
        <v>7993</v>
      </c>
      <c r="F531" s="13" t="s">
        <v>7994</v>
      </c>
      <c r="G531" s="13" t="s">
        <v>7995</v>
      </c>
      <c r="H531" s="15"/>
      <c r="I531" s="1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22.5" customHeight="1">
      <c r="A532" s="9">
        <v>530.0</v>
      </c>
      <c r="B532" s="42">
        <v>57.0</v>
      </c>
      <c r="C532" s="13" t="s">
        <v>7996</v>
      </c>
      <c r="D532" s="13" t="s">
        <v>7997</v>
      </c>
      <c r="E532" s="13" t="s">
        <v>7998</v>
      </c>
      <c r="F532" s="13" t="s">
        <v>6544</v>
      </c>
      <c r="G532" s="13" t="s">
        <v>7999</v>
      </c>
      <c r="H532" s="15"/>
      <c r="I532" s="1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22.5" customHeight="1">
      <c r="A533" s="9">
        <v>531.0</v>
      </c>
      <c r="B533" s="42">
        <v>56.0</v>
      </c>
      <c r="C533" s="13" t="s">
        <v>8000</v>
      </c>
      <c r="D533" s="13" t="s">
        <v>8001</v>
      </c>
      <c r="E533" s="13" t="s">
        <v>8002</v>
      </c>
      <c r="F533" s="13" t="s">
        <v>7859</v>
      </c>
      <c r="G533" s="13" t="s">
        <v>8003</v>
      </c>
      <c r="H533" s="15"/>
      <c r="I533" s="1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22.5" customHeight="1">
      <c r="A534" s="9">
        <v>532.0</v>
      </c>
      <c r="B534" s="42">
        <v>56.0</v>
      </c>
      <c r="C534" s="13" t="s">
        <v>8004</v>
      </c>
      <c r="D534" s="13" t="s">
        <v>8005</v>
      </c>
      <c r="E534" s="13" t="s">
        <v>8006</v>
      </c>
      <c r="F534" s="13" t="s">
        <v>6567</v>
      </c>
      <c r="G534" s="13" t="s">
        <v>8007</v>
      </c>
      <c r="H534" s="15"/>
      <c r="I534" s="1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22.5" customHeight="1">
      <c r="A535" s="9">
        <v>533.0</v>
      </c>
      <c r="B535" s="42">
        <v>56.0</v>
      </c>
      <c r="C535" s="13" t="s">
        <v>8008</v>
      </c>
      <c r="D535" s="13" t="s">
        <v>8009</v>
      </c>
      <c r="E535" s="13" t="s">
        <v>8010</v>
      </c>
      <c r="F535" s="13" t="s">
        <v>8011</v>
      </c>
      <c r="G535" s="13" t="s">
        <v>8012</v>
      </c>
      <c r="H535" s="14" t="s">
        <v>18</v>
      </c>
      <c r="I535" s="1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22.5" customHeight="1">
      <c r="A536" s="9">
        <v>534.0</v>
      </c>
      <c r="B536" s="42">
        <v>56.0</v>
      </c>
      <c r="C536" s="13" t="s">
        <v>8013</v>
      </c>
      <c r="D536" s="13" t="s">
        <v>8014</v>
      </c>
      <c r="E536" s="13" t="s">
        <v>8015</v>
      </c>
      <c r="F536" s="13" t="s">
        <v>8016</v>
      </c>
      <c r="G536" s="13" t="s">
        <v>8017</v>
      </c>
      <c r="H536" s="14" t="s">
        <v>18</v>
      </c>
      <c r="I536" s="1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22.5" customHeight="1">
      <c r="A537" s="9">
        <v>535.0</v>
      </c>
      <c r="B537" s="42">
        <v>56.0</v>
      </c>
      <c r="C537" s="13" t="s">
        <v>8018</v>
      </c>
      <c r="D537" s="13" t="s">
        <v>8019</v>
      </c>
      <c r="E537" s="13" t="s">
        <v>8020</v>
      </c>
      <c r="F537" s="13" t="s">
        <v>8021</v>
      </c>
      <c r="G537" s="13" t="s">
        <v>8022</v>
      </c>
      <c r="H537" s="15"/>
      <c r="I537" s="1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22.5" customHeight="1">
      <c r="A538" s="9">
        <v>536.0</v>
      </c>
      <c r="B538" s="42">
        <v>56.0</v>
      </c>
      <c r="C538" s="13" t="s">
        <v>8023</v>
      </c>
      <c r="D538" s="13" t="s">
        <v>8024</v>
      </c>
      <c r="E538" s="13" t="s">
        <v>8025</v>
      </c>
      <c r="F538" s="13" t="s">
        <v>8026</v>
      </c>
      <c r="G538" s="13" t="s">
        <v>8027</v>
      </c>
      <c r="H538" s="14" t="s">
        <v>18</v>
      </c>
      <c r="I538" s="1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22.5" customHeight="1">
      <c r="A539" s="9">
        <v>537.0</v>
      </c>
      <c r="B539" s="42">
        <v>56.0</v>
      </c>
      <c r="C539" s="13" t="s">
        <v>8028</v>
      </c>
      <c r="D539" s="13" t="s">
        <v>8029</v>
      </c>
      <c r="E539" s="13" t="s">
        <v>8030</v>
      </c>
      <c r="F539" s="13" t="s">
        <v>6596</v>
      </c>
      <c r="G539" s="13" t="s">
        <v>8031</v>
      </c>
      <c r="H539" s="14" t="s">
        <v>18</v>
      </c>
      <c r="I539" s="1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22.5" customHeight="1">
      <c r="A540" s="9">
        <v>538.0</v>
      </c>
      <c r="B540" s="42">
        <v>56.0</v>
      </c>
      <c r="C540" s="13" t="s">
        <v>8032</v>
      </c>
      <c r="D540" s="13" t="s">
        <v>8033</v>
      </c>
      <c r="E540" s="13" t="s">
        <v>8034</v>
      </c>
      <c r="F540" s="13" t="s">
        <v>8035</v>
      </c>
      <c r="G540" s="13" t="s">
        <v>8036</v>
      </c>
      <c r="H540" s="14" t="s">
        <v>18</v>
      </c>
      <c r="I540" s="1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22.5" customHeight="1">
      <c r="A541" s="9">
        <v>539.0</v>
      </c>
      <c r="B541" s="42">
        <v>56.0</v>
      </c>
      <c r="C541" s="13" t="s">
        <v>7838</v>
      </c>
      <c r="D541" s="13" t="s">
        <v>8037</v>
      </c>
      <c r="E541" s="13" t="s">
        <v>8038</v>
      </c>
      <c r="F541" s="13" t="s">
        <v>6940</v>
      </c>
      <c r="G541" s="13" t="s">
        <v>8039</v>
      </c>
      <c r="H541" s="14" t="s">
        <v>18</v>
      </c>
      <c r="I541" s="1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22.5" customHeight="1">
      <c r="A542" s="9">
        <v>540.0</v>
      </c>
      <c r="B542" s="42">
        <v>56.0</v>
      </c>
      <c r="C542" s="13" t="s">
        <v>8040</v>
      </c>
      <c r="D542" s="13" t="s">
        <v>8041</v>
      </c>
      <c r="E542" s="13" t="s">
        <v>8042</v>
      </c>
      <c r="F542" s="13" t="s">
        <v>8043</v>
      </c>
      <c r="G542" s="13" t="s">
        <v>8044</v>
      </c>
      <c r="H542" s="15"/>
      <c r="I542" s="1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22.5" customHeight="1">
      <c r="A543" s="9">
        <v>541.0</v>
      </c>
      <c r="B543" s="42">
        <v>55.0</v>
      </c>
      <c r="C543" s="13" t="s">
        <v>8045</v>
      </c>
      <c r="D543" s="13" t="s">
        <v>8046</v>
      </c>
      <c r="E543" s="13" t="s">
        <v>8047</v>
      </c>
      <c r="F543" s="13" t="s">
        <v>6588</v>
      </c>
      <c r="G543" s="13" t="s">
        <v>8048</v>
      </c>
      <c r="H543" s="15"/>
      <c r="I543" s="1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22.5" customHeight="1">
      <c r="A544" s="9">
        <v>542.0</v>
      </c>
      <c r="B544" s="42">
        <v>55.0</v>
      </c>
      <c r="C544" s="13" t="s">
        <v>8049</v>
      </c>
      <c r="D544" s="13" t="s">
        <v>8050</v>
      </c>
      <c r="E544" s="13" t="s">
        <v>8051</v>
      </c>
      <c r="F544" s="13" t="s">
        <v>7137</v>
      </c>
      <c r="G544" s="13" t="s">
        <v>8052</v>
      </c>
      <c r="H544" s="14" t="s">
        <v>18</v>
      </c>
      <c r="I544" s="1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22.5" customHeight="1">
      <c r="A545" s="9">
        <v>543.0</v>
      </c>
      <c r="B545" s="42">
        <v>55.0</v>
      </c>
      <c r="C545" s="13" t="s">
        <v>8053</v>
      </c>
      <c r="D545" s="13" t="s">
        <v>8054</v>
      </c>
      <c r="E545" s="13" t="s">
        <v>6817</v>
      </c>
      <c r="F545" s="13" t="s">
        <v>6544</v>
      </c>
      <c r="G545" s="13" t="s">
        <v>8055</v>
      </c>
      <c r="H545" s="15"/>
      <c r="I545" s="1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22.5" customHeight="1">
      <c r="A546" s="9">
        <v>544.0</v>
      </c>
      <c r="B546" s="42">
        <v>55.0</v>
      </c>
      <c r="C546" s="13" t="s">
        <v>8056</v>
      </c>
      <c r="D546" s="13" t="s">
        <v>4685</v>
      </c>
      <c r="E546" s="13" t="s">
        <v>8057</v>
      </c>
      <c r="F546" s="13" t="s">
        <v>8058</v>
      </c>
      <c r="G546" s="13" t="s">
        <v>8059</v>
      </c>
      <c r="H546" s="14" t="s">
        <v>18</v>
      </c>
      <c r="I546" s="1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22.5" customHeight="1">
      <c r="A547" s="9">
        <v>545.0</v>
      </c>
      <c r="B547" s="42">
        <v>55.0</v>
      </c>
      <c r="C547" s="13" t="s">
        <v>8060</v>
      </c>
      <c r="D547" s="13" t="s">
        <v>8061</v>
      </c>
      <c r="E547" s="13" t="s">
        <v>8062</v>
      </c>
      <c r="F547" s="13" t="s">
        <v>6482</v>
      </c>
      <c r="G547" s="13" t="s">
        <v>8063</v>
      </c>
      <c r="H547" s="15"/>
      <c r="I547" s="1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22.5" customHeight="1">
      <c r="A548" s="9">
        <v>546.0</v>
      </c>
      <c r="B548" s="42">
        <v>55.0</v>
      </c>
      <c r="C548" s="13" t="s">
        <v>8064</v>
      </c>
      <c r="D548" s="13" t="s">
        <v>8065</v>
      </c>
      <c r="E548" s="13" t="s">
        <v>8066</v>
      </c>
      <c r="F548" s="13" t="s">
        <v>6739</v>
      </c>
      <c r="G548" s="13" t="s">
        <v>8067</v>
      </c>
      <c r="H548" s="14" t="s">
        <v>18</v>
      </c>
      <c r="I548" s="1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22.5" customHeight="1">
      <c r="A549" s="9">
        <v>547.0</v>
      </c>
      <c r="B549" s="42">
        <v>55.0</v>
      </c>
      <c r="C549" s="13" t="s">
        <v>8068</v>
      </c>
      <c r="D549" s="13" t="s">
        <v>8069</v>
      </c>
      <c r="E549" s="13" t="s">
        <v>8070</v>
      </c>
      <c r="F549" s="13" t="s">
        <v>8071</v>
      </c>
      <c r="G549" s="13" t="s">
        <v>8072</v>
      </c>
      <c r="H549" s="14" t="s">
        <v>18</v>
      </c>
      <c r="I549" s="1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22.5" customHeight="1">
      <c r="A550" s="9">
        <v>548.0</v>
      </c>
      <c r="B550" s="42">
        <v>55.0</v>
      </c>
      <c r="C550" s="13" t="s">
        <v>8073</v>
      </c>
      <c r="D550" s="13" t="s">
        <v>8074</v>
      </c>
      <c r="E550" s="13" t="s">
        <v>8075</v>
      </c>
      <c r="F550" s="13" t="s">
        <v>6497</v>
      </c>
      <c r="G550" s="13" t="s">
        <v>8076</v>
      </c>
      <c r="H550" s="15"/>
      <c r="I550" s="1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22.5" customHeight="1">
      <c r="A551" s="9">
        <v>549.0</v>
      </c>
      <c r="B551" s="42">
        <v>55.0</v>
      </c>
      <c r="C551" s="13" t="s">
        <v>8077</v>
      </c>
      <c r="D551" s="13" t="s">
        <v>8078</v>
      </c>
      <c r="E551" s="13" t="s">
        <v>8079</v>
      </c>
      <c r="F551" s="13" t="s">
        <v>8080</v>
      </c>
      <c r="G551" s="13" t="s">
        <v>8081</v>
      </c>
      <c r="H551" s="14" t="s">
        <v>18</v>
      </c>
      <c r="I551" s="1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22.5" customHeight="1">
      <c r="A552" s="9">
        <v>550.0</v>
      </c>
      <c r="B552" s="42">
        <v>55.0</v>
      </c>
      <c r="C552" s="13" t="s">
        <v>8082</v>
      </c>
      <c r="D552" s="13" t="s">
        <v>8083</v>
      </c>
      <c r="E552" s="13" t="s">
        <v>8084</v>
      </c>
      <c r="F552" s="13" t="s">
        <v>7227</v>
      </c>
      <c r="G552" s="13" t="s">
        <v>8085</v>
      </c>
      <c r="H552" s="14" t="s">
        <v>18</v>
      </c>
      <c r="I552" s="14" t="s">
        <v>18</v>
      </c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22.5" customHeight="1">
      <c r="A553" s="9">
        <v>551.0</v>
      </c>
      <c r="B553" s="42">
        <v>54.0</v>
      </c>
      <c r="C553" s="13" t="s">
        <v>6531</v>
      </c>
      <c r="D553" s="13" t="s">
        <v>6532</v>
      </c>
      <c r="E553" s="13" t="s">
        <v>6533</v>
      </c>
      <c r="F553" s="13" t="s">
        <v>6534</v>
      </c>
      <c r="G553" s="13" t="s">
        <v>8086</v>
      </c>
      <c r="H553" s="15"/>
      <c r="I553" s="1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22.5" customHeight="1">
      <c r="A554" s="9">
        <v>552.0</v>
      </c>
      <c r="B554" s="42">
        <v>54.0</v>
      </c>
      <c r="C554" s="13" t="s">
        <v>8087</v>
      </c>
      <c r="D554" s="13" t="s">
        <v>8088</v>
      </c>
      <c r="E554" s="13" t="s">
        <v>8089</v>
      </c>
      <c r="F554" s="13" t="s">
        <v>6654</v>
      </c>
      <c r="G554" s="13" t="s">
        <v>8090</v>
      </c>
      <c r="H554" s="15"/>
      <c r="I554" s="1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22.5" customHeight="1">
      <c r="A555" s="9">
        <v>553.0</v>
      </c>
      <c r="B555" s="42">
        <v>54.0</v>
      </c>
      <c r="C555" s="13" t="s">
        <v>8091</v>
      </c>
      <c r="D555" s="13" t="s">
        <v>6686</v>
      </c>
      <c r="E555" s="13" t="s">
        <v>6687</v>
      </c>
      <c r="F555" s="13" t="s">
        <v>6688</v>
      </c>
      <c r="G555" s="13" t="s">
        <v>6689</v>
      </c>
      <c r="H555" s="15"/>
      <c r="I555" s="1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22.5" customHeight="1">
      <c r="A556" s="9">
        <v>554.0</v>
      </c>
      <c r="B556" s="42">
        <v>54.0</v>
      </c>
      <c r="C556" s="13" t="s">
        <v>8092</v>
      </c>
      <c r="D556" s="13" t="s">
        <v>2645</v>
      </c>
      <c r="E556" s="13" t="s">
        <v>2646</v>
      </c>
      <c r="F556" s="13" t="s">
        <v>8093</v>
      </c>
      <c r="G556" s="13" t="s">
        <v>8094</v>
      </c>
      <c r="H556" s="14" t="s">
        <v>18</v>
      </c>
      <c r="I556" s="1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22.5" customHeight="1">
      <c r="A557" s="9">
        <v>555.0</v>
      </c>
      <c r="B557" s="42">
        <v>54.0</v>
      </c>
      <c r="C557" s="13" t="s">
        <v>7241</v>
      </c>
      <c r="D557" s="13" t="s">
        <v>697</v>
      </c>
      <c r="E557" s="13" t="s">
        <v>698</v>
      </c>
      <c r="F557" s="13" t="s">
        <v>6559</v>
      </c>
      <c r="G557" s="13" t="s">
        <v>8095</v>
      </c>
      <c r="H557" s="15"/>
      <c r="I557" s="1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22.5" customHeight="1">
      <c r="A558" s="9">
        <v>556.0</v>
      </c>
      <c r="B558" s="42">
        <v>54.0</v>
      </c>
      <c r="C558" s="13" t="s">
        <v>7892</v>
      </c>
      <c r="D558" s="13" t="s">
        <v>7715</v>
      </c>
      <c r="E558" s="13" t="s">
        <v>7716</v>
      </c>
      <c r="F558" s="13" t="s">
        <v>3907</v>
      </c>
      <c r="G558" s="13" t="s">
        <v>8096</v>
      </c>
      <c r="H558" s="15"/>
      <c r="I558" s="1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22.5" customHeight="1">
      <c r="A559" s="9">
        <v>557.0</v>
      </c>
      <c r="B559" s="42">
        <v>54.0</v>
      </c>
      <c r="C559" s="13" t="s">
        <v>8097</v>
      </c>
      <c r="D559" s="13" t="s">
        <v>8098</v>
      </c>
      <c r="E559" s="13" t="s">
        <v>8099</v>
      </c>
      <c r="F559" s="13" t="s">
        <v>7099</v>
      </c>
      <c r="G559" s="13" t="s">
        <v>8100</v>
      </c>
      <c r="H559" s="15"/>
      <c r="I559" s="1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22.5" customHeight="1">
      <c r="A560" s="9">
        <v>558.0</v>
      </c>
      <c r="B560" s="42">
        <v>54.0</v>
      </c>
      <c r="C560" s="13" t="s">
        <v>8101</v>
      </c>
      <c r="D560" s="13" t="s">
        <v>6625</v>
      </c>
      <c r="E560" s="13" t="s">
        <v>6626</v>
      </c>
      <c r="F560" s="13" t="s">
        <v>8102</v>
      </c>
      <c r="G560" s="13" t="s">
        <v>8103</v>
      </c>
      <c r="H560" s="14" t="s">
        <v>18</v>
      </c>
      <c r="I560" s="1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22.5" customHeight="1">
      <c r="A561" s="9">
        <v>559.0</v>
      </c>
      <c r="B561" s="42">
        <v>54.0</v>
      </c>
      <c r="C561" s="13" t="s">
        <v>7684</v>
      </c>
      <c r="D561" s="13" t="s">
        <v>283</v>
      </c>
      <c r="E561" s="13" t="s">
        <v>284</v>
      </c>
      <c r="F561" s="13" t="s">
        <v>6672</v>
      </c>
      <c r="G561" s="13" t="s">
        <v>8104</v>
      </c>
      <c r="H561" s="15"/>
      <c r="I561" s="1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22.5" customHeight="1">
      <c r="A562" s="9">
        <v>560.0</v>
      </c>
      <c r="B562" s="42">
        <v>54.0</v>
      </c>
      <c r="C562" s="13" t="s">
        <v>8105</v>
      </c>
      <c r="D562" s="13" t="s">
        <v>8106</v>
      </c>
      <c r="E562" s="13" t="s">
        <v>8107</v>
      </c>
      <c r="F562" s="13" t="s">
        <v>6610</v>
      </c>
      <c r="G562" s="13" t="s">
        <v>8108</v>
      </c>
      <c r="H562" s="14" t="s">
        <v>18</v>
      </c>
      <c r="I562" s="1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22.5" customHeight="1">
      <c r="A563" s="9">
        <v>561.0</v>
      </c>
      <c r="B563" s="42">
        <v>53.0</v>
      </c>
      <c r="C563" s="13" t="s">
        <v>8109</v>
      </c>
      <c r="D563" s="13" t="s">
        <v>8110</v>
      </c>
      <c r="E563" s="13" t="s">
        <v>8111</v>
      </c>
      <c r="F563" s="13" t="s">
        <v>7381</v>
      </c>
      <c r="G563" s="13" t="s">
        <v>8112</v>
      </c>
      <c r="H563" s="14" t="s">
        <v>18</v>
      </c>
      <c r="I563" s="1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22.5" customHeight="1">
      <c r="A564" s="9">
        <v>562.0</v>
      </c>
      <c r="B564" s="42">
        <v>53.0</v>
      </c>
      <c r="C564" s="13" t="s">
        <v>8113</v>
      </c>
      <c r="D564" s="13" t="s">
        <v>8114</v>
      </c>
      <c r="E564" s="13" t="s">
        <v>8115</v>
      </c>
      <c r="F564" s="13" t="s">
        <v>7499</v>
      </c>
      <c r="G564" s="13" t="s">
        <v>8116</v>
      </c>
      <c r="H564" s="15"/>
      <c r="I564" s="1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22.5" customHeight="1">
      <c r="A565" s="9">
        <v>563.0</v>
      </c>
      <c r="B565" s="42">
        <v>53.0</v>
      </c>
      <c r="C565" s="13" t="s">
        <v>8117</v>
      </c>
      <c r="D565" s="13" t="s">
        <v>8118</v>
      </c>
      <c r="E565" s="13" t="s">
        <v>8119</v>
      </c>
      <c r="F565" s="13" t="s">
        <v>7763</v>
      </c>
      <c r="G565" s="13" t="s">
        <v>8120</v>
      </c>
      <c r="H565" s="15"/>
      <c r="I565" s="1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22.5" customHeight="1">
      <c r="A566" s="9">
        <v>564.0</v>
      </c>
      <c r="B566" s="42">
        <v>53.0</v>
      </c>
      <c r="C566" s="13" t="s">
        <v>8121</v>
      </c>
      <c r="D566" s="13" t="s">
        <v>155</v>
      </c>
      <c r="E566" s="13" t="s">
        <v>156</v>
      </c>
      <c r="F566" s="13" t="s">
        <v>6596</v>
      </c>
      <c r="G566" s="13" t="s">
        <v>8122</v>
      </c>
      <c r="H566" s="14" t="s">
        <v>18</v>
      </c>
      <c r="I566" s="14" t="s">
        <v>18</v>
      </c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22.5" customHeight="1">
      <c r="A567" s="9">
        <v>565.0</v>
      </c>
      <c r="B567" s="42">
        <v>53.0</v>
      </c>
      <c r="C567" s="13" t="s">
        <v>8123</v>
      </c>
      <c r="D567" s="13" t="s">
        <v>6897</v>
      </c>
      <c r="E567" s="13" t="s">
        <v>6898</v>
      </c>
      <c r="F567" s="13" t="s">
        <v>6899</v>
      </c>
      <c r="G567" s="13" t="s">
        <v>8124</v>
      </c>
      <c r="H567" s="15"/>
      <c r="I567" s="1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22.5" customHeight="1">
      <c r="A568" s="9">
        <v>566.0</v>
      </c>
      <c r="B568" s="42">
        <v>53.0</v>
      </c>
      <c r="C568" s="13" t="s">
        <v>8125</v>
      </c>
      <c r="D568" s="13" t="s">
        <v>7152</v>
      </c>
      <c r="E568" s="13" t="s">
        <v>8126</v>
      </c>
      <c r="F568" s="13" t="s">
        <v>6679</v>
      </c>
      <c r="G568" s="13" t="s">
        <v>8127</v>
      </c>
      <c r="H568" s="14" t="s">
        <v>18</v>
      </c>
      <c r="I568" s="1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22.5" customHeight="1">
      <c r="A569" s="9">
        <v>567.0</v>
      </c>
      <c r="B569" s="42">
        <v>53.0</v>
      </c>
      <c r="C569" s="13" t="s">
        <v>8128</v>
      </c>
      <c r="D569" s="13" t="s">
        <v>6634</v>
      </c>
      <c r="E569" s="13" t="s">
        <v>6635</v>
      </c>
      <c r="F569" s="13" t="s">
        <v>6636</v>
      </c>
      <c r="G569" s="13" t="s">
        <v>8129</v>
      </c>
      <c r="H569" s="15"/>
      <c r="I569" s="1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22.5" customHeight="1">
      <c r="A570" s="9">
        <v>568.0</v>
      </c>
      <c r="B570" s="42">
        <v>53.0</v>
      </c>
      <c r="C570" s="13" t="s">
        <v>8130</v>
      </c>
      <c r="D570" s="13" t="s">
        <v>8131</v>
      </c>
      <c r="E570" s="13" t="s">
        <v>8132</v>
      </c>
      <c r="F570" s="13" t="s">
        <v>7174</v>
      </c>
      <c r="G570" s="13" t="s">
        <v>8133</v>
      </c>
      <c r="H570" s="14" t="s">
        <v>18</v>
      </c>
      <c r="I570" s="1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22.5" customHeight="1">
      <c r="A571" s="9">
        <v>569.0</v>
      </c>
      <c r="B571" s="42">
        <v>53.0</v>
      </c>
      <c r="C571" s="13" t="s">
        <v>8134</v>
      </c>
      <c r="D571" s="13" t="s">
        <v>8135</v>
      </c>
      <c r="E571" s="13" t="s">
        <v>8136</v>
      </c>
      <c r="F571" s="13" t="s">
        <v>6607</v>
      </c>
      <c r="G571" s="13" t="s">
        <v>8137</v>
      </c>
      <c r="H571" s="14" t="s">
        <v>18</v>
      </c>
      <c r="I571" s="1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22.5" customHeight="1">
      <c r="A572" s="9">
        <v>570.0</v>
      </c>
      <c r="B572" s="42">
        <v>53.0</v>
      </c>
      <c r="C572" s="13" t="s">
        <v>7925</v>
      </c>
      <c r="D572" s="13" t="s">
        <v>8138</v>
      </c>
      <c r="E572" s="13" t="s">
        <v>7927</v>
      </c>
      <c r="F572" s="13" t="s">
        <v>6585</v>
      </c>
      <c r="G572" s="13" t="s">
        <v>8139</v>
      </c>
      <c r="H572" s="15"/>
      <c r="I572" s="1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22.5" customHeight="1">
      <c r="A573" s="9">
        <v>571.0</v>
      </c>
      <c r="B573" s="42">
        <v>52.0</v>
      </c>
      <c r="C573" s="13" t="s">
        <v>8140</v>
      </c>
      <c r="D573" s="13" t="s">
        <v>8141</v>
      </c>
      <c r="E573" s="13" t="s">
        <v>8142</v>
      </c>
      <c r="F573" s="13" t="s">
        <v>8143</v>
      </c>
      <c r="G573" s="13" t="s">
        <v>8144</v>
      </c>
      <c r="H573" s="14" t="s">
        <v>18</v>
      </c>
      <c r="I573" s="1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22.5" customHeight="1">
      <c r="A574" s="9">
        <v>572.0</v>
      </c>
      <c r="B574" s="42">
        <v>52.0</v>
      </c>
      <c r="C574" s="13" t="s">
        <v>8145</v>
      </c>
      <c r="D574" s="13" t="s">
        <v>8146</v>
      </c>
      <c r="E574" s="13" t="s">
        <v>8147</v>
      </c>
      <c r="F574" s="21" t="s">
        <v>6890</v>
      </c>
      <c r="G574" s="13" t="s">
        <v>8148</v>
      </c>
      <c r="H574" s="14" t="s">
        <v>18</v>
      </c>
      <c r="I574" s="1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22.5" customHeight="1">
      <c r="A575" s="9">
        <v>573.0</v>
      </c>
      <c r="B575" s="42">
        <v>52.0</v>
      </c>
      <c r="C575" s="13" t="s">
        <v>6999</v>
      </c>
      <c r="D575" s="13" t="s">
        <v>6621</v>
      </c>
      <c r="E575" s="13" t="s">
        <v>6622</v>
      </c>
      <c r="F575" s="13" t="s">
        <v>6512</v>
      </c>
      <c r="G575" s="13" t="s">
        <v>8149</v>
      </c>
      <c r="H575" s="14" t="s">
        <v>18</v>
      </c>
      <c r="I575" s="14" t="s">
        <v>18</v>
      </c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22.5" customHeight="1">
      <c r="A576" s="9">
        <v>574.0</v>
      </c>
      <c r="B576" s="42">
        <v>52.0</v>
      </c>
      <c r="C576" s="13" t="s">
        <v>8150</v>
      </c>
      <c r="D576" s="13" t="s">
        <v>1262</v>
      </c>
      <c r="E576" s="13" t="s">
        <v>1263</v>
      </c>
      <c r="F576" s="13" t="s">
        <v>8151</v>
      </c>
      <c r="G576" s="13" t="s">
        <v>8152</v>
      </c>
      <c r="H576" s="14" t="s">
        <v>18</v>
      </c>
      <c r="I576" s="1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22.5" customHeight="1">
      <c r="A577" s="9">
        <v>575.0</v>
      </c>
      <c r="B577" s="42">
        <v>52.0</v>
      </c>
      <c r="C577" s="13" t="s">
        <v>7432</v>
      </c>
      <c r="D577" s="13" t="s">
        <v>6629</v>
      </c>
      <c r="E577" s="13" t="s">
        <v>7433</v>
      </c>
      <c r="F577" s="13" t="s">
        <v>6631</v>
      </c>
      <c r="G577" s="13" t="s">
        <v>8153</v>
      </c>
      <c r="H577" s="15"/>
      <c r="I577" s="1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22.5" customHeight="1">
      <c r="A578" s="9">
        <v>576.0</v>
      </c>
      <c r="B578" s="42">
        <v>52.0</v>
      </c>
      <c r="C578" s="13" t="s">
        <v>8154</v>
      </c>
      <c r="D578" s="13" t="s">
        <v>8155</v>
      </c>
      <c r="E578" s="13" t="s">
        <v>8156</v>
      </c>
      <c r="F578" s="13" t="s">
        <v>7084</v>
      </c>
      <c r="G578" s="13" t="s">
        <v>8157</v>
      </c>
      <c r="H578" s="15"/>
      <c r="I578" s="1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22.5" customHeight="1">
      <c r="A579" s="9">
        <v>577.0</v>
      </c>
      <c r="B579" s="42">
        <v>52.0</v>
      </c>
      <c r="C579" s="13" t="s">
        <v>8158</v>
      </c>
      <c r="D579" s="13" t="s">
        <v>8159</v>
      </c>
      <c r="E579" s="13" t="s">
        <v>8160</v>
      </c>
      <c r="F579" s="13" t="s">
        <v>8161</v>
      </c>
      <c r="G579" s="13" t="s">
        <v>8162</v>
      </c>
      <c r="H579" s="15"/>
      <c r="I579" s="1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22.5" customHeight="1">
      <c r="A580" s="9">
        <v>578.0</v>
      </c>
      <c r="B580" s="42">
        <v>52.0</v>
      </c>
      <c r="C580" s="13" t="s">
        <v>8163</v>
      </c>
      <c r="D580" s="13" t="s">
        <v>8164</v>
      </c>
      <c r="E580" s="13" t="s">
        <v>8165</v>
      </c>
      <c r="F580" s="13" t="s">
        <v>6610</v>
      </c>
      <c r="G580" s="13" t="s">
        <v>8166</v>
      </c>
      <c r="H580" s="15"/>
      <c r="I580" s="1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22.5" customHeight="1">
      <c r="A581" s="9">
        <v>579.0</v>
      </c>
      <c r="B581" s="42">
        <v>52.0</v>
      </c>
      <c r="C581" s="13" t="s">
        <v>8167</v>
      </c>
      <c r="D581" s="13" t="s">
        <v>8168</v>
      </c>
      <c r="E581" s="13" t="s">
        <v>8169</v>
      </c>
      <c r="F581" s="13" t="s">
        <v>8170</v>
      </c>
      <c r="G581" s="13" t="s">
        <v>8171</v>
      </c>
      <c r="H581" s="14" t="s">
        <v>18</v>
      </c>
      <c r="I581" s="1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22.5" customHeight="1">
      <c r="A582" s="9">
        <v>580.0</v>
      </c>
      <c r="B582" s="42">
        <v>52.0</v>
      </c>
      <c r="C582" s="13" t="s">
        <v>8172</v>
      </c>
      <c r="D582" s="13" t="s">
        <v>8173</v>
      </c>
      <c r="E582" s="13" t="s">
        <v>8174</v>
      </c>
      <c r="F582" s="13" t="s">
        <v>8175</v>
      </c>
      <c r="G582" s="13" t="s">
        <v>8176</v>
      </c>
      <c r="H582" s="14" t="s">
        <v>18</v>
      </c>
      <c r="I582" s="1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22.5" customHeight="1">
      <c r="A583" s="9">
        <v>581.0</v>
      </c>
      <c r="B583" s="42">
        <v>51.0</v>
      </c>
      <c r="C583" s="13" t="s">
        <v>8177</v>
      </c>
      <c r="D583" s="13" t="s">
        <v>8178</v>
      </c>
      <c r="E583" s="13" t="s">
        <v>8179</v>
      </c>
      <c r="F583" s="13" t="s">
        <v>6554</v>
      </c>
      <c r="G583" s="13" t="s">
        <v>8180</v>
      </c>
      <c r="H583" s="15"/>
      <c r="I583" s="1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22.5" customHeight="1">
      <c r="A584" s="9">
        <v>582.0</v>
      </c>
      <c r="B584" s="42">
        <v>51.0</v>
      </c>
      <c r="C584" s="13" t="s">
        <v>8181</v>
      </c>
      <c r="D584" s="13" t="s">
        <v>8182</v>
      </c>
      <c r="E584" s="13" t="s">
        <v>8183</v>
      </c>
      <c r="F584" s="13" t="s">
        <v>7504</v>
      </c>
      <c r="G584" s="13" t="s">
        <v>8184</v>
      </c>
      <c r="H584" s="15"/>
      <c r="I584" s="1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22.5" customHeight="1">
      <c r="A585" s="9">
        <v>583.0</v>
      </c>
      <c r="B585" s="42">
        <v>51.0</v>
      </c>
      <c r="C585" s="13" t="s">
        <v>8185</v>
      </c>
      <c r="D585" s="13" t="s">
        <v>8186</v>
      </c>
      <c r="E585" s="13" t="s">
        <v>8187</v>
      </c>
      <c r="F585" s="13" t="s">
        <v>7340</v>
      </c>
      <c r="G585" s="13" t="s">
        <v>8188</v>
      </c>
      <c r="H585" s="15"/>
      <c r="I585" s="1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22.5" customHeight="1">
      <c r="A586" s="9">
        <v>584.0</v>
      </c>
      <c r="B586" s="42">
        <v>51.0</v>
      </c>
      <c r="C586" s="13" t="s">
        <v>8189</v>
      </c>
      <c r="D586" s="13" t="s">
        <v>8190</v>
      </c>
      <c r="E586" s="13" t="s">
        <v>8191</v>
      </c>
      <c r="F586" s="13" t="s">
        <v>6636</v>
      </c>
      <c r="G586" s="13" t="s">
        <v>8192</v>
      </c>
      <c r="H586" s="15"/>
      <c r="I586" s="1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22.5" customHeight="1">
      <c r="A587" s="9">
        <v>585.0</v>
      </c>
      <c r="B587" s="42">
        <v>51.0</v>
      </c>
      <c r="C587" s="13" t="s">
        <v>8193</v>
      </c>
      <c r="D587" s="13" t="s">
        <v>8194</v>
      </c>
      <c r="E587" s="13" t="s">
        <v>8195</v>
      </c>
      <c r="F587" s="13" t="s">
        <v>7183</v>
      </c>
      <c r="G587" s="13" t="s">
        <v>8196</v>
      </c>
      <c r="H587" s="15"/>
      <c r="I587" s="1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22.5" customHeight="1">
      <c r="A588" s="9">
        <v>586.0</v>
      </c>
      <c r="B588" s="42">
        <v>51.0</v>
      </c>
      <c r="C588" s="13" t="s">
        <v>8197</v>
      </c>
      <c r="D588" s="13" t="s">
        <v>8198</v>
      </c>
      <c r="E588" s="13" t="s">
        <v>8199</v>
      </c>
      <c r="F588" s="13" t="s">
        <v>6925</v>
      </c>
      <c r="G588" s="13" t="s">
        <v>6926</v>
      </c>
      <c r="H588" s="14" t="s">
        <v>18</v>
      </c>
      <c r="I588" s="1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22.5" customHeight="1">
      <c r="A589" s="9">
        <v>587.0</v>
      </c>
      <c r="B589" s="42">
        <v>51.0</v>
      </c>
      <c r="C589" s="13" t="s">
        <v>8200</v>
      </c>
      <c r="D589" s="13" t="s">
        <v>8201</v>
      </c>
      <c r="E589" s="13" t="s">
        <v>8202</v>
      </c>
      <c r="F589" s="13" t="s">
        <v>6593</v>
      </c>
      <c r="G589" s="13" t="s">
        <v>8203</v>
      </c>
      <c r="H589" s="15"/>
      <c r="I589" s="1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22.5" customHeight="1">
      <c r="A590" s="9">
        <v>588.0</v>
      </c>
      <c r="B590" s="42">
        <v>51.0</v>
      </c>
      <c r="C590" s="13" t="s">
        <v>8204</v>
      </c>
      <c r="D590" s="13" t="s">
        <v>8205</v>
      </c>
      <c r="E590" s="13" t="s">
        <v>8206</v>
      </c>
      <c r="F590" s="13" t="s">
        <v>7019</v>
      </c>
      <c r="G590" s="13" t="s">
        <v>8207</v>
      </c>
      <c r="H590" s="15"/>
      <c r="I590" s="1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22.5" customHeight="1">
      <c r="A591" s="9">
        <v>589.0</v>
      </c>
      <c r="B591" s="42">
        <v>51.0</v>
      </c>
      <c r="C591" s="13" t="s">
        <v>8208</v>
      </c>
      <c r="D591" s="13" t="s">
        <v>8209</v>
      </c>
      <c r="E591" s="13" t="s">
        <v>8210</v>
      </c>
      <c r="F591" s="13" t="s">
        <v>8211</v>
      </c>
      <c r="G591" s="13" t="s">
        <v>8212</v>
      </c>
      <c r="H591" s="14" t="s">
        <v>18</v>
      </c>
      <c r="I591" s="1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22.5" customHeight="1">
      <c r="A592" s="9">
        <v>590.0</v>
      </c>
      <c r="B592" s="42">
        <v>51.0</v>
      </c>
      <c r="C592" s="13" t="s">
        <v>8213</v>
      </c>
      <c r="D592" s="13" t="s">
        <v>8214</v>
      </c>
      <c r="E592" s="13" t="s">
        <v>8215</v>
      </c>
      <c r="F592" s="13" t="s">
        <v>6676</v>
      </c>
      <c r="G592" s="13" t="s">
        <v>6677</v>
      </c>
      <c r="H592" s="15"/>
      <c r="I592" s="1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22.5" customHeight="1">
      <c r="A593" s="9">
        <v>591.0</v>
      </c>
      <c r="B593" s="42">
        <v>50.0</v>
      </c>
      <c r="C593" s="13" t="s">
        <v>6526</v>
      </c>
      <c r="D593" s="13" t="s">
        <v>6527</v>
      </c>
      <c r="E593" s="13" t="s">
        <v>6528</v>
      </c>
      <c r="F593" s="13" t="s">
        <v>6529</v>
      </c>
      <c r="G593" s="13" t="s">
        <v>7700</v>
      </c>
      <c r="H593" s="15"/>
      <c r="I593" s="1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22.5" customHeight="1">
      <c r="A594" s="9">
        <v>592.0</v>
      </c>
      <c r="B594" s="42">
        <v>50.0</v>
      </c>
      <c r="C594" s="13" t="s">
        <v>8216</v>
      </c>
      <c r="D594" s="13" t="s">
        <v>8217</v>
      </c>
      <c r="E594" s="13" t="s">
        <v>8218</v>
      </c>
      <c r="F594" s="13" t="s">
        <v>7099</v>
      </c>
      <c r="G594" s="13" t="s">
        <v>8219</v>
      </c>
      <c r="H594" s="15"/>
      <c r="I594" s="1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22.5" customHeight="1">
      <c r="A595" s="9">
        <v>593.0</v>
      </c>
      <c r="B595" s="42">
        <v>50.0</v>
      </c>
      <c r="C595" s="13" t="s">
        <v>7086</v>
      </c>
      <c r="D595" s="13" t="s">
        <v>283</v>
      </c>
      <c r="E595" s="13" t="s">
        <v>284</v>
      </c>
      <c r="F595" s="13" t="s">
        <v>6830</v>
      </c>
      <c r="G595" s="13" t="s">
        <v>8220</v>
      </c>
      <c r="H595" s="15"/>
      <c r="I595" s="1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22.5" customHeight="1">
      <c r="A596" s="9">
        <v>594.0</v>
      </c>
      <c r="B596" s="42">
        <v>50.0</v>
      </c>
      <c r="C596" s="13" t="s">
        <v>7015</v>
      </c>
      <c r="D596" s="13" t="s">
        <v>6625</v>
      </c>
      <c r="E596" s="13" t="s">
        <v>6626</v>
      </c>
      <c r="F596" s="13" t="s">
        <v>6516</v>
      </c>
      <c r="G596" s="13" t="s">
        <v>7697</v>
      </c>
      <c r="H596" s="15"/>
      <c r="I596" s="1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22.5" customHeight="1">
      <c r="A597" s="9">
        <v>595.0</v>
      </c>
      <c r="B597" s="42">
        <v>50.0</v>
      </c>
      <c r="C597" s="13" t="s">
        <v>8221</v>
      </c>
      <c r="D597" s="13" t="s">
        <v>8222</v>
      </c>
      <c r="E597" s="13" t="s">
        <v>8223</v>
      </c>
      <c r="F597" s="13" t="s">
        <v>6969</v>
      </c>
      <c r="G597" s="13" t="s">
        <v>8224</v>
      </c>
      <c r="H597" s="14" t="s">
        <v>18</v>
      </c>
      <c r="I597" s="1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22.5" customHeight="1">
      <c r="A598" s="9">
        <v>596.0</v>
      </c>
      <c r="B598" s="42">
        <v>50.0</v>
      </c>
      <c r="C598" s="13" t="s">
        <v>8225</v>
      </c>
      <c r="D598" s="13" t="s">
        <v>8226</v>
      </c>
      <c r="E598" s="13" t="s">
        <v>8227</v>
      </c>
      <c r="F598" s="13" t="s">
        <v>7603</v>
      </c>
      <c r="G598" s="13" t="s">
        <v>8228</v>
      </c>
      <c r="H598" s="15"/>
      <c r="I598" s="1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22.5" customHeight="1">
      <c r="A599" s="9">
        <v>597.0</v>
      </c>
      <c r="B599" s="42">
        <v>50.0</v>
      </c>
      <c r="C599" s="13" t="s">
        <v>8229</v>
      </c>
      <c r="D599" s="13" t="s">
        <v>3938</v>
      </c>
      <c r="E599" s="13" t="s">
        <v>3939</v>
      </c>
      <c r="F599" s="21" t="s">
        <v>8230</v>
      </c>
      <c r="G599" s="13" t="s">
        <v>8231</v>
      </c>
      <c r="H599" s="14" t="s">
        <v>18</v>
      </c>
      <c r="I599" s="1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22.5" customHeight="1">
      <c r="A600" s="9">
        <v>598.0</v>
      </c>
      <c r="B600" s="42">
        <v>50.0</v>
      </c>
      <c r="C600" s="13" t="s">
        <v>8232</v>
      </c>
      <c r="D600" s="13" t="s">
        <v>8233</v>
      </c>
      <c r="E600" s="13" t="s">
        <v>8234</v>
      </c>
      <c r="F600" s="13" t="s">
        <v>8235</v>
      </c>
      <c r="G600" s="13" t="s">
        <v>8236</v>
      </c>
      <c r="H600" s="14" t="s">
        <v>18</v>
      </c>
      <c r="I600" s="1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22.5" customHeight="1">
      <c r="A601" s="9">
        <v>599.0</v>
      </c>
      <c r="B601" s="42">
        <v>50.0</v>
      </c>
      <c r="C601" s="13" t="s">
        <v>8237</v>
      </c>
      <c r="D601" s="13" t="s">
        <v>8238</v>
      </c>
      <c r="E601" s="13" t="s">
        <v>8239</v>
      </c>
      <c r="F601" s="13" t="s">
        <v>7528</v>
      </c>
      <c r="G601" s="13" t="s">
        <v>8240</v>
      </c>
      <c r="H601" s="15"/>
      <c r="I601" s="1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22.5" customHeight="1">
      <c r="A602" s="9">
        <v>600.0</v>
      </c>
      <c r="B602" s="42">
        <v>50.0</v>
      </c>
      <c r="C602" s="13" t="s">
        <v>8241</v>
      </c>
      <c r="D602" s="13" t="s">
        <v>8242</v>
      </c>
      <c r="E602" s="13" t="s">
        <v>8243</v>
      </c>
      <c r="F602" s="13" t="s">
        <v>6705</v>
      </c>
      <c r="G602" s="13" t="s">
        <v>6706</v>
      </c>
      <c r="H602" s="14" t="s">
        <v>18</v>
      </c>
      <c r="I602" s="1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22.5" customHeight="1">
      <c r="A603" s="9">
        <v>601.0</v>
      </c>
      <c r="B603" s="42">
        <v>49.0</v>
      </c>
      <c r="C603" s="13" t="s">
        <v>8244</v>
      </c>
      <c r="D603" s="13" t="s">
        <v>8245</v>
      </c>
      <c r="E603" s="13" t="s">
        <v>8246</v>
      </c>
      <c r="F603" s="13" t="s">
        <v>6654</v>
      </c>
      <c r="G603" s="13" t="s">
        <v>8247</v>
      </c>
      <c r="H603" s="15"/>
      <c r="I603" s="1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22.5" customHeight="1">
      <c r="A604" s="9">
        <v>602.0</v>
      </c>
      <c r="B604" s="42">
        <v>49.0</v>
      </c>
      <c r="C604" s="13" t="s">
        <v>8248</v>
      </c>
      <c r="D604" s="13" t="s">
        <v>8249</v>
      </c>
      <c r="E604" s="13" t="s">
        <v>8250</v>
      </c>
      <c r="F604" s="13" t="s">
        <v>6572</v>
      </c>
      <c r="G604" s="13" t="s">
        <v>7732</v>
      </c>
      <c r="H604" s="15"/>
      <c r="I604" s="1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22.5" customHeight="1">
      <c r="A605" s="9">
        <v>603.0</v>
      </c>
      <c r="B605" s="42">
        <v>49.0</v>
      </c>
      <c r="C605" s="13" t="s">
        <v>8251</v>
      </c>
      <c r="D605" s="13" t="s">
        <v>8252</v>
      </c>
      <c r="E605" s="13" t="s">
        <v>8253</v>
      </c>
      <c r="F605" s="13" t="s">
        <v>7535</v>
      </c>
      <c r="G605" s="13" t="s">
        <v>8254</v>
      </c>
      <c r="H605" s="15"/>
      <c r="I605" s="1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22.5" customHeight="1">
      <c r="A606" s="9">
        <v>604.0</v>
      </c>
      <c r="B606" s="42">
        <v>49.0</v>
      </c>
      <c r="C606" s="13" t="s">
        <v>8255</v>
      </c>
      <c r="D606" s="13" t="s">
        <v>8256</v>
      </c>
      <c r="E606" s="13" t="s">
        <v>8257</v>
      </c>
      <c r="F606" s="13" t="s">
        <v>8258</v>
      </c>
      <c r="G606" s="13" t="s">
        <v>8259</v>
      </c>
      <c r="H606" s="14" t="s">
        <v>18</v>
      </c>
      <c r="I606" s="1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22.5" customHeight="1">
      <c r="A607" s="9">
        <v>605.0</v>
      </c>
      <c r="B607" s="42">
        <v>49.0</v>
      </c>
      <c r="C607" s="13" t="s">
        <v>8260</v>
      </c>
      <c r="D607" s="13" t="s">
        <v>8261</v>
      </c>
      <c r="E607" s="13" t="s">
        <v>8262</v>
      </c>
      <c r="F607" s="13" t="s">
        <v>6962</v>
      </c>
      <c r="G607" s="13" t="s">
        <v>8263</v>
      </c>
      <c r="H607" s="15"/>
      <c r="I607" s="1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22.5" customHeight="1">
      <c r="A608" s="9">
        <v>606.0</v>
      </c>
      <c r="B608" s="42">
        <v>49.0</v>
      </c>
      <c r="C608" s="13" t="s">
        <v>8264</v>
      </c>
      <c r="D608" s="13" t="s">
        <v>8265</v>
      </c>
      <c r="E608" s="13" t="s">
        <v>8266</v>
      </c>
      <c r="F608" s="13" t="s">
        <v>8267</v>
      </c>
      <c r="G608" s="13" t="s">
        <v>8268</v>
      </c>
      <c r="H608" s="15"/>
      <c r="I608" s="1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22.5" customHeight="1">
      <c r="A609" s="9">
        <v>607.0</v>
      </c>
      <c r="B609" s="42">
        <v>49.0</v>
      </c>
      <c r="C609" s="13" t="s">
        <v>8269</v>
      </c>
      <c r="D609" s="13" t="s">
        <v>8270</v>
      </c>
      <c r="E609" s="13" t="s">
        <v>8271</v>
      </c>
      <c r="F609" s="13" t="s">
        <v>6649</v>
      </c>
      <c r="G609" s="13" t="s">
        <v>8272</v>
      </c>
      <c r="H609" s="15"/>
      <c r="I609" s="1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22.5" customHeight="1">
      <c r="A610" s="9">
        <v>608.0</v>
      </c>
      <c r="B610" s="42">
        <v>49.0</v>
      </c>
      <c r="C610" s="13" t="s">
        <v>8273</v>
      </c>
      <c r="D610" s="13" t="s">
        <v>8274</v>
      </c>
      <c r="E610" s="13" t="s">
        <v>8275</v>
      </c>
      <c r="F610" s="13" t="s">
        <v>7509</v>
      </c>
      <c r="G610" s="13" t="s">
        <v>8276</v>
      </c>
      <c r="H610" s="14" t="s">
        <v>18</v>
      </c>
      <c r="I610" s="1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22.5" customHeight="1">
      <c r="A611" s="9">
        <v>609.0</v>
      </c>
      <c r="B611" s="42">
        <v>49.0</v>
      </c>
      <c r="C611" s="13" t="s">
        <v>8277</v>
      </c>
      <c r="D611" s="13" t="s">
        <v>8278</v>
      </c>
      <c r="E611" s="13" t="s">
        <v>8279</v>
      </c>
      <c r="F611" s="13" t="s">
        <v>6669</v>
      </c>
      <c r="G611" s="13" t="s">
        <v>7074</v>
      </c>
      <c r="H611" s="15"/>
      <c r="I611" s="1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22.5" customHeight="1">
      <c r="A612" s="9">
        <v>610.0</v>
      </c>
      <c r="B612" s="42">
        <v>49.0</v>
      </c>
      <c r="C612" s="13" t="s">
        <v>8280</v>
      </c>
      <c r="D612" s="13" t="s">
        <v>8281</v>
      </c>
      <c r="E612" s="13" t="s">
        <v>8282</v>
      </c>
      <c r="F612" s="13" t="s">
        <v>3983</v>
      </c>
      <c r="G612" s="13" t="s">
        <v>8283</v>
      </c>
      <c r="H612" s="15"/>
      <c r="I612" s="1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22.5" customHeight="1">
      <c r="A613" s="9">
        <v>611.0</v>
      </c>
      <c r="B613" s="42">
        <v>48.0</v>
      </c>
      <c r="C613" s="13" t="s">
        <v>6494</v>
      </c>
      <c r="D613" s="13" t="s">
        <v>6495</v>
      </c>
      <c r="E613" s="13" t="s">
        <v>6496</v>
      </c>
      <c r="F613" s="13" t="s">
        <v>6497</v>
      </c>
      <c r="G613" s="13" t="s">
        <v>6498</v>
      </c>
      <c r="H613" s="14" t="s">
        <v>18</v>
      </c>
      <c r="I613" s="1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22.5" customHeight="1">
      <c r="A614" s="9">
        <v>612.0</v>
      </c>
      <c r="B614" s="42">
        <v>48.0</v>
      </c>
      <c r="C614" s="13" t="s">
        <v>8284</v>
      </c>
      <c r="D614" s="13" t="s">
        <v>315</v>
      </c>
      <c r="E614" s="13" t="s">
        <v>316</v>
      </c>
      <c r="F614" s="13" t="s">
        <v>6492</v>
      </c>
      <c r="G614" s="13" t="s">
        <v>8285</v>
      </c>
      <c r="H614" s="14" t="s">
        <v>18</v>
      </c>
      <c r="I614" s="1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22.5" customHeight="1">
      <c r="A615" s="9">
        <v>613.0</v>
      </c>
      <c r="B615" s="42">
        <v>48.0</v>
      </c>
      <c r="C615" s="13" t="s">
        <v>7698</v>
      </c>
      <c r="D615" s="13" t="s">
        <v>6691</v>
      </c>
      <c r="E615" s="13" t="s">
        <v>6692</v>
      </c>
      <c r="F615" s="13" t="s">
        <v>6607</v>
      </c>
      <c r="G615" s="13" t="s">
        <v>7814</v>
      </c>
      <c r="H615" s="15"/>
      <c r="I615" s="1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22.5" customHeight="1">
      <c r="A616" s="9">
        <v>614.0</v>
      </c>
      <c r="B616" s="42">
        <v>48.0</v>
      </c>
      <c r="C616" s="13" t="s">
        <v>8286</v>
      </c>
      <c r="D616" s="13" t="s">
        <v>6713</v>
      </c>
      <c r="E616" s="13" t="s">
        <v>6714</v>
      </c>
      <c r="F616" s="13" t="s">
        <v>6544</v>
      </c>
      <c r="G616" s="13" t="s">
        <v>8287</v>
      </c>
      <c r="H616" s="15"/>
      <c r="I616" s="1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22.5" customHeight="1">
      <c r="A617" s="9">
        <v>615.0</v>
      </c>
      <c r="B617" s="42">
        <v>48.0</v>
      </c>
      <c r="C617" s="13" t="s">
        <v>7116</v>
      </c>
      <c r="D617" s="13" t="s">
        <v>7117</v>
      </c>
      <c r="E617" s="13" t="s">
        <v>7118</v>
      </c>
      <c r="F617" s="13" t="s">
        <v>6582</v>
      </c>
      <c r="G617" s="13" t="s">
        <v>8288</v>
      </c>
      <c r="H617" s="15"/>
      <c r="I617" s="1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22.5" customHeight="1">
      <c r="A618" s="9">
        <v>616.0</v>
      </c>
      <c r="B618" s="42">
        <v>48.0</v>
      </c>
      <c r="C618" s="13" t="s">
        <v>8289</v>
      </c>
      <c r="D618" s="13" t="s">
        <v>829</v>
      </c>
      <c r="E618" s="13" t="s">
        <v>830</v>
      </c>
      <c r="F618" s="13" t="s">
        <v>6688</v>
      </c>
      <c r="G618" s="13" t="s">
        <v>6689</v>
      </c>
      <c r="H618" s="15"/>
      <c r="I618" s="1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22.5" customHeight="1">
      <c r="A619" s="9">
        <v>617.0</v>
      </c>
      <c r="B619" s="42">
        <v>48.0</v>
      </c>
      <c r="C619" s="13" t="s">
        <v>8290</v>
      </c>
      <c r="D619" s="13" t="s">
        <v>8291</v>
      </c>
      <c r="E619" s="13" t="s">
        <v>8292</v>
      </c>
      <c r="F619" s="13" t="s">
        <v>8293</v>
      </c>
      <c r="G619" s="13" t="s">
        <v>8294</v>
      </c>
      <c r="H619" s="15"/>
      <c r="I619" s="1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22.5" customHeight="1">
      <c r="A620" s="9">
        <v>618.0</v>
      </c>
      <c r="B620" s="42">
        <v>48.0</v>
      </c>
      <c r="C620" s="13" t="s">
        <v>8295</v>
      </c>
      <c r="D620" s="13" t="s">
        <v>8296</v>
      </c>
      <c r="E620" s="13" t="s">
        <v>8297</v>
      </c>
      <c r="F620" s="13" t="s">
        <v>8298</v>
      </c>
      <c r="G620" s="13" t="s">
        <v>8299</v>
      </c>
      <c r="H620" s="15"/>
      <c r="I620" s="1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22.5" customHeight="1">
      <c r="A621" s="9">
        <v>619.0</v>
      </c>
      <c r="B621" s="42">
        <v>48.0</v>
      </c>
      <c r="C621" s="13" t="s">
        <v>8300</v>
      </c>
      <c r="D621" s="13" t="s">
        <v>2944</v>
      </c>
      <c r="E621" s="13" t="s">
        <v>8301</v>
      </c>
      <c r="F621" s="13" t="s">
        <v>7078</v>
      </c>
      <c r="G621" s="13" t="s">
        <v>7079</v>
      </c>
      <c r="H621" s="14" t="s">
        <v>18</v>
      </c>
      <c r="I621" s="1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22.5" customHeight="1">
      <c r="A622" s="9">
        <v>620.0</v>
      </c>
      <c r="B622" s="42">
        <v>48.0</v>
      </c>
      <c r="C622" s="13" t="s">
        <v>8302</v>
      </c>
      <c r="D622" s="13" t="s">
        <v>620</v>
      </c>
      <c r="E622" s="13" t="s">
        <v>621</v>
      </c>
      <c r="F622" s="13" t="s">
        <v>8303</v>
      </c>
      <c r="G622" s="13" t="s">
        <v>8304</v>
      </c>
      <c r="H622" s="15"/>
      <c r="I622" s="1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22.5" customHeight="1">
      <c r="A623" s="9">
        <v>621.0</v>
      </c>
      <c r="B623" s="42">
        <v>47.0</v>
      </c>
      <c r="C623" s="13" t="s">
        <v>8305</v>
      </c>
      <c r="D623" s="13" t="s">
        <v>8306</v>
      </c>
      <c r="E623" s="13" t="s">
        <v>8307</v>
      </c>
      <c r="F623" s="13" t="s">
        <v>7504</v>
      </c>
      <c r="G623" s="13" t="s">
        <v>8308</v>
      </c>
      <c r="H623" s="15"/>
      <c r="I623" s="1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22.5" customHeight="1">
      <c r="A624" s="9">
        <v>622.0</v>
      </c>
      <c r="B624" s="42">
        <v>47.0</v>
      </c>
      <c r="C624" s="13" t="s">
        <v>8309</v>
      </c>
      <c r="D624" s="13" t="s">
        <v>8310</v>
      </c>
      <c r="E624" s="13" t="s">
        <v>8311</v>
      </c>
      <c r="F624" s="13" t="s">
        <v>6482</v>
      </c>
      <c r="G624" s="13" t="s">
        <v>8312</v>
      </c>
      <c r="H624" s="15"/>
      <c r="I624" s="1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22.5" customHeight="1">
      <c r="A625" s="9">
        <v>623.0</v>
      </c>
      <c r="B625" s="42">
        <v>47.0</v>
      </c>
      <c r="C625" s="13" t="s">
        <v>8313</v>
      </c>
      <c r="D625" s="13" t="s">
        <v>8314</v>
      </c>
      <c r="E625" s="13" t="s">
        <v>8315</v>
      </c>
      <c r="F625" s="13" t="s">
        <v>6659</v>
      </c>
      <c r="G625" s="13" t="s">
        <v>6660</v>
      </c>
      <c r="H625" s="15"/>
      <c r="I625" s="1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22.5" customHeight="1">
      <c r="A626" s="9">
        <v>624.0</v>
      </c>
      <c r="B626" s="42">
        <v>47.0</v>
      </c>
      <c r="C626" s="13" t="s">
        <v>8316</v>
      </c>
      <c r="D626" s="13" t="s">
        <v>8317</v>
      </c>
      <c r="E626" s="13" t="s">
        <v>8318</v>
      </c>
      <c r="F626" s="13" t="s">
        <v>7747</v>
      </c>
      <c r="G626" s="13" t="s">
        <v>8319</v>
      </c>
      <c r="H626" s="15"/>
      <c r="I626" s="1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22.5" customHeight="1">
      <c r="A627" s="9">
        <v>625.0</v>
      </c>
      <c r="B627" s="42">
        <v>47.0</v>
      </c>
      <c r="C627" s="13" t="s">
        <v>8320</v>
      </c>
      <c r="D627" s="13" t="s">
        <v>8321</v>
      </c>
      <c r="E627" s="13" t="s">
        <v>8322</v>
      </c>
      <c r="F627" s="13" t="s">
        <v>6577</v>
      </c>
      <c r="G627" s="13" t="s">
        <v>8323</v>
      </c>
      <c r="H627" s="15"/>
      <c r="I627" s="1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22.5" customHeight="1">
      <c r="A628" s="9">
        <v>626.0</v>
      </c>
      <c r="B628" s="42">
        <v>47.0</v>
      </c>
      <c r="C628" s="13" t="s">
        <v>8324</v>
      </c>
      <c r="D628" s="13" t="s">
        <v>8325</v>
      </c>
      <c r="E628" s="13" t="s">
        <v>8326</v>
      </c>
      <c r="F628" s="13" t="s">
        <v>7084</v>
      </c>
      <c r="G628" s="13" t="s">
        <v>8327</v>
      </c>
      <c r="H628" s="15"/>
      <c r="I628" s="1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22.5" customHeight="1">
      <c r="A629" s="9">
        <v>627.0</v>
      </c>
      <c r="B629" s="42">
        <v>47.0</v>
      </c>
      <c r="C629" s="13" t="s">
        <v>8328</v>
      </c>
      <c r="D629" s="13" t="s">
        <v>8329</v>
      </c>
      <c r="E629" s="13" t="s">
        <v>8330</v>
      </c>
      <c r="F629" s="13" t="s">
        <v>6930</v>
      </c>
      <c r="G629" s="13" t="s">
        <v>8331</v>
      </c>
      <c r="H629" s="15"/>
      <c r="I629" s="1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22.5" customHeight="1">
      <c r="A630" s="9">
        <v>628.0</v>
      </c>
      <c r="B630" s="42">
        <v>47.0</v>
      </c>
      <c r="C630" s="13" t="s">
        <v>8332</v>
      </c>
      <c r="D630" s="13" t="s">
        <v>8333</v>
      </c>
      <c r="E630" s="13" t="s">
        <v>8334</v>
      </c>
      <c r="F630" s="13" t="s">
        <v>6726</v>
      </c>
      <c r="G630" s="13" t="s">
        <v>8335</v>
      </c>
      <c r="H630" s="15"/>
      <c r="I630" s="1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22.5" customHeight="1">
      <c r="A631" s="9">
        <v>629.0</v>
      </c>
      <c r="B631" s="42">
        <v>47.0</v>
      </c>
      <c r="C631" s="13" t="s">
        <v>8336</v>
      </c>
      <c r="D631" s="13" t="s">
        <v>8337</v>
      </c>
      <c r="E631" s="13" t="s">
        <v>8338</v>
      </c>
      <c r="F631" s="13" t="s">
        <v>6644</v>
      </c>
      <c r="G631" s="13" t="s">
        <v>8339</v>
      </c>
      <c r="H631" s="15"/>
      <c r="I631" s="1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22.5" customHeight="1">
      <c r="A632" s="9">
        <v>630.0</v>
      </c>
      <c r="B632" s="42">
        <v>47.0</v>
      </c>
      <c r="C632" s="13" t="s">
        <v>7929</v>
      </c>
      <c r="D632" s="13" t="s">
        <v>7930</v>
      </c>
      <c r="E632" s="13" t="s">
        <v>7931</v>
      </c>
      <c r="F632" s="13" t="s">
        <v>6599</v>
      </c>
      <c r="G632" s="13" t="s">
        <v>8340</v>
      </c>
      <c r="H632" s="15"/>
      <c r="I632" s="1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22.5" customHeight="1">
      <c r="A633" s="9">
        <v>631.0</v>
      </c>
      <c r="B633" s="42">
        <v>46.0</v>
      </c>
      <c r="C633" s="13" t="s">
        <v>8341</v>
      </c>
      <c r="D633" s="13" t="s">
        <v>4662</v>
      </c>
      <c r="E633" s="13" t="s">
        <v>3977</v>
      </c>
      <c r="F633" s="13" t="s">
        <v>3978</v>
      </c>
      <c r="G633" s="13" t="s">
        <v>7438</v>
      </c>
      <c r="H633" s="15"/>
      <c r="I633" s="1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22.5" customHeight="1">
      <c r="A634" s="9">
        <v>632.0</v>
      </c>
      <c r="B634" s="42">
        <v>46.0</v>
      </c>
      <c r="C634" s="13" t="s">
        <v>8342</v>
      </c>
      <c r="D634" s="13" t="s">
        <v>8343</v>
      </c>
      <c r="E634" s="13" t="s">
        <v>8344</v>
      </c>
      <c r="F634" s="13" t="s">
        <v>8345</v>
      </c>
      <c r="G634" s="13" t="s">
        <v>8346</v>
      </c>
      <c r="H634" s="14" t="s">
        <v>18</v>
      </c>
      <c r="I634" s="1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22.5" customHeight="1">
      <c r="A635" s="9">
        <v>633.0</v>
      </c>
      <c r="B635" s="42">
        <v>46.0</v>
      </c>
      <c r="C635" s="13" t="s">
        <v>8347</v>
      </c>
      <c r="D635" s="13" t="s">
        <v>8348</v>
      </c>
      <c r="E635" s="13" t="s">
        <v>8349</v>
      </c>
      <c r="F635" s="13" t="s">
        <v>8350</v>
      </c>
      <c r="G635" s="13" t="s">
        <v>8351</v>
      </c>
      <c r="H635" s="15"/>
      <c r="I635" s="1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22.5" customHeight="1">
      <c r="A636" s="9">
        <v>634.0</v>
      </c>
      <c r="B636" s="42">
        <v>46.0</v>
      </c>
      <c r="C636" s="13" t="s">
        <v>8352</v>
      </c>
      <c r="D636" s="13" t="s">
        <v>2000</v>
      </c>
      <c r="E636" s="13" t="s">
        <v>2001</v>
      </c>
      <c r="F636" s="13" t="s">
        <v>7514</v>
      </c>
      <c r="G636" s="13" t="s">
        <v>8353</v>
      </c>
      <c r="H636" s="15"/>
      <c r="I636" s="1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22.5" customHeight="1">
      <c r="A637" s="9">
        <v>635.0</v>
      </c>
      <c r="B637" s="42">
        <v>46.0</v>
      </c>
      <c r="C637" s="13" t="s">
        <v>8354</v>
      </c>
      <c r="D637" s="13" t="s">
        <v>8355</v>
      </c>
      <c r="E637" s="13" t="s">
        <v>8356</v>
      </c>
      <c r="F637" s="13" t="s">
        <v>8161</v>
      </c>
      <c r="G637" s="13" t="s">
        <v>8357</v>
      </c>
      <c r="H637" s="15"/>
      <c r="I637" s="1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22.5" customHeight="1">
      <c r="A638" s="9">
        <v>636.0</v>
      </c>
      <c r="B638" s="42">
        <v>46.0</v>
      </c>
      <c r="C638" s="13" t="s">
        <v>8358</v>
      </c>
      <c r="D638" s="13" t="s">
        <v>8359</v>
      </c>
      <c r="E638" s="13" t="s">
        <v>8360</v>
      </c>
      <c r="F638" s="13" t="s">
        <v>7292</v>
      </c>
      <c r="G638" s="13" t="s">
        <v>7531</v>
      </c>
      <c r="H638" s="15"/>
      <c r="I638" s="1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22.5" customHeight="1">
      <c r="A639" s="9">
        <v>637.0</v>
      </c>
      <c r="B639" s="42">
        <v>46.0</v>
      </c>
      <c r="C639" s="13" t="s">
        <v>8361</v>
      </c>
      <c r="D639" s="13" t="s">
        <v>8362</v>
      </c>
      <c r="E639" s="13" t="s">
        <v>8363</v>
      </c>
      <c r="F639" s="13" t="s">
        <v>7300</v>
      </c>
      <c r="G639" s="13" t="s">
        <v>8364</v>
      </c>
      <c r="H639" s="14" t="s">
        <v>18</v>
      </c>
      <c r="I639" s="1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22.5" customHeight="1">
      <c r="A640" s="9">
        <v>638.0</v>
      </c>
      <c r="B640" s="42">
        <v>46.0</v>
      </c>
      <c r="C640" s="13" t="s">
        <v>8365</v>
      </c>
      <c r="D640" s="13" t="s">
        <v>8366</v>
      </c>
      <c r="E640" s="13" t="s">
        <v>8367</v>
      </c>
      <c r="F640" s="13" t="s">
        <v>6567</v>
      </c>
      <c r="G640" s="13" t="s">
        <v>8368</v>
      </c>
      <c r="H640" s="15"/>
      <c r="I640" s="1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22.5" customHeight="1">
      <c r="A641" s="9">
        <v>639.0</v>
      </c>
      <c r="B641" s="42">
        <v>46.0</v>
      </c>
      <c r="C641" s="13" t="s">
        <v>8369</v>
      </c>
      <c r="D641" s="13" t="s">
        <v>8370</v>
      </c>
      <c r="E641" s="13" t="s">
        <v>8371</v>
      </c>
      <c r="F641" s="13" t="s">
        <v>7011</v>
      </c>
      <c r="G641" s="13" t="s">
        <v>8372</v>
      </c>
      <c r="H641" s="15"/>
      <c r="I641" s="1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22.5" customHeight="1">
      <c r="A642" s="9">
        <v>640.0</v>
      </c>
      <c r="B642" s="42">
        <v>46.0</v>
      </c>
      <c r="C642" s="13" t="s">
        <v>8082</v>
      </c>
      <c r="D642" s="13" t="s">
        <v>8083</v>
      </c>
      <c r="E642" s="13" t="s">
        <v>8084</v>
      </c>
      <c r="F642" s="13" t="s">
        <v>7227</v>
      </c>
      <c r="G642" s="13" t="s">
        <v>8373</v>
      </c>
      <c r="H642" s="15"/>
      <c r="I642" s="1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22.5" customHeight="1">
      <c r="A643" s="9">
        <v>641.0</v>
      </c>
      <c r="B643" s="42">
        <v>45.0</v>
      </c>
      <c r="C643" s="13" t="s">
        <v>7544</v>
      </c>
      <c r="D643" s="13" t="s">
        <v>6754</v>
      </c>
      <c r="E643" s="13" t="s">
        <v>6755</v>
      </c>
      <c r="F643" s="13" t="s">
        <v>6756</v>
      </c>
      <c r="G643" s="13" t="s">
        <v>8374</v>
      </c>
      <c r="H643" s="15"/>
      <c r="I643" s="1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22.5" customHeight="1">
      <c r="A644" s="9">
        <v>642.0</v>
      </c>
      <c r="B644" s="42">
        <v>45.0</v>
      </c>
      <c r="C644" s="13" t="s">
        <v>7789</v>
      </c>
      <c r="D644" s="13" t="s">
        <v>2319</v>
      </c>
      <c r="E644" s="13" t="s">
        <v>2320</v>
      </c>
      <c r="F644" s="13" t="s">
        <v>6766</v>
      </c>
      <c r="G644" s="13" t="s">
        <v>8375</v>
      </c>
      <c r="H644" s="15"/>
      <c r="I644" s="1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22.5" customHeight="1">
      <c r="A645" s="9">
        <v>643.0</v>
      </c>
      <c r="B645" s="42">
        <v>45.0</v>
      </c>
      <c r="C645" s="13" t="s">
        <v>7109</v>
      </c>
      <c r="D645" s="13" t="s">
        <v>7110</v>
      </c>
      <c r="E645" s="13" t="s">
        <v>7280</v>
      </c>
      <c r="F645" s="13" t="s">
        <v>6830</v>
      </c>
      <c r="G645" s="13" t="s">
        <v>8376</v>
      </c>
      <c r="H645" s="15"/>
      <c r="I645" s="1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22.5" customHeight="1">
      <c r="A646" s="9">
        <v>644.0</v>
      </c>
      <c r="B646" s="42">
        <v>45.0</v>
      </c>
      <c r="C646" s="13" t="s">
        <v>8377</v>
      </c>
      <c r="D646" s="13" t="s">
        <v>494</v>
      </c>
      <c r="E646" s="13" t="s">
        <v>495</v>
      </c>
      <c r="F646" s="13" t="s">
        <v>7499</v>
      </c>
      <c r="G646" s="13" t="s">
        <v>8378</v>
      </c>
      <c r="H646" s="15"/>
      <c r="I646" s="1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22.5" customHeight="1">
      <c r="A647" s="9">
        <v>645.0</v>
      </c>
      <c r="B647" s="42">
        <v>45.0</v>
      </c>
      <c r="C647" s="13" t="s">
        <v>8379</v>
      </c>
      <c r="D647" s="13" t="s">
        <v>7316</v>
      </c>
      <c r="E647" s="13" t="s">
        <v>7317</v>
      </c>
      <c r="F647" s="13" t="s">
        <v>6482</v>
      </c>
      <c r="G647" s="13" t="s">
        <v>8380</v>
      </c>
      <c r="H647" s="15"/>
      <c r="I647" s="1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22.5" customHeight="1">
      <c r="A648" s="9">
        <v>646.0</v>
      </c>
      <c r="B648" s="42">
        <v>45.0</v>
      </c>
      <c r="C648" s="13" t="s">
        <v>8381</v>
      </c>
      <c r="D648" s="13" t="s">
        <v>3423</v>
      </c>
      <c r="E648" s="13" t="s">
        <v>3424</v>
      </c>
      <c r="F648" s="13" t="s">
        <v>7104</v>
      </c>
      <c r="G648" s="13" t="s">
        <v>8382</v>
      </c>
      <c r="H648" s="14" t="s">
        <v>18</v>
      </c>
      <c r="I648" s="1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22.5" customHeight="1">
      <c r="A649" s="9">
        <v>647.0</v>
      </c>
      <c r="B649" s="42">
        <v>45.0</v>
      </c>
      <c r="C649" s="13" t="s">
        <v>7339</v>
      </c>
      <c r="D649" s="13" t="s">
        <v>879</v>
      </c>
      <c r="E649" s="13" t="s">
        <v>880</v>
      </c>
      <c r="F649" s="13" t="s">
        <v>7340</v>
      </c>
      <c r="G649" s="13" t="s">
        <v>8383</v>
      </c>
      <c r="H649" s="15"/>
      <c r="I649" s="1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22.5" customHeight="1">
      <c r="A650" s="9">
        <v>648.0</v>
      </c>
      <c r="B650" s="42">
        <v>45.0</v>
      </c>
      <c r="C650" s="13" t="s">
        <v>7245</v>
      </c>
      <c r="D650" s="13" t="s">
        <v>7113</v>
      </c>
      <c r="E650" s="13" t="s">
        <v>7114</v>
      </c>
      <c r="F650" s="13" t="s">
        <v>7246</v>
      </c>
      <c r="G650" s="13" t="s">
        <v>8384</v>
      </c>
      <c r="H650" s="15"/>
      <c r="I650" s="1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22.5" customHeight="1">
      <c r="A651" s="9">
        <v>649.0</v>
      </c>
      <c r="B651" s="42">
        <v>45.0</v>
      </c>
      <c r="C651" s="13" t="s">
        <v>8385</v>
      </c>
      <c r="D651" s="13" t="s">
        <v>6495</v>
      </c>
      <c r="E651" s="13" t="s">
        <v>6496</v>
      </c>
      <c r="F651" s="13" t="s">
        <v>8386</v>
      </c>
      <c r="G651" s="13" t="s">
        <v>8387</v>
      </c>
      <c r="H651" s="15"/>
      <c r="I651" s="1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22.5" customHeight="1">
      <c r="A652" s="9">
        <v>650.0</v>
      </c>
      <c r="B652" s="42">
        <v>45.0</v>
      </c>
      <c r="C652" s="13" t="s">
        <v>8388</v>
      </c>
      <c r="D652" s="13" t="s">
        <v>7636</v>
      </c>
      <c r="E652" s="13" t="s">
        <v>7637</v>
      </c>
      <c r="F652" s="13" t="s">
        <v>8389</v>
      </c>
      <c r="G652" s="13" t="s">
        <v>8390</v>
      </c>
      <c r="H652" s="15"/>
      <c r="I652" s="1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22.5" customHeight="1">
      <c r="A653" s="9">
        <v>651.0</v>
      </c>
      <c r="B653" s="42">
        <v>44.0</v>
      </c>
      <c r="C653" s="13" t="s">
        <v>8391</v>
      </c>
      <c r="D653" s="13" t="s">
        <v>8392</v>
      </c>
      <c r="E653" s="13" t="s">
        <v>8393</v>
      </c>
      <c r="F653" s="13" t="s">
        <v>6742</v>
      </c>
      <c r="G653" s="13" t="s">
        <v>8394</v>
      </c>
      <c r="H653" s="15"/>
      <c r="I653" s="1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22.5" customHeight="1">
      <c r="A654" s="9">
        <v>652.0</v>
      </c>
      <c r="B654" s="42">
        <v>44.0</v>
      </c>
      <c r="C654" s="13" t="s">
        <v>8395</v>
      </c>
      <c r="D654" s="13" t="s">
        <v>8396</v>
      </c>
      <c r="E654" s="13" t="s">
        <v>8397</v>
      </c>
      <c r="F654" s="13" t="s">
        <v>8398</v>
      </c>
      <c r="G654" s="13" t="s">
        <v>8399</v>
      </c>
      <c r="H654" s="14" t="s">
        <v>18</v>
      </c>
      <c r="I654" s="1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22.5" customHeight="1">
      <c r="A655" s="9">
        <v>653.0</v>
      </c>
      <c r="B655" s="42">
        <v>44.0</v>
      </c>
      <c r="C655" s="13" t="s">
        <v>7983</v>
      </c>
      <c r="D655" s="13" t="s">
        <v>7984</v>
      </c>
      <c r="E655" s="13" t="s">
        <v>7985</v>
      </c>
      <c r="F655" s="13" t="s">
        <v>6930</v>
      </c>
      <c r="G655" s="13" t="s">
        <v>8400</v>
      </c>
      <c r="H655" s="15"/>
      <c r="I655" s="1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22.5" customHeight="1">
      <c r="A656" s="9">
        <v>654.0</v>
      </c>
      <c r="B656" s="42">
        <v>44.0</v>
      </c>
      <c r="C656" s="13" t="s">
        <v>8134</v>
      </c>
      <c r="D656" s="13" t="s">
        <v>8135</v>
      </c>
      <c r="E656" s="13" t="s">
        <v>8136</v>
      </c>
      <c r="F656" s="13" t="s">
        <v>6607</v>
      </c>
      <c r="G656" s="13" t="s">
        <v>8401</v>
      </c>
      <c r="H656" s="15"/>
      <c r="I656" s="1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22.5" customHeight="1">
      <c r="A657" s="9">
        <v>655.0</v>
      </c>
      <c r="B657" s="42">
        <v>44.0</v>
      </c>
      <c r="C657" s="13" t="s">
        <v>8402</v>
      </c>
      <c r="D657" s="13" t="s">
        <v>8403</v>
      </c>
      <c r="E657" s="13" t="s">
        <v>8404</v>
      </c>
      <c r="F657" s="13" t="s">
        <v>6945</v>
      </c>
      <c r="G657" s="13" t="s">
        <v>8405</v>
      </c>
      <c r="H657" s="15"/>
      <c r="I657" s="1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22.5" customHeight="1">
      <c r="A658" s="9">
        <v>656.0</v>
      </c>
      <c r="B658" s="42">
        <v>44.0</v>
      </c>
      <c r="C658" s="13" t="s">
        <v>8073</v>
      </c>
      <c r="D658" s="13" t="s">
        <v>8074</v>
      </c>
      <c r="E658" s="13" t="s">
        <v>8075</v>
      </c>
      <c r="F658" s="13" t="s">
        <v>6497</v>
      </c>
      <c r="G658" s="13" t="s">
        <v>6498</v>
      </c>
      <c r="H658" s="15"/>
      <c r="I658" s="1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22.5" customHeight="1">
      <c r="A659" s="9">
        <v>657.0</v>
      </c>
      <c r="B659" s="42">
        <v>44.0</v>
      </c>
      <c r="C659" s="13" t="s">
        <v>8406</v>
      </c>
      <c r="D659" s="13" t="s">
        <v>8407</v>
      </c>
      <c r="E659" s="13" t="s">
        <v>8408</v>
      </c>
      <c r="F659" s="13" t="s">
        <v>7292</v>
      </c>
      <c r="G659" s="13" t="s">
        <v>7293</v>
      </c>
      <c r="H659" s="15"/>
      <c r="I659" s="1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22.5" customHeight="1">
      <c r="A660" s="9">
        <v>658.0</v>
      </c>
      <c r="B660" s="42">
        <v>44.0</v>
      </c>
      <c r="C660" s="13" t="s">
        <v>8409</v>
      </c>
      <c r="D660" s="13" t="s">
        <v>8410</v>
      </c>
      <c r="E660" s="13" t="s">
        <v>8411</v>
      </c>
      <c r="F660" s="13" t="s">
        <v>8293</v>
      </c>
      <c r="G660" s="13" t="s">
        <v>8412</v>
      </c>
      <c r="H660" s="15"/>
      <c r="I660" s="1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22.5" customHeight="1">
      <c r="A661" s="9">
        <v>659.0</v>
      </c>
      <c r="B661" s="42">
        <v>44.0</v>
      </c>
      <c r="C661" s="13" t="s">
        <v>8413</v>
      </c>
      <c r="D661" s="13" t="s">
        <v>4685</v>
      </c>
      <c r="E661" s="13" t="s">
        <v>8057</v>
      </c>
      <c r="F661" s="13" t="s">
        <v>7792</v>
      </c>
      <c r="G661" s="13" t="s">
        <v>7793</v>
      </c>
      <c r="H661" s="14" t="s">
        <v>18</v>
      </c>
      <c r="I661" s="1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22.5" customHeight="1">
      <c r="A662" s="9">
        <v>660.0</v>
      </c>
      <c r="B662" s="42">
        <v>44.0</v>
      </c>
      <c r="C662" s="13" t="s">
        <v>8414</v>
      </c>
      <c r="D662" s="13" t="s">
        <v>8415</v>
      </c>
      <c r="E662" s="13" t="s">
        <v>8416</v>
      </c>
      <c r="F662" s="13" t="s">
        <v>8417</v>
      </c>
      <c r="G662" s="13" t="s">
        <v>8418</v>
      </c>
      <c r="H662" s="14" t="s">
        <v>18</v>
      </c>
      <c r="I662" s="1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22.5" customHeight="1">
      <c r="A663" s="9">
        <v>661.0</v>
      </c>
      <c r="B663" s="42">
        <v>44.0</v>
      </c>
      <c r="C663" s="13" t="s">
        <v>8419</v>
      </c>
      <c r="D663" s="13" t="s">
        <v>8420</v>
      </c>
      <c r="E663" s="13" t="s">
        <v>8421</v>
      </c>
      <c r="F663" s="13" t="s">
        <v>8422</v>
      </c>
      <c r="G663" s="13" t="s">
        <v>8423</v>
      </c>
      <c r="H663" s="14" t="s">
        <v>18</v>
      </c>
      <c r="I663" s="1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22.5" customHeight="1">
      <c r="A664" s="9">
        <v>662.0</v>
      </c>
      <c r="B664" s="42">
        <v>44.0</v>
      </c>
      <c r="C664" s="13" t="s">
        <v>7996</v>
      </c>
      <c r="D664" s="13" t="s">
        <v>7997</v>
      </c>
      <c r="E664" s="13" t="s">
        <v>7998</v>
      </c>
      <c r="F664" s="13" t="s">
        <v>6544</v>
      </c>
      <c r="G664" s="13" t="s">
        <v>8424</v>
      </c>
      <c r="H664" s="15"/>
      <c r="I664" s="1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22.5" customHeight="1">
      <c r="A665" s="9">
        <v>663.0</v>
      </c>
      <c r="B665" s="42">
        <v>43.0</v>
      </c>
      <c r="C665" s="13" t="s">
        <v>8425</v>
      </c>
      <c r="D665" s="13" t="s">
        <v>8426</v>
      </c>
      <c r="E665" s="13" t="s">
        <v>8427</v>
      </c>
      <c r="F665" s="13" t="s">
        <v>7452</v>
      </c>
      <c r="G665" s="13" t="s">
        <v>8428</v>
      </c>
      <c r="H665" s="15"/>
      <c r="I665" s="1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22.5" customHeight="1">
      <c r="A666" s="9">
        <v>664.0</v>
      </c>
      <c r="B666" s="42">
        <v>43.0</v>
      </c>
      <c r="C666" s="13" t="s">
        <v>8429</v>
      </c>
      <c r="D666" s="13" t="s">
        <v>8430</v>
      </c>
      <c r="E666" s="13" t="s">
        <v>8431</v>
      </c>
      <c r="F666" s="13" t="s">
        <v>6631</v>
      </c>
      <c r="G666" s="13" t="s">
        <v>8432</v>
      </c>
      <c r="H666" s="15"/>
      <c r="I666" s="1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22.5" customHeight="1">
      <c r="A667" s="9">
        <v>665.0</v>
      </c>
      <c r="B667" s="42">
        <v>43.0</v>
      </c>
      <c r="C667" s="13" t="s">
        <v>7253</v>
      </c>
      <c r="D667" s="13" t="s">
        <v>3713</v>
      </c>
      <c r="E667" s="13" t="s">
        <v>7254</v>
      </c>
      <c r="F667" s="13" t="s">
        <v>3917</v>
      </c>
      <c r="G667" s="13" t="s">
        <v>7683</v>
      </c>
      <c r="H667" s="15"/>
      <c r="I667" s="1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22.5" customHeight="1">
      <c r="A668" s="9">
        <v>666.0</v>
      </c>
      <c r="B668" s="42">
        <v>43.0</v>
      </c>
      <c r="C668" s="13" t="s">
        <v>7069</v>
      </c>
      <c r="D668" s="13" t="s">
        <v>7070</v>
      </c>
      <c r="E668" s="13" t="s">
        <v>7071</v>
      </c>
      <c r="F668" s="13" t="s">
        <v>6809</v>
      </c>
      <c r="G668" s="13" t="s">
        <v>8433</v>
      </c>
      <c r="H668" s="15"/>
      <c r="I668" s="1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22.5" customHeight="1">
      <c r="A669" s="9">
        <v>667.0</v>
      </c>
      <c r="B669" s="42">
        <v>43.0</v>
      </c>
      <c r="C669" s="13" t="s">
        <v>8434</v>
      </c>
      <c r="D669" s="13" t="s">
        <v>8435</v>
      </c>
      <c r="E669" s="13" t="s">
        <v>8436</v>
      </c>
      <c r="F669" s="13" t="s">
        <v>3962</v>
      </c>
      <c r="G669" s="13" t="s">
        <v>8437</v>
      </c>
      <c r="H669" s="14" t="s">
        <v>18</v>
      </c>
      <c r="I669" s="1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22.5" customHeight="1">
      <c r="A670" s="9">
        <v>668.0</v>
      </c>
      <c r="B670" s="42">
        <v>43.0</v>
      </c>
      <c r="C670" s="13" t="s">
        <v>7401</v>
      </c>
      <c r="D670" s="13" t="s">
        <v>3015</v>
      </c>
      <c r="E670" s="13" t="s">
        <v>3016</v>
      </c>
      <c r="F670" s="13" t="s">
        <v>7292</v>
      </c>
      <c r="G670" s="13" t="s">
        <v>7293</v>
      </c>
      <c r="H670" s="15"/>
      <c r="I670" s="1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22.5" customHeight="1">
      <c r="A671" s="9">
        <v>669.0</v>
      </c>
      <c r="B671" s="42">
        <v>43.0</v>
      </c>
      <c r="C671" s="13" t="s">
        <v>7754</v>
      </c>
      <c r="D671" s="13" t="s">
        <v>7040</v>
      </c>
      <c r="E671" s="13" t="s">
        <v>7041</v>
      </c>
      <c r="F671" s="13" t="s">
        <v>3891</v>
      </c>
      <c r="G671" s="13" t="s">
        <v>6701</v>
      </c>
      <c r="H671" s="15"/>
      <c r="I671" s="1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22.5" customHeight="1">
      <c r="A672" s="9">
        <v>670.0</v>
      </c>
      <c r="B672" s="42">
        <v>43.0</v>
      </c>
      <c r="C672" s="13" t="s">
        <v>8438</v>
      </c>
      <c r="D672" s="13" t="s">
        <v>8439</v>
      </c>
      <c r="E672" s="13" t="s">
        <v>8440</v>
      </c>
      <c r="F672" s="13" t="s">
        <v>6482</v>
      </c>
      <c r="G672" s="13" t="s">
        <v>8441</v>
      </c>
      <c r="H672" s="15"/>
      <c r="I672" s="1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22.5" customHeight="1">
      <c r="A673" s="9">
        <v>671.0</v>
      </c>
      <c r="B673" s="42">
        <v>43.0</v>
      </c>
      <c r="C673" s="13" t="s">
        <v>8204</v>
      </c>
      <c r="D673" s="13" t="s">
        <v>8442</v>
      </c>
      <c r="E673" s="13" t="s">
        <v>8443</v>
      </c>
      <c r="F673" s="13" t="s">
        <v>7019</v>
      </c>
      <c r="G673" s="13" t="s">
        <v>8444</v>
      </c>
      <c r="H673" s="15"/>
      <c r="I673" s="1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22.5" customHeight="1">
      <c r="A674" s="9">
        <v>672.0</v>
      </c>
      <c r="B674" s="42">
        <v>43.0</v>
      </c>
      <c r="C674" s="13" t="s">
        <v>8445</v>
      </c>
      <c r="D674" s="13" t="s">
        <v>8446</v>
      </c>
      <c r="E674" s="13" t="s">
        <v>8447</v>
      </c>
      <c r="F674" s="13" t="s">
        <v>6781</v>
      </c>
      <c r="G674" s="13" t="s">
        <v>8448</v>
      </c>
      <c r="H674" s="15"/>
      <c r="I674" s="1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22.5" customHeight="1">
      <c r="A675" s="9">
        <v>673.0</v>
      </c>
      <c r="B675" s="42">
        <v>42.0</v>
      </c>
      <c r="C675" s="13" t="s">
        <v>8449</v>
      </c>
      <c r="D675" s="13" t="s">
        <v>8450</v>
      </c>
      <c r="E675" s="13" t="s">
        <v>8451</v>
      </c>
      <c r="F675" s="13" t="s">
        <v>8298</v>
      </c>
      <c r="G675" s="13" t="s">
        <v>8452</v>
      </c>
      <c r="H675" s="15"/>
      <c r="I675" s="1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22.5" customHeight="1">
      <c r="A676" s="9">
        <v>674.0</v>
      </c>
      <c r="B676" s="42">
        <v>42.0</v>
      </c>
      <c r="C676" s="13" t="s">
        <v>8453</v>
      </c>
      <c r="D676" s="13" t="s">
        <v>8454</v>
      </c>
      <c r="E676" s="13" t="s">
        <v>8455</v>
      </c>
      <c r="F676" s="13" t="s">
        <v>7669</v>
      </c>
      <c r="G676" s="13" t="s">
        <v>8456</v>
      </c>
      <c r="H676" s="15"/>
      <c r="I676" s="1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22.5" customHeight="1">
      <c r="A677" s="9">
        <v>675.0</v>
      </c>
      <c r="B677" s="42">
        <v>42.0</v>
      </c>
      <c r="C677" s="13" t="s">
        <v>8457</v>
      </c>
      <c r="D677" s="13" t="s">
        <v>8458</v>
      </c>
      <c r="E677" s="13" t="s">
        <v>8459</v>
      </c>
      <c r="F677" s="13" t="s">
        <v>8460</v>
      </c>
      <c r="G677" s="13" t="s">
        <v>8461</v>
      </c>
      <c r="H677" s="15"/>
      <c r="I677" s="1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22.5" customHeight="1">
      <c r="A678" s="9">
        <v>676.0</v>
      </c>
      <c r="B678" s="42">
        <v>42.0</v>
      </c>
      <c r="C678" s="13" t="s">
        <v>8462</v>
      </c>
      <c r="D678" s="13" t="s">
        <v>5491</v>
      </c>
      <c r="E678" s="13" t="s">
        <v>8463</v>
      </c>
      <c r="F678" s="13" t="s">
        <v>8464</v>
      </c>
      <c r="G678" s="13" t="s">
        <v>8465</v>
      </c>
      <c r="H678" s="15"/>
      <c r="I678" s="1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22.5" customHeight="1">
      <c r="A679" s="9">
        <v>677.0</v>
      </c>
      <c r="B679" s="42">
        <v>42.0</v>
      </c>
      <c r="C679" s="13" t="s">
        <v>8466</v>
      </c>
      <c r="D679" s="13" t="s">
        <v>8467</v>
      </c>
      <c r="E679" s="13" t="s">
        <v>8468</v>
      </c>
      <c r="F679" s="13" t="s">
        <v>8469</v>
      </c>
      <c r="G679" s="13" t="s">
        <v>8470</v>
      </c>
      <c r="H679" s="14" t="s">
        <v>18</v>
      </c>
      <c r="I679" s="1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22.5" customHeight="1">
      <c r="A680" s="9">
        <v>678.0</v>
      </c>
      <c r="B680" s="42">
        <v>41.0</v>
      </c>
      <c r="C680" s="13" t="s">
        <v>8471</v>
      </c>
      <c r="D680" s="13" t="s">
        <v>8472</v>
      </c>
      <c r="E680" s="13" t="s">
        <v>8473</v>
      </c>
      <c r="F680" s="13" t="s">
        <v>6577</v>
      </c>
      <c r="G680" s="13" t="s">
        <v>8474</v>
      </c>
      <c r="H680" s="15"/>
      <c r="I680" s="1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22.5" customHeight="1">
      <c r="A681" s="9">
        <v>679.0</v>
      </c>
      <c r="B681" s="42">
        <v>41.0</v>
      </c>
      <c r="C681" s="13" t="s">
        <v>8475</v>
      </c>
      <c r="D681" s="13" t="s">
        <v>8476</v>
      </c>
      <c r="E681" s="13" t="s">
        <v>8477</v>
      </c>
      <c r="F681" s="13" t="s">
        <v>6593</v>
      </c>
      <c r="G681" s="13" t="s">
        <v>8478</v>
      </c>
      <c r="H681" s="15"/>
      <c r="I681" s="1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22.5" customHeight="1">
      <c r="A682" s="9">
        <v>680.0</v>
      </c>
      <c r="B682" s="42">
        <v>41.0</v>
      </c>
      <c r="C682" s="13" t="s">
        <v>8479</v>
      </c>
      <c r="D682" s="13" t="s">
        <v>8480</v>
      </c>
      <c r="E682" s="13" t="s">
        <v>8481</v>
      </c>
      <c r="F682" s="13" t="s">
        <v>8482</v>
      </c>
      <c r="G682" s="13" t="s">
        <v>8483</v>
      </c>
      <c r="H682" s="14" t="s">
        <v>18</v>
      </c>
      <c r="I682" s="1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22.5" customHeight="1">
      <c r="A683" s="9">
        <v>681.0</v>
      </c>
      <c r="B683" s="42">
        <v>41.0</v>
      </c>
      <c r="C683" s="13" t="s">
        <v>8484</v>
      </c>
      <c r="D683" s="13" t="s">
        <v>8485</v>
      </c>
      <c r="E683" s="13" t="s">
        <v>8486</v>
      </c>
      <c r="F683" s="13" t="s">
        <v>7643</v>
      </c>
      <c r="G683" s="13" t="s">
        <v>8487</v>
      </c>
      <c r="H683" s="15"/>
      <c r="I683" s="1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22.5" customHeight="1">
      <c r="A684" s="9">
        <v>682.0</v>
      </c>
      <c r="B684" s="42">
        <v>41.0</v>
      </c>
      <c r="C684" s="13" t="s">
        <v>7811</v>
      </c>
      <c r="D684" s="13" t="s">
        <v>7812</v>
      </c>
      <c r="E684" s="13" t="s">
        <v>7813</v>
      </c>
      <c r="F684" s="13" t="s">
        <v>6607</v>
      </c>
      <c r="G684" s="13" t="s">
        <v>8488</v>
      </c>
      <c r="H684" s="15"/>
      <c r="I684" s="1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22.5" customHeight="1">
      <c r="A685" s="9">
        <v>683.0</v>
      </c>
      <c r="B685" s="42">
        <v>41.0</v>
      </c>
      <c r="C685" s="13" t="s">
        <v>8489</v>
      </c>
      <c r="D685" s="13" t="s">
        <v>3960</v>
      </c>
      <c r="E685" s="13" t="s">
        <v>3961</v>
      </c>
      <c r="F685" s="13" t="s">
        <v>3962</v>
      </c>
      <c r="G685" s="13" t="s">
        <v>3959</v>
      </c>
      <c r="H685" s="15"/>
      <c r="I685" s="1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22.5" customHeight="1">
      <c r="A686" s="9">
        <v>684.0</v>
      </c>
      <c r="B686" s="42">
        <v>41.0</v>
      </c>
      <c r="C686" s="13" t="s">
        <v>8490</v>
      </c>
      <c r="D686" s="13" t="s">
        <v>3952</v>
      </c>
      <c r="E686" s="13" t="s">
        <v>3953</v>
      </c>
      <c r="F686" s="13" t="s">
        <v>3954</v>
      </c>
      <c r="G686" s="13" t="s">
        <v>3951</v>
      </c>
      <c r="H686" s="14" t="s">
        <v>18</v>
      </c>
      <c r="I686" s="1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22.5" customHeight="1">
      <c r="A687" s="9">
        <v>685.0</v>
      </c>
      <c r="B687" s="42">
        <v>41.0</v>
      </c>
      <c r="C687" s="13" t="s">
        <v>8491</v>
      </c>
      <c r="D687" s="13" t="s">
        <v>3976</v>
      </c>
      <c r="E687" s="13" t="s">
        <v>3977</v>
      </c>
      <c r="F687" s="13" t="s">
        <v>3978</v>
      </c>
      <c r="G687" s="13" t="s">
        <v>3975</v>
      </c>
      <c r="H687" s="15"/>
      <c r="I687" s="1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22.5" customHeight="1">
      <c r="A688" s="9">
        <v>686.0</v>
      </c>
      <c r="B688" s="42">
        <v>41.0</v>
      </c>
      <c r="C688" s="13" t="s">
        <v>8492</v>
      </c>
      <c r="D688" s="13" t="s">
        <v>3981</v>
      </c>
      <c r="E688" s="13" t="s">
        <v>3982</v>
      </c>
      <c r="F688" s="13" t="s">
        <v>3983</v>
      </c>
      <c r="G688" s="13" t="s">
        <v>3980</v>
      </c>
      <c r="H688" s="15"/>
      <c r="I688" s="1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22.5" customHeight="1">
      <c r="A689" s="9">
        <v>687.0</v>
      </c>
      <c r="B689" s="42">
        <v>41.0</v>
      </c>
      <c r="C689" s="13" t="s">
        <v>8493</v>
      </c>
      <c r="D689" s="13" t="s">
        <v>3947</v>
      </c>
      <c r="E689" s="13" t="s">
        <v>3948</v>
      </c>
      <c r="F689" s="13" t="s">
        <v>3949</v>
      </c>
      <c r="G689" s="13" t="s">
        <v>3946</v>
      </c>
      <c r="H689" s="15"/>
      <c r="I689" s="1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22.5" customHeight="1">
      <c r="A690" s="9">
        <v>688.0</v>
      </c>
      <c r="B690" s="42">
        <v>40.0</v>
      </c>
      <c r="C690" s="13" t="s">
        <v>8494</v>
      </c>
      <c r="D690" s="13" t="s">
        <v>8495</v>
      </c>
      <c r="E690" s="13" t="s">
        <v>8496</v>
      </c>
      <c r="F690" s="13" t="s">
        <v>8497</v>
      </c>
      <c r="G690" s="13" t="s">
        <v>8498</v>
      </c>
      <c r="H690" s="15"/>
      <c r="I690" s="1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22.5" customHeight="1">
      <c r="A691" s="9">
        <v>689.0</v>
      </c>
      <c r="B691" s="42">
        <v>40.0</v>
      </c>
      <c r="C691" s="13" t="s">
        <v>8499</v>
      </c>
      <c r="D691" s="13" t="s">
        <v>8500</v>
      </c>
      <c r="E691" s="13" t="s">
        <v>8501</v>
      </c>
      <c r="F691" s="13" t="s">
        <v>8502</v>
      </c>
      <c r="G691" s="13" t="s">
        <v>8503</v>
      </c>
      <c r="H691" s="15"/>
      <c r="I691" s="1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22.5" customHeight="1">
      <c r="A692" s="9">
        <v>690.0</v>
      </c>
      <c r="B692" s="42">
        <v>40.0</v>
      </c>
      <c r="C692" s="13" t="s">
        <v>8504</v>
      </c>
      <c r="D692" s="13" t="s">
        <v>8505</v>
      </c>
      <c r="E692" s="13" t="s">
        <v>8506</v>
      </c>
      <c r="F692" s="13" t="s">
        <v>6559</v>
      </c>
      <c r="G692" s="13" t="s">
        <v>8507</v>
      </c>
      <c r="H692" s="15"/>
      <c r="I692" s="1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22.5" customHeight="1">
      <c r="A693" s="9">
        <v>691.0</v>
      </c>
      <c r="B693" s="42">
        <v>40.0</v>
      </c>
      <c r="C693" s="13" t="s">
        <v>8508</v>
      </c>
      <c r="D693" s="13" t="s">
        <v>8509</v>
      </c>
      <c r="E693" s="13" t="s">
        <v>8510</v>
      </c>
      <c r="F693" s="13" t="s">
        <v>8511</v>
      </c>
      <c r="G693" s="13" t="s">
        <v>8512</v>
      </c>
      <c r="H693" s="15"/>
      <c r="I693" s="1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22.5" customHeight="1">
      <c r="A694" s="9">
        <v>692.0</v>
      </c>
      <c r="B694" s="42">
        <v>40.0</v>
      </c>
      <c r="C694" s="13" t="s">
        <v>8513</v>
      </c>
      <c r="D694" s="13" t="s">
        <v>8514</v>
      </c>
      <c r="E694" s="13" t="s">
        <v>8515</v>
      </c>
      <c r="F694" s="13" t="s">
        <v>7669</v>
      </c>
      <c r="G694" s="13" t="s">
        <v>8456</v>
      </c>
      <c r="H694" s="15"/>
      <c r="I694" s="1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22.5" customHeight="1">
      <c r="A695" s="9">
        <v>693.0</v>
      </c>
      <c r="B695" s="42">
        <v>39.0</v>
      </c>
      <c r="C695" s="13" t="s">
        <v>8516</v>
      </c>
      <c r="D695" s="13" t="s">
        <v>8517</v>
      </c>
      <c r="E695" s="13" t="s">
        <v>8518</v>
      </c>
      <c r="F695" s="13" t="s">
        <v>8386</v>
      </c>
      <c r="G695" s="13" t="s">
        <v>8519</v>
      </c>
      <c r="H695" s="14" t="s">
        <v>18</v>
      </c>
      <c r="I695" s="1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22.5" customHeight="1">
      <c r="A696" s="9">
        <v>694.0</v>
      </c>
      <c r="B696" s="42">
        <v>39.0</v>
      </c>
      <c r="C696" s="13" t="s">
        <v>8520</v>
      </c>
      <c r="D696" s="13" t="s">
        <v>8521</v>
      </c>
      <c r="E696" s="13" t="s">
        <v>8522</v>
      </c>
      <c r="F696" s="13" t="s">
        <v>7514</v>
      </c>
      <c r="G696" s="13" t="s">
        <v>8523</v>
      </c>
      <c r="H696" s="15"/>
      <c r="I696" s="1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22.5" customHeight="1">
      <c r="A697" s="9">
        <v>695.0</v>
      </c>
      <c r="B697" s="42">
        <v>39.0</v>
      </c>
      <c r="C697" s="13" t="s">
        <v>7909</v>
      </c>
      <c r="D697" s="13" t="s">
        <v>8524</v>
      </c>
      <c r="E697" s="13" t="s">
        <v>7911</v>
      </c>
      <c r="F697" s="13" t="s">
        <v>7673</v>
      </c>
      <c r="G697" s="13" t="s">
        <v>8525</v>
      </c>
      <c r="H697" s="15"/>
      <c r="I697" s="1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22.5" customHeight="1">
      <c r="A698" s="9">
        <v>696.0</v>
      </c>
      <c r="B698" s="42">
        <v>39.0</v>
      </c>
      <c r="C698" s="13" t="s">
        <v>7932</v>
      </c>
      <c r="D698" s="13" t="s">
        <v>7933</v>
      </c>
      <c r="E698" s="13" t="s">
        <v>7934</v>
      </c>
      <c r="F698" s="13" t="s">
        <v>6524</v>
      </c>
      <c r="G698" s="13" t="s">
        <v>8526</v>
      </c>
      <c r="H698" s="15"/>
      <c r="I698" s="1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22.5" customHeight="1">
      <c r="A699" s="9">
        <v>697.0</v>
      </c>
      <c r="B699" s="42">
        <v>39.0</v>
      </c>
      <c r="C699" s="13" t="s">
        <v>8527</v>
      </c>
      <c r="D699" s="13" t="s">
        <v>8528</v>
      </c>
      <c r="E699" s="13" t="s">
        <v>8529</v>
      </c>
      <c r="F699" s="13" t="s">
        <v>6899</v>
      </c>
      <c r="G699" s="13" t="s">
        <v>8530</v>
      </c>
      <c r="H699" s="15"/>
      <c r="I699" s="1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22.5" customHeight="1">
      <c r="A700" s="9">
        <v>698.0</v>
      </c>
      <c r="B700" s="42">
        <v>39.0</v>
      </c>
      <c r="C700" s="13" t="s">
        <v>8531</v>
      </c>
      <c r="D700" s="13" t="s">
        <v>8532</v>
      </c>
      <c r="E700" s="13" t="s">
        <v>8533</v>
      </c>
      <c r="F700" s="13" t="s">
        <v>6564</v>
      </c>
      <c r="G700" s="13" t="s">
        <v>8534</v>
      </c>
      <c r="H700" s="15"/>
      <c r="I700" s="1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22.5" customHeight="1">
      <c r="A701" s="9">
        <v>699.0</v>
      </c>
      <c r="B701" s="42">
        <v>39.0</v>
      </c>
      <c r="C701" s="13" t="s">
        <v>8535</v>
      </c>
      <c r="D701" s="13" t="s">
        <v>8536</v>
      </c>
      <c r="E701" s="13" t="s">
        <v>8537</v>
      </c>
      <c r="F701" s="13" t="s">
        <v>6519</v>
      </c>
      <c r="G701" s="13" t="s">
        <v>6520</v>
      </c>
      <c r="H701" s="15"/>
      <c r="I701" s="1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22.5" customHeight="1">
      <c r="A702" s="9">
        <v>700.0</v>
      </c>
      <c r="B702" s="42">
        <v>39.0</v>
      </c>
      <c r="C702" s="13" t="s">
        <v>8538</v>
      </c>
      <c r="D702" s="13" t="s">
        <v>8539</v>
      </c>
      <c r="E702" s="13" t="s">
        <v>8540</v>
      </c>
      <c r="F702" s="13" t="s">
        <v>6582</v>
      </c>
      <c r="G702" s="13" t="s">
        <v>8541</v>
      </c>
      <c r="H702" s="15"/>
      <c r="I702" s="1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22.5" customHeight="1">
      <c r="A703" s="9">
        <v>701.0</v>
      </c>
      <c r="B703" s="42">
        <v>39.0</v>
      </c>
      <c r="C703" s="13" t="s">
        <v>8542</v>
      </c>
      <c r="D703" s="13" t="s">
        <v>8543</v>
      </c>
      <c r="E703" s="13" t="s">
        <v>8544</v>
      </c>
      <c r="F703" s="13" t="s">
        <v>6679</v>
      </c>
      <c r="G703" s="13" t="s">
        <v>6680</v>
      </c>
      <c r="H703" s="15"/>
      <c r="I703" s="1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22.5" customHeight="1">
      <c r="A704" s="9">
        <v>702.0</v>
      </c>
      <c r="B704" s="42">
        <v>39.0</v>
      </c>
      <c r="C704" s="13" t="s">
        <v>8545</v>
      </c>
      <c r="D704" s="13" t="s">
        <v>8546</v>
      </c>
      <c r="E704" s="13" t="s">
        <v>8547</v>
      </c>
      <c r="F704" s="13" t="s">
        <v>6705</v>
      </c>
      <c r="G704" s="13" t="s">
        <v>6706</v>
      </c>
      <c r="H704" s="15"/>
      <c r="I704" s="1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22.5" customHeight="1">
      <c r="A705" s="9">
        <v>703.0</v>
      </c>
      <c r="B705" s="42">
        <v>38.0</v>
      </c>
      <c r="C705" s="13" t="s">
        <v>8548</v>
      </c>
      <c r="D705" s="13" t="s">
        <v>8549</v>
      </c>
      <c r="E705" s="13" t="s">
        <v>8550</v>
      </c>
      <c r="F705" s="13" t="s">
        <v>8551</v>
      </c>
      <c r="G705" s="13" t="s">
        <v>8552</v>
      </c>
      <c r="H705" s="14" t="s">
        <v>18</v>
      </c>
      <c r="I705" s="1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22.5" customHeight="1">
      <c r="A706" s="9">
        <v>704.0</v>
      </c>
      <c r="B706" s="42">
        <v>38.0</v>
      </c>
      <c r="C706" s="13" t="s">
        <v>8053</v>
      </c>
      <c r="D706" s="13" t="s">
        <v>8054</v>
      </c>
      <c r="E706" s="13" t="s">
        <v>6817</v>
      </c>
      <c r="F706" s="13" t="s">
        <v>6544</v>
      </c>
      <c r="G706" s="13" t="s">
        <v>8553</v>
      </c>
      <c r="H706" s="15"/>
      <c r="I706" s="1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22.5" customHeight="1">
      <c r="A707" s="9">
        <v>705.0</v>
      </c>
      <c r="B707" s="42">
        <v>38.0</v>
      </c>
      <c r="C707" s="13" t="s">
        <v>8082</v>
      </c>
      <c r="D707" s="13" t="s">
        <v>8083</v>
      </c>
      <c r="E707" s="13" t="s">
        <v>8084</v>
      </c>
      <c r="F707" s="13" t="s">
        <v>7227</v>
      </c>
      <c r="G707" s="13" t="s">
        <v>8554</v>
      </c>
      <c r="H707" s="15"/>
      <c r="I707" s="1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22.5" customHeight="1">
      <c r="A708" s="9">
        <v>706.0</v>
      </c>
      <c r="B708" s="42">
        <v>38.0</v>
      </c>
      <c r="C708" s="13" t="s">
        <v>8484</v>
      </c>
      <c r="D708" s="13" t="s">
        <v>8555</v>
      </c>
      <c r="E708" s="13" t="s">
        <v>8486</v>
      </c>
      <c r="F708" s="13" t="s">
        <v>7643</v>
      </c>
      <c r="G708" s="13" t="s">
        <v>8556</v>
      </c>
      <c r="H708" s="15"/>
      <c r="I708" s="1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22.5" customHeight="1">
      <c r="A709" s="9">
        <v>707.0</v>
      </c>
      <c r="B709" s="42">
        <v>38.0</v>
      </c>
      <c r="C709" s="13" t="s">
        <v>8557</v>
      </c>
      <c r="D709" s="13" t="s">
        <v>8524</v>
      </c>
      <c r="E709" s="13" t="s">
        <v>7911</v>
      </c>
      <c r="F709" s="13" t="s">
        <v>6664</v>
      </c>
      <c r="G709" s="13" t="s">
        <v>8558</v>
      </c>
      <c r="H709" s="15"/>
      <c r="I709" s="1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22.5" customHeight="1">
      <c r="A710" s="9">
        <v>708.0</v>
      </c>
      <c r="B710" s="42">
        <v>38.0</v>
      </c>
      <c r="C710" s="13" t="s">
        <v>8369</v>
      </c>
      <c r="D710" s="13" t="s">
        <v>8370</v>
      </c>
      <c r="E710" s="13" t="s">
        <v>8371</v>
      </c>
      <c r="F710" s="13" t="s">
        <v>7011</v>
      </c>
      <c r="G710" s="13" t="s">
        <v>8559</v>
      </c>
      <c r="H710" s="15"/>
      <c r="I710" s="1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22.5" customHeight="1">
      <c r="A711" s="9">
        <v>709.0</v>
      </c>
      <c r="B711" s="42">
        <v>38.0</v>
      </c>
      <c r="C711" s="13" t="s">
        <v>8560</v>
      </c>
      <c r="D711" s="13" t="s">
        <v>8561</v>
      </c>
      <c r="E711" s="13" t="s">
        <v>8562</v>
      </c>
      <c r="F711" s="13" t="s">
        <v>6710</v>
      </c>
      <c r="G711" s="13" t="s">
        <v>7244</v>
      </c>
      <c r="H711" s="15"/>
      <c r="I711" s="1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22.5" customHeight="1">
      <c r="A712" s="9">
        <v>710.0</v>
      </c>
      <c r="B712" s="42">
        <v>38.0</v>
      </c>
      <c r="C712" s="13" t="s">
        <v>8563</v>
      </c>
      <c r="D712" s="13" t="s">
        <v>8564</v>
      </c>
      <c r="E712" s="13" t="s">
        <v>8565</v>
      </c>
      <c r="F712" s="13" t="s">
        <v>7597</v>
      </c>
      <c r="G712" s="13" t="s">
        <v>8566</v>
      </c>
      <c r="H712" s="15"/>
      <c r="I712" s="1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22.5" customHeight="1">
      <c r="A713" s="9">
        <v>711.0</v>
      </c>
      <c r="B713" s="42">
        <v>38.0</v>
      </c>
      <c r="C713" s="13" t="s">
        <v>8567</v>
      </c>
      <c r="D713" s="13" t="s">
        <v>8568</v>
      </c>
      <c r="E713" s="13" t="s">
        <v>8569</v>
      </c>
      <c r="F713" s="13" t="s">
        <v>7648</v>
      </c>
      <c r="G713" s="13" t="s">
        <v>8570</v>
      </c>
      <c r="H713" s="15"/>
      <c r="I713" s="1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22.5" customHeight="1">
      <c r="A714" s="9">
        <v>712.0</v>
      </c>
      <c r="B714" s="42">
        <v>38.0</v>
      </c>
      <c r="C714" s="13" t="s">
        <v>8571</v>
      </c>
      <c r="D714" s="13" t="s">
        <v>8572</v>
      </c>
      <c r="E714" s="13" t="s">
        <v>8573</v>
      </c>
      <c r="F714" s="13" t="s">
        <v>8574</v>
      </c>
      <c r="G714" s="13" t="s">
        <v>8575</v>
      </c>
      <c r="H714" s="15"/>
      <c r="I714" s="1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22.5" customHeight="1">
      <c r="A715" s="9">
        <v>713.0</v>
      </c>
      <c r="B715" s="42">
        <v>38.0</v>
      </c>
      <c r="C715" s="13" t="s">
        <v>8576</v>
      </c>
      <c r="D715" s="13" t="s">
        <v>8577</v>
      </c>
      <c r="E715" s="13" t="s">
        <v>7114</v>
      </c>
      <c r="F715" s="13" t="s">
        <v>7246</v>
      </c>
      <c r="G715" s="13" t="s">
        <v>7247</v>
      </c>
      <c r="H715" s="15"/>
      <c r="I715" s="1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22.5" customHeight="1">
      <c r="A716" s="9">
        <v>714.0</v>
      </c>
      <c r="B716" s="42">
        <v>38.0</v>
      </c>
      <c r="C716" s="13" t="s">
        <v>8578</v>
      </c>
      <c r="D716" s="13" t="s">
        <v>8579</v>
      </c>
      <c r="E716" s="13" t="s">
        <v>7231</v>
      </c>
      <c r="F716" s="13" t="s">
        <v>7763</v>
      </c>
      <c r="G716" s="13" t="s">
        <v>7764</v>
      </c>
      <c r="H716" s="15"/>
      <c r="I716" s="1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22.5" customHeight="1">
      <c r="A717" s="9">
        <v>715.0</v>
      </c>
      <c r="B717" s="42">
        <v>37.0</v>
      </c>
      <c r="C717" s="13" t="s">
        <v>8438</v>
      </c>
      <c r="D717" s="13" t="s">
        <v>8580</v>
      </c>
      <c r="E717" s="13" t="s">
        <v>8440</v>
      </c>
      <c r="F717" s="13" t="s">
        <v>6482</v>
      </c>
      <c r="G717" s="13" t="s">
        <v>8441</v>
      </c>
      <c r="H717" s="15"/>
      <c r="I717" s="1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22.5" customHeight="1">
      <c r="A718" s="9">
        <v>716.0</v>
      </c>
      <c r="B718" s="42">
        <v>37.0</v>
      </c>
      <c r="C718" s="13" t="s">
        <v>8581</v>
      </c>
      <c r="D718" s="13" t="s">
        <v>8582</v>
      </c>
      <c r="E718" s="13" t="s">
        <v>8583</v>
      </c>
      <c r="F718" s="13" t="s">
        <v>7199</v>
      </c>
      <c r="G718" s="13" t="s">
        <v>7615</v>
      </c>
      <c r="H718" s="15"/>
      <c r="I718" s="1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22.5" customHeight="1">
      <c r="A719" s="9">
        <v>717.0</v>
      </c>
      <c r="B719" s="42">
        <v>37.0</v>
      </c>
      <c r="C719" s="13" t="s">
        <v>8584</v>
      </c>
      <c r="D719" s="13" t="s">
        <v>8585</v>
      </c>
      <c r="E719" s="13" t="s">
        <v>8586</v>
      </c>
      <c r="F719" s="13" t="s">
        <v>8587</v>
      </c>
      <c r="G719" s="13" t="s">
        <v>8588</v>
      </c>
      <c r="H719" s="14" t="s">
        <v>18</v>
      </c>
      <c r="I719" s="1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22.5" customHeight="1">
      <c r="A720" s="9">
        <v>718.0</v>
      </c>
      <c r="B720" s="42">
        <v>37.0</v>
      </c>
      <c r="C720" s="13" t="s">
        <v>8589</v>
      </c>
      <c r="D720" s="13" t="s">
        <v>8590</v>
      </c>
      <c r="E720" s="13" t="s">
        <v>8591</v>
      </c>
      <c r="F720" s="13" t="s">
        <v>6644</v>
      </c>
      <c r="G720" s="13" t="s">
        <v>7056</v>
      </c>
      <c r="H720" s="15"/>
      <c r="I720" s="1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22.5" customHeight="1">
      <c r="A721" s="9">
        <v>719.0</v>
      </c>
      <c r="B721" s="42">
        <v>37.0</v>
      </c>
      <c r="C721" s="13" t="s">
        <v>8592</v>
      </c>
      <c r="D721" s="13" t="s">
        <v>8593</v>
      </c>
      <c r="E721" s="13" t="s">
        <v>8594</v>
      </c>
      <c r="F721" s="13" t="s">
        <v>8595</v>
      </c>
      <c r="G721" s="13" t="s">
        <v>8596</v>
      </c>
      <c r="H721" s="15"/>
      <c r="I721" s="1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22.5" customHeight="1">
      <c r="A722" s="9">
        <v>720.0</v>
      </c>
      <c r="B722" s="42">
        <v>37.0</v>
      </c>
      <c r="C722" s="13" t="s">
        <v>8597</v>
      </c>
      <c r="D722" s="13" t="s">
        <v>8598</v>
      </c>
      <c r="E722" s="13" t="s">
        <v>8599</v>
      </c>
      <c r="F722" s="13" t="s">
        <v>8600</v>
      </c>
      <c r="G722" s="13" t="s">
        <v>8601</v>
      </c>
      <c r="H722" s="15"/>
      <c r="I722" s="1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22.5" customHeight="1">
      <c r="A723" s="9">
        <v>721.0</v>
      </c>
      <c r="B723" s="42">
        <v>37.0</v>
      </c>
      <c r="C723" s="13" t="s">
        <v>8602</v>
      </c>
      <c r="D723" s="13" t="s">
        <v>8603</v>
      </c>
      <c r="E723" s="13" t="s">
        <v>8604</v>
      </c>
      <c r="F723" s="13" t="s">
        <v>6500</v>
      </c>
      <c r="G723" s="13" t="s">
        <v>8605</v>
      </c>
      <c r="H723" s="15"/>
      <c r="I723" s="1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22.5" customHeight="1">
      <c r="A724" s="9">
        <v>722.0</v>
      </c>
      <c r="B724" s="42">
        <v>37.0</v>
      </c>
      <c r="C724" s="13" t="s">
        <v>8606</v>
      </c>
      <c r="D724" s="13" t="s">
        <v>8607</v>
      </c>
      <c r="E724" s="13" t="s">
        <v>8608</v>
      </c>
      <c r="F724" s="13" t="s">
        <v>6492</v>
      </c>
      <c r="G724" s="13" t="s">
        <v>8609</v>
      </c>
      <c r="H724" s="15"/>
      <c r="I724" s="1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22.5" customHeight="1">
      <c r="A725" s="9">
        <v>723.0</v>
      </c>
      <c r="B725" s="42">
        <v>37.0</v>
      </c>
      <c r="C725" s="13" t="s">
        <v>8610</v>
      </c>
      <c r="D725" s="13" t="s">
        <v>8611</v>
      </c>
      <c r="E725" s="13" t="s">
        <v>8612</v>
      </c>
      <c r="F725" s="13" t="s">
        <v>7590</v>
      </c>
      <c r="G725" s="13" t="s">
        <v>8613</v>
      </c>
      <c r="H725" s="15"/>
      <c r="I725" s="1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22.5" customHeight="1">
      <c r="A726" s="9">
        <v>724.0</v>
      </c>
      <c r="B726" s="42">
        <v>37.0</v>
      </c>
      <c r="C726" s="13" t="s">
        <v>8614</v>
      </c>
      <c r="D726" s="13" t="s">
        <v>8615</v>
      </c>
      <c r="E726" s="13" t="s">
        <v>8616</v>
      </c>
      <c r="F726" s="13" t="s">
        <v>6948</v>
      </c>
      <c r="G726" s="13" t="s">
        <v>8617</v>
      </c>
      <c r="H726" s="15"/>
      <c r="I726" s="1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22.5" customHeight="1">
      <c r="A727" s="9">
        <v>725.0</v>
      </c>
      <c r="B727" s="42">
        <v>36.0</v>
      </c>
      <c r="C727" s="13" t="s">
        <v>8513</v>
      </c>
      <c r="D727" s="13" t="s">
        <v>8514</v>
      </c>
      <c r="E727" s="13" t="s">
        <v>8515</v>
      </c>
      <c r="F727" s="13" t="s">
        <v>7669</v>
      </c>
      <c r="G727" s="13" t="s">
        <v>8618</v>
      </c>
      <c r="H727" s="15"/>
      <c r="I727" s="1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22.5" customHeight="1">
      <c r="A728" s="9">
        <v>726.0</v>
      </c>
      <c r="B728" s="42">
        <v>36.0</v>
      </c>
      <c r="C728" s="13" t="s">
        <v>8619</v>
      </c>
      <c r="D728" s="13" t="s">
        <v>8359</v>
      </c>
      <c r="E728" s="13" t="s">
        <v>8360</v>
      </c>
      <c r="F728" s="13" t="s">
        <v>8620</v>
      </c>
      <c r="G728" s="13" t="s">
        <v>7293</v>
      </c>
      <c r="H728" s="15"/>
      <c r="I728" s="1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22.5" customHeight="1">
      <c r="A729" s="9">
        <v>727.0</v>
      </c>
      <c r="B729" s="42">
        <v>36.0</v>
      </c>
      <c r="C729" s="13" t="s">
        <v>8621</v>
      </c>
      <c r="D729" s="13" t="s">
        <v>8622</v>
      </c>
      <c r="E729" s="13" t="s">
        <v>8623</v>
      </c>
      <c r="F729" s="13" t="s">
        <v>7051</v>
      </c>
      <c r="G729" s="13" t="s">
        <v>8624</v>
      </c>
      <c r="H729" s="15"/>
      <c r="I729" s="1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22.5" customHeight="1">
      <c r="A730" s="9">
        <v>728.0</v>
      </c>
      <c r="B730" s="42">
        <v>36.0</v>
      </c>
      <c r="C730" s="13" t="s">
        <v>8625</v>
      </c>
      <c r="D730" s="13" t="s">
        <v>8626</v>
      </c>
      <c r="E730" s="13" t="s">
        <v>8627</v>
      </c>
      <c r="F730" s="13" t="s">
        <v>7673</v>
      </c>
      <c r="G730" s="13" t="s">
        <v>7407</v>
      </c>
      <c r="H730" s="15"/>
      <c r="I730" s="1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22.5" customHeight="1">
      <c r="A731" s="9">
        <v>729.0</v>
      </c>
      <c r="B731" s="42">
        <v>36.0</v>
      </c>
      <c r="C731" s="13" t="s">
        <v>8628</v>
      </c>
      <c r="D731" s="13" t="s">
        <v>3905</v>
      </c>
      <c r="E731" s="13" t="s">
        <v>3906</v>
      </c>
      <c r="F731" s="13" t="s">
        <v>3907</v>
      </c>
      <c r="G731" s="13" t="s">
        <v>8629</v>
      </c>
      <c r="H731" s="15"/>
      <c r="I731" s="1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22.5" customHeight="1">
      <c r="A732" s="9">
        <v>730.0</v>
      </c>
      <c r="B732" s="42">
        <v>36.0</v>
      </c>
      <c r="C732" s="13" t="s">
        <v>8630</v>
      </c>
      <c r="D732" s="13" t="s">
        <v>6303</v>
      </c>
      <c r="E732" s="13" t="s">
        <v>8631</v>
      </c>
      <c r="F732" s="13" t="s">
        <v>7350</v>
      </c>
      <c r="G732" s="13" t="s">
        <v>8632</v>
      </c>
      <c r="H732" s="15"/>
      <c r="I732" s="1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22.5" customHeight="1">
      <c r="A733" s="9">
        <v>731.0</v>
      </c>
      <c r="B733" s="42">
        <v>36.0</v>
      </c>
      <c r="C733" s="13" t="s">
        <v>8563</v>
      </c>
      <c r="D733" s="13" t="s">
        <v>8564</v>
      </c>
      <c r="E733" s="13" t="s">
        <v>8565</v>
      </c>
      <c r="F733" s="13" t="s">
        <v>7597</v>
      </c>
      <c r="G733" s="13" t="s">
        <v>8633</v>
      </c>
      <c r="H733" s="15"/>
      <c r="I733" s="1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22.5" customHeight="1">
      <c r="A734" s="9">
        <v>732.0</v>
      </c>
      <c r="B734" s="42">
        <v>36.0</v>
      </c>
      <c r="C734" s="13" t="s">
        <v>7932</v>
      </c>
      <c r="D734" s="13" t="s">
        <v>7933</v>
      </c>
      <c r="E734" s="13" t="s">
        <v>7934</v>
      </c>
      <c r="F734" s="13" t="s">
        <v>6524</v>
      </c>
      <c r="G734" s="13" t="s">
        <v>8634</v>
      </c>
      <c r="H734" s="15"/>
      <c r="I734" s="1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22.5" customHeight="1">
      <c r="A735" s="9">
        <v>733.0</v>
      </c>
      <c r="B735" s="42">
        <v>36.0</v>
      </c>
      <c r="C735" s="13" t="s">
        <v>8134</v>
      </c>
      <c r="D735" s="13" t="s">
        <v>8135</v>
      </c>
      <c r="E735" s="13" t="s">
        <v>8136</v>
      </c>
      <c r="F735" s="13" t="s">
        <v>6607</v>
      </c>
      <c r="G735" s="13" t="s">
        <v>8635</v>
      </c>
      <c r="H735" s="15"/>
      <c r="I735" s="1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22.5" customHeight="1">
      <c r="A736" s="9">
        <v>734.0</v>
      </c>
      <c r="B736" s="42">
        <v>36.0</v>
      </c>
      <c r="C736" s="13" t="s">
        <v>8636</v>
      </c>
      <c r="D736" s="13" t="s">
        <v>8637</v>
      </c>
      <c r="E736" s="13" t="s">
        <v>8638</v>
      </c>
      <c r="F736" s="13" t="s">
        <v>6833</v>
      </c>
      <c r="G736" s="13" t="s">
        <v>8639</v>
      </c>
      <c r="H736" s="15"/>
      <c r="I736" s="1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22.5" customHeight="1">
      <c r="A737" s="9">
        <v>735.0</v>
      </c>
      <c r="B737" s="42">
        <v>35.0</v>
      </c>
      <c r="C737" s="21" t="s">
        <v>8640</v>
      </c>
      <c r="D737" s="21" t="s">
        <v>8641</v>
      </c>
      <c r="E737" s="21" t="s">
        <v>8642</v>
      </c>
      <c r="F737" s="21" t="s">
        <v>8643</v>
      </c>
      <c r="G737" s="21" t="s">
        <v>8644</v>
      </c>
      <c r="H737" s="15"/>
      <c r="I737" s="1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22.5" customHeight="1">
      <c r="A738" s="9">
        <v>736.0</v>
      </c>
      <c r="B738" s="42">
        <v>35.0</v>
      </c>
      <c r="C738" s="21" t="s">
        <v>8645</v>
      </c>
      <c r="D738" s="21" t="s">
        <v>8646</v>
      </c>
      <c r="E738" s="21" t="s">
        <v>8647</v>
      </c>
      <c r="F738" s="21" t="s">
        <v>6890</v>
      </c>
      <c r="G738" s="21" t="s">
        <v>8648</v>
      </c>
      <c r="H738" s="15"/>
      <c r="I738" s="1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22.5" customHeight="1">
      <c r="A739" s="9">
        <v>737.0</v>
      </c>
      <c r="B739" s="42">
        <v>35.0</v>
      </c>
      <c r="C739" s="21" t="s">
        <v>8649</v>
      </c>
      <c r="D739" s="21" t="s">
        <v>8650</v>
      </c>
      <c r="E739" s="21" t="s">
        <v>8651</v>
      </c>
      <c r="F739" s="21" t="s">
        <v>8652</v>
      </c>
      <c r="G739" s="21" t="s">
        <v>8653</v>
      </c>
      <c r="H739" s="14" t="s">
        <v>18</v>
      </c>
      <c r="I739" s="1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22.5" customHeight="1">
      <c r="A740" s="9">
        <v>738.0</v>
      </c>
      <c r="B740" s="42">
        <v>35.0</v>
      </c>
      <c r="C740" s="21" t="s">
        <v>8654</v>
      </c>
      <c r="D740" s="21" t="s">
        <v>8655</v>
      </c>
      <c r="E740" s="21" t="s">
        <v>8656</v>
      </c>
      <c r="F740" s="21" t="s">
        <v>8657</v>
      </c>
      <c r="G740" s="21" t="s">
        <v>8658</v>
      </c>
      <c r="H740" s="15"/>
      <c r="I740" s="1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22.5" customHeight="1">
      <c r="A741" s="9">
        <v>739.0</v>
      </c>
      <c r="B741" s="42">
        <v>35.0</v>
      </c>
      <c r="C741" s="21" t="s">
        <v>8659</v>
      </c>
      <c r="D741" s="21" t="s">
        <v>8660</v>
      </c>
      <c r="E741" s="21" t="s">
        <v>8661</v>
      </c>
      <c r="F741" s="21" t="s">
        <v>8662</v>
      </c>
      <c r="G741" s="21" t="s">
        <v>8663</v>
      </c>
      <c r="H741" s="15"/>
      <c r="I741" s="1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22.5" customHeight="1">
      <c r="A742" s="9">
        <v>740.0</v>
      </c>
      <c r="B742" s="42">
        <v>35.0</v>
      </c>
      <c r="C742" s="21" t="s">
        <v>8664</v>
      </c>
      <c r="D742" s="21" t="s">
        <v>8665</v>
      </c>
      <c r="E742" s="21" t="s">
        <v>8666</v>
      </c>
      <c r="F742" s="21" t="s">
        <v>8667</v>
      </c>
      <c r="G742" s="21" t="s">
        <v>8668</v>
      </c>
      <c r="H742" s="14" t="s">
        <v>18</v>
      </c>
      <c r="I742" s="1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22.5" customHeight="1">
      <c r="A743" s="9">
        <v>741.0</v>
      </c>
      <c r="B743" s="42">
        <v>35.0</v>
      </c>
      <c r="C743" s="21" t="s">
        <v>8669</v>
      </c>
      <c r="D743" s="21" t="s">
        <v>8670</v>
      </c>
      <c r="E743" s="21" t="s">
        <v>8671</v>
      </c>
      <c r="F743" s="21" t="s">
        <v>8672</v>
      </c>
      <c r="G743" s="21" t="s">
        <v>8673</v>
      </c>
      <c r="H743" s="15"/>
      <c r="I743" s="1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22.5" customHeight="1">
      <c r="A744" s="9">
        <v>742.0</v>
      </c>
      <c r="B744" s="42">
        <v>35.0</v>
      </c>
      <c r="C744" s="21" t="s">
        <v>8674</v>
      </c>
      <c r="D744" s="21" t="s">
        <v>7918</v>
      </c>
      <c r="E744" s="21" t="s">
        <v>7919</v>
      </c>
      <c r="F744" s="21" t="s">
        <v>8230</v>
      </c>
      <c r="G744" s="21" t="s">
        <v>8675</v>
      </c>
      <c r="H744" s="15"/>
      <c r="I744" s="1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22.5" customHeight="1">
      <c r="A745" s="9">
        <v>743.0</v>
      </c>
      <c r="B745" s="42">
        <v>35.0</v>
      </c>
      <c r="C745" s="21" t="s">
        <v>8676</v>
      </c>
      <c r="D745" s="21" t="s">
        <v>8677</v>
      </c>
      <c r="E745" s="21" t="s">
        <v>8678</v>
      </c>
      <c r="F745" s="21" t="s">
        <v>6559</v>
      </c>
      <c r="G745" s="21" t="s">
        <v>8679</v>
      </c>
      <c r="H745" s="15"/>
      <c r="I745" s="1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22.5" customHeight="1">
      <c r="A746" s="9">
        <v>744.0</v>
      </c>
      <c r="B746" s="42">
        <v>35.0</v>
      </c>
      <c r="C746" s="21" t="s">
        <v>8680</v>
      </c>
      <c r="D746" s="21" t="s">
        <v>8681</v>
      </c>
      <c r="E746" s="21" t="s">
        <v>8682</v>
      </c>
      <c r="F746" s="21" t="s">
        <v>8683</v>
      </c>
      <c r="G746" s="21" t="s">
        <v>8684</v>
      </c>
      <c r="H746" s="15"/>
      <c r="I746" s="1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22.5" customHeight="1">
      <c r="A747" s="13">
        <v>745.0</v>
      </c>
      <c r="B747" s="12">
        <v>112.0</v>
      </c>
      <c r="C747" s="13" t="s">
        <v>7744</v>
      </c>
      <c r="D747" s="13" t="s">
        <v>7745</v>
      </c>
      <c r="E747" s="13" t="s">
        <v>7746</v>
      </c>
      <c r="F747" s="13" t="s">
        <v>7747</v>
      </c>
      <c r="G747" s="13" t="s">
        <v>8685</v>
      </c>
      <c r="H747" s="13"/>
      <c r="I747" s="13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22.5" customHeight="1">
      <c r="A748" s="13">
        <v>746.0</v>
      </c>
      <c r="B748" s="12">
        <v>112.0</v>
      </c>
      <c r="C748" s="13" t="s">
        <v>8686</v>
      </c>
      <c r="D748" s="13" t="s">
        <v>155</v>
      </c>
      <c r="E748" s="13" t="s">
        <v>8687</v>
      </c>
      <c r="F748" s="13" t="s">
        <v>6972</v>
      </c>
      <c r="G748" s="13" t="s">
        <v>8688</v>
      </c>
      <c r="H748" s="13"/>
      <c r="I748" s="13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22.5" customHeight="1">
      <c r="A749" s="13">
        <v>747.0</v>
      </c>
      <c r="B749" s="12">
        <v>112.0</v>
      </c>
      <c r="C749" s="13" t="s">
        <v>8689</v>
      </c>
      <c r="D749" s="13" t="s">
        <v>6647</v>
      </c>
      <c r="E749" s="13" t="s">
        <v>6648</v>
      </c>
      <c r="F749" s="13" t="s">
        <v>8690</v>
      </c>
      <c r="G749" s="13" t="s">
        <v>8691</v>
      </c>
      <c r="H749" s="13"/>
      <c r="I749" s="13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22.5" customHeight="1">
      <c r="A750" s="13">
        <v>748.0</v>
      </c>
      <c r="B750" s="12">
        <v>112.0</v>
      </c>
      <c r="C750" s="13" t="s">
        <v>8692</v>
      </c>
      <c r="D750" s="13" t="s">
        <v>1110</v>
      </c>
      <c r="E750" s="13" t="s">
        <v>1111</v>
      </c>
      <c r="F750" s="13" t="s">
        <v>8693</v>
      </c>
      <c r="G750" s="13" t="s">
        <v>8694</v>
      </c>
      <c r="H750" s="13"/>
      <c r="I750" s="13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22.5" customHeight="1">
      <c r="A751" s="13">
        <v>749.0</v>
      </c>
      <c r="B751" s="12">
        <v>112.0</v>
      </c>
      <c r="C751" s="13" t="s">
        <v>8695</v>
      </c>
      <c r="D751" s="13" t="s">
        <v>8696</v>
      </c>
      <c r="E751" s="13" t="s">
        <v>8697</v>
      </c>
      <c r="F751" s="13" t="s">
        <v>8698</v>
      </c>
      <c r="G751" s="13" t="s">
        <v>8699</v>
      </c>
      <c r="H751" s="13"/>
      <c r="I751" s="13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22.5" customHeight="1">
      <c r="A752" s="13">
        <v>750.0</v>
      </c>
      <c r="B752" s="12">
        <v>112.0</v>
      </c>
      <c r="C752" s="13" t="s">
        <v>8289</v>
      </c>
      <c r="D752" s="13" t="s">
        <v>829</v>
      </c>
      <c r="E752" s="13" t="s">
        <v>830</v>
      </c>
      <c r="F752" s="13" t="s">
        <v>6688</v>
      </c>
      <c r="G752" s="13" t="s">
        <v>8700</v>
      </c>
      <c r="H752" s="13"/>
      <c r="I752" s="13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22.5" customHeight="1">
      <c r="A753" s="13">
        <v>751.0</v>
      </c>
      <c r="B753" s="12">
        <v>112.0</v>
      </c>
      <c r="C753" s="13" t="s">
        <v>8701</v>
      </c>
      <c r="D753" s="13" t="s">
        <v>814</v>
      </c>
      <c r="E753" s="13" t="s">
        <v>815</v>
      </c>
      <c r="F753" s="13" t="s">
        <v>7673</v>
      </c>
      <c r="G753" s="13" t="s">
        <v>8702</v>
      </c>
      <c r="H753" s="13"/>
      <c r="I753" s="13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22.5" customHeight="1">
      <c r="A754" s="13">
        <v>752.0</v>
      </c>
      <c r="B754" s="12">
        <v>112.0</v>
      </c>
      <c r="C754" s="13" t="s">
        <v>6494</v>
      </c>
      <c r="D754" s="13" t="s">
        <v>6495</v>
      </c>
      <c r="E754" s="13" t="s">
        <v>6496</v>
      </c>
      <c r="F754" s="13" t="s">
        <v>6497</v>
      </c>
      <c r="G754" s="13" t="s">
        <v>8703</v>
      </c>
      <c r="H754" s="13"/>
      <c r="I754" s="13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22.5" customHeight="1">
      <c r="A755" s="13">
        <v>753.0</v>
      </c>
      <c r="B755" s="12">
        <v>112.0</v>
      </c>
      <c r="C755" s="13" t="s">
        <v>6531</v>
      </c>
      <c r="D755" s="13" t="s">
        <v>6532</v>
      </c>
      <c r="E755" s="13" t="s">
        <v>6533</v>
      </c>
      <c r="F755" s="13" t="s">
        <v>6534</v>
      </c>
      <c r="G755" s="13" t="s">
        <v>8704</v>
      </c>
      <c r="H755" s="13"/>
      <c r="I755" s="13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22.5" customHeight="1">
      <c r="A756" s="13">
        <v>754.0</v>
      </c>
      <c r="B756" s="12">
        <v>112.0</v>
      </c>
      <c r="C756" s="13" t="s">
        <v>8705</v>
      </c>
      <c r="D756" s="13" t="s">
        <v>6652</v>
      </c>
      <c r="E756" s="13" t="s">
        <v>6653</v>
      </c>
      <c r="F756" s="13" t="s">
        <v>6654</v>
      </c>
      <c r="G756" s="13" t="s">
        <v>8706</v>
      </c>
      <c r="H756" s="13"/>
      <c r="I756" s="13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</sheetData>
  <dataValidations>
    <dataValidation type="custom" allowBlank="1" showDropDown="1" sqref="B3:B756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4" width="14.63"/>
    <col customWidth="1" min="5" max="5" width="31.88"/>
  </cols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22.5" customHeight="1">
      <c r="A2" s="8" t="s">
        <v>6</v>
      </c>
      <c r="B2" s="9" t="s">
        <v>7</v>
      </c>
      <c r="C2" s="8" t="s">
        <v>8</v>
      </c>
      <c r="D2" s="8" t="s">
        <v>1160</v>
      </c>
      <c r="E2" s="10" t="s">
        <v>8707</v>
      </c>
      <c r="F2" s="10" t="s">
        <v>12</v>
      </c>
      <c r="G2" s="10" t="s">
        <v>13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22.5" customHeight="1">
      <c r="A3" s="17">
        <v>1.0</v>
      </c>
      <c r="B3" s="16">
        <v>109.0</v>
      </c>
      <c r="C3" s="17" t="s">
        <v>8708</v>
      </c>
      <c r="D3" s="47" t="s">
        <v>8709</v>
      </c>
      <c r="E3" s="48" t="s">
        <v>8710</v>
      </c>
      <c r="F3" s="49" t="s">
        <v>18</v>
      </c>
      <c r="G3" s="14" t="s">
        <v>18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22.5" customHeight="1">
      <c r="A4" s="17">
        <v>2.0</v>
      </c>
      <c r="B4" s="16">
        <v>109.0</v>
      </c>
      <c r="C4" s="17" t="s">
        <v>4423</v>
      </c>
      <c r="D4" s="50" t="s">
        <v>4422</v>
      </c>
      <c r="E4" s="48" t="s">
        <v>8711</v>
      </c>
      <c r="F4" s="51"/>
      <c r="G4" s="51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22.5" customHeight="1">
      <c r="A5" s="17">
        <v>3.0</v>
      </c>
      <c r="B5" s="16">
        <v>109.0</v>
      </c>
      <c r="C5" s="17" t="s">
        <v>8712</v>
      </c>
      <c r="D5" s="52" t="s">
        <v>8713</v>
      </c>
      <c r="E5" s="9" t="s">
        <v>8714</v>
      </c>
      <c r="F5" s="49" t="s">
        <v>18</v>
      </c>
      <c r="G5" s="14" t="s">
        <v>18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22.5" customHeight="1">
      <c r="A6" s="17">
        <v>4.0</v>
      </c>
      <c r="B6" s="16">
        <v>109.0</v>
      </c>
      <c r="C6" s="17" t="s">
        <v>8715</v>
      </c>
      <c r="D6" s="50" t="s">
        <v>8716</v>
      </c>
      <c r="E6" s="48" t="s">
        <v>8717</v>
      </c>
      <c r="F6" s="51"/>
      <c r="G6" s="51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22.5" customHeight="1">
      <c r="A7" s="17">
        <v>5.0</v>
      </c>
      <c r="B7" s="16">
        <v>109.0</v>
      </c>
      <c r="C7" s="17" t="s">
        <v>8718</v>
      </c>
      <c r="D7" s="52" t="s">
        <v>8719</v>
      </c>
      <c r="E7" s="48" t="s">
        <v>8720</v>
      </c>
      <c r="F7" s="51"/>
      <c r="G7" s="51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22.5" customHeight="1">
      <c r="A8" s="17">
        <v>6.0</v>
      </c>
      <c r="B8" s="16">
        <v>109.0</v>
      </c>
      <c r="C8" s="17" t="s">
        <v>8721</v>
      </c>
      <c r="D8" s="50" t="s">
        <v>8722</v>
      </c>
      <c r="E8" s="48" t="s">
        <v>8723</v>
      </c>
      <c r="F8" s="49" t="s">
        <v>18</v>
      </c>
      <c r="G8" s="51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22.5" customHeight="1">
      <c r="A9" s="17">
        <v>7.0</v>
      </c>
      <c r="B9" s="16">
        <v>109.0</v>
      </c>
      <c r="C9" s="17" t="s">
        <v>8724</v>
      </c>
      <c r="D9" s="52" t="s">
        <v>8725</v>
      </c>
      <c r="E9" s="48" t="s">
        <v>8726</v>
      </c>
      <c r="F9" s="51"/>
      <c r="G9" s="51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22.5" customHeight="1">
      <c r="A10" s="17">
        <v>8.0</v>
      </c>
      <c r="B10" s="16">
        <v>109.0</v>
      </c>
      <c r="C10" s="17" t="s">
        <v>6379</v>
      </c>
      <c r="D10" s="50" t="s">
        <v>6378</v>
      </c>
      <c r="E10" s="48" t="s">
        <v>8727</v>
      </c>
      <c r="F10" s="49" t="s">
        <v>18</v>
      </c>
      <c r="G10" s="51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22.5" customHeight="1">
      <c r="A11" s="17">
        <v>9.0</v>
      </c>
      <c r="B11" s="16">
        <v>109.0</v>
      </c>
      <c r="C11" s="17" t="s">
        <v>4707</v>
      </c>
      <c r="D11" s="52" t="s">
        <v>4706</v>
      </c>
      <c r="E11" s="48" t="s">
        <v>8728</v>
      </c>
      <c r="F11" s="51"/>
      <c r="G11" s="51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22.5" customHeight="1">
      <c r="A12" s="17">
        <v>10.0</v>
      </c>
      <c r="B12" s="16">
        <v>109.0</v>
      </c>
      <c r="C12" s="17" t="s">
        <v>5556</v>
      </c>
      <c r="D12" s="50" t="s">
        <v>5555</v>
      </c>
      <c r="E12" s="48" t="s">
        <v>8729</v>
      </c>
      <c r="F12" s="49" t="s">
        <v>18</v>
      </c>
      <c r="G12" s="51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22.5" customHeight="1">
      <c r="A13" s="17">
        <v>11.0</v>
      </c>
      <c r="B13" s="16">
        <v>109.0</v>
      </c>
      <c r="C13" s="17" t="s">
        <v>8730</v>
      </c>
      <c r="D13" s="52" t="s">
        <v>8731</v>
      </c>
      <c r="E13" s="48" t="s">
        <v>8732</v>
      </c>
      <c r="F13" s="49" t="s">
        <v>18</v>
      </c>
      <c r="G13" s="51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22.5" customHeight="1">
      <c r="A14" s="17">
        <v>12.0</v>
      </c>
      <c r="B14" s="16">
        <v>109.0</v>
      </c>
      <c r="C14" s="17" t="s">
        <v>8733</v>
      </c>
      <c r="D14" s="50" t="s">
        <v>8734</v>
      </c>
      <c r="E14" s="48" t="s">
        <v>8735</v>
      </c>
      <c r="F14" s="49" t="s">
        <v>18</v>
      </c>
      <c r="G14" s="51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22.5" customHeight="1">
      <c r="A15" s="17">
        <v>13.0</v>
      </c>
      <c r="B15" s="16">
        <v>109.0</v>
      </c>
      <c r="C15" s="17" t="s">
        <v>8736</v>
      </c>
      <c r="D15" s="52" t="s">
        <v>8737</v>
      </c>
      <c r="E15" s="48" t="s">
        <v>8738</v>
      </c>
      <c r="F15" s="51"/>
      <c r="G15" s="51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22.5" customHeight="1">
      <c r="A16" s="17">
        <v>14.0</v>
      </c>
      <c r="B16" s="16">
        <v>109.0</v>
      </c>
      <c r="C16" s="17" t="s">
        <v>8739</v>
      </c>
      <c r="D16" s="50" t="s">
        <v>8740</v>
      </c>
      <c r="E16" s="48" t="s">
        <v>8741</v>
      </c>
      <c r="F16" s="49" t="s">
        <v>18</v>
      </c>
      <c r="G16" s="51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22.5" customHeight="1">
      <c r="A17" s="17">
        <v>15.0</v>
      </c>
      <c r="B17" s="16">
        <v>109.0</v>
      </c>
      <c r="C17" s="17" t="s">
        <v>8742</v>
      </c>
      <c r="D17" s="52" t="s">
        <v>1619</v>
      </c>
      <c r="E17" s="48" t="s">
        <v>8743</v>
      </c>
      <c r="F17" s="49" t="s">
        <v>18</v>
      </c>
      <c r="G17" s="51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22.5" customHeight="1">
      <c r="A18" s="17">
        <v>16.0</v>
      </c>
      <c r="B18" s="16">
        <v>109.0</v>
      </c>
      <c r="C18" s="17" t="s">
        <v>8744</v>
      </c>
      <c r="D18" s="50" t="s">
        <v>8745</v>
      </c>
      <c r="E18" s="48" t="s">
        <v>8746</v>
      </c>
      <c r="F18" s="49" t="s">
        <v>18</v>
      </c>
      <c r="G18" s="51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22.5" customHeight="1">
      <c r="A19" s="17">
        <v>17.0</v>
      </c>
      <c r="B19" s="16">
        <v>109.0</v>
      </c>
      <c r="C19" s="17" t="s">
        <v>8747</v>
      </c>
      <c r="D19" s="52" t="s">
        <v>8748</v>
      </c>
      <c r="E19" s="48" t="s">
        <v>8749</v>
      </c>
      <c r="F19" s="51"/>
      <c r="G19" s="51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22.5" customHeight="1">
      <c r="A20" s="17">
        <v>18.0</v>
      </c>
      <c r="B20" s="16">
        <v>109.0</v>
      </c>
      <c r="C20" s="17" t="s">
        <v>4827</v>
      </c>
      <c r="D20" s="50" t="s">
        <v>8750</v>
      </c>
      <c r="E20" s="48" t="s">
        <v>8751</v>
      </c>
      <c r="F20" s="51"/>
      <c r="G20" s="51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22.5" customHeight="1">
      <c r="A21" s="17">
        <v>19.0</v>
      </c>
      <c r="B21" s="16">
        <v>109.0</v>
      </c>
      <c r="C21" s="17" t="s">
        <v>8752</v>
      </c>
      <c r="D21" s="52" t="s">
        <v>1254</v>
      </c>
      <c r="E21" s="48" t="s">
        <v>3392</v>
      </c>
      <c r="F21" s="49" t="s">
        <v>18</v>
      </c>
      <c r="G21" s="51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22.5" customHeight="1">
      <c r="A22" s="17">
        <v>20.0</v>
      </c>
      <c r="B22" s="16">
        <v>109.0</v>
      </c>
      <c r="C22" s="17" t="s">
        <v>8753</v>
      </c>
      <c r="D22" s="50" t="s">
        <v>8754</v>
      </c>
      <c r="E22" s="48" t="s">
        <v>8755</v>
      </c>
      <c r="F22" s="51"/>
      <c r="G22" s="51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22.5" customHeight="1">
      <c r="A23" s="17">
        <v>21.0</v>
      </c>
      <c r="B23" s="16">
        <v>109.0</v>
      </c>
      <c r="C23" s="17" t="s">
        <v>8756</v>
      </c>
      <c r="D23" s="52" t="s">
        <v>8757</v>
      </c>
      <c r="E23" s="48" t="s">
        <v>8758</v>
      </c>
      <c r="F23" s="51"/>
      <c r="G23" s="51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22.5" customHeight="1">
      <c r="A24" s="17">
        <v>22.0</v>
      </c>
      <c r="B24" s="16">
        <v>109.0</v>
      </c>
      <c r="C24" s="17" t="s">
        <v>8759</v>
      </c>
      <c r="D24" s="50" t="s">
        <v>8760</v>
      </c>
      <c r="E24" s="48" t="s">
        <v>8761</v>
      </c>
      <c r="F24" s="49" t="s">
        <v>18</v>
      </c>
      <c r="G24" s="51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22.5" customHeight="1">
      <c r="A25" s="17">
        <v>23.0</v>
      </c>
      <c r="B25" s="16">
        <v>109.0</v>
      </c>
      <c r="C25" s="17" t="s">
        <v>8762</v>
      </c>
      <c r="D25" s="52" t="s">
        <v>8763</v>
      </c>
      <c r="E25" s="48" t="s">
        <v>8764</v>
      </c>
      <c r="F25" s="51"/>
      <c r="G25" s="51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22.5" customHeight="1">
      <c r="A26" s="17">
        <v>24.0</v>
      </c>
      <c r="B26" s="16">
        <v>109.0</v>
      </c>
      <c r="C26" s="17" t="s">
        <v>8765</v>
      </c>
      <c r="D26" s="50" t="s">
        <v>8766</v>
      </c>
      <c r="E26" s="48" t="s">
        <v>8767</v>
      </c>
      <c r="F26" s="51"/>
      <c r="G26" s="51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22.5" customHeight="1">
      <c r="A27" s="17">
        <v>25.0</v>
      </c>
      <c r="B27" s="16">
        <v>109.0</v>
      </c>
      <c r="C27" s="17" t="s">
        <v>8768</v>
      </c>
      <c r="D27" s="52" t="s">
        <v>8769</v>
      </c>
      <c r="E27" s="48" t="s">
        <v>8770</v>
      </c>
      <c r="F27" s="51"/>
      <c r="G27" s="51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22.5" customHeight="1">
      <c r="A28" s="17">
        <v>26.0</v>
      </c>
      <c r="B28" s="16">
        <v>109.0</v>
      </c>
      <c r="C28" s="17" t="s">
        <v>8771</v>
      </c>
      <c r="D28" s="50" t="s">
        <v>8772</v>
      </c>
      <c r="E28" s="48" t="s">
        <v>8773</v>
      </c>
      <c r="F28" s="49" t="s">
        <v>18</v>
      </c>
      <c r="G28" s="51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22.5" customHeight="1">
      <c r="A29" s="17">
        <v>27.0</v>
      </c>
      <c r="B29" s="16">
        <v>109.0</v>
      </c>
      <c r="C29" s="17" t="s">
        <v>8774</v>
      </c>
      <c r="D29" s="52" t="s">
        <v>8775</v>
      </c>
      <c r="E29" s="48" t="s">
        <v>8776</v>
      </c>
      <c r="F29" s="51"/>
      <c r="G29" s="51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22.5" customHeight="1">
      <c r="A30" s="17">
        <v>28.0</v>
      </c>
      <c r="B30" s="16">
        <v>109.0</v>
      </c>
      <c r="C30" s="17" t="s">
        <v>8777</v>
      </c>
      <c r="D30" s="50" t="s">
        <v>8778</v>
      </c>
      <c r="E30" s="48" t="s">
        <v>8779</v>
      </c>
      <c r="F30" s="49" t="s">
        <v>18</v>
      </c>
      <c r="G30" s="51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22.5" customHeight="1">
      <c r="A31" s="17">
        <v>29.0</v>
      </c>
      <c r="B31" s="16">
        <v>109.0</v>
      </c>
      <c r="C31" s="17" t="s">
        <v>8780</v>
      </c>
      <c r="D31" s="52" t="s">
        <v>8781</v>
      </c>
      <c r="E31" s="48" t="s">
        <v>8782</v>
      </c>
      <c r="F31" s="51"/>
      <c r="G31" s="51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22.5" customHeight="1">
      <c r="A32" s="17">
        <v>30.0</v>
      </c>
      <c r="B32" s="16">
        <v>109.0</v>
      </c>
      <c r="C32" s="17" t="s">
        <v>8783</v>
      </c>
      <c r="D32" s="50" t="s">
        <v>8784</v>
      </c>
      <c r="E32" s="48" t="s">
        <v>8785</v>
      </c>
      <c r="F32" s="49" t="s">
        <v>18</v>
      </c>
      <c r="G32" s="51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22.5" customHeight="1">
      <c r="A33" s="17">
        <v>31.0</v>
      </c>
      <c r="B33" s="53">
        <v>110.0</v>
      </c>
      <c r="C33" s="54" t="s">
        <v>8786</v>
      </c>
      <c r="D33" s="55" t="s">
        <v>8787</v>
      </c>
      <c r="E33" s="48" t="s">
        <v>8788</v>
      </c>
      <c r="F33" s="49" t="s">
        <v>18</v>
      </c>
      <c r="G33" s="14" t="s">
        <v>18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22.5" customHeight="1">
      <c r="A34" s="17">
        <v>32.0</v>
      </c>
      <c r="B34" s="53">
        <v>110.0</v>
      </c>
      <c r="C34" s="54" t="s">
        <v>8789</v>
      </c>
      <c r="D34" s="56" t="s">
        <v>8790</v>
      </c>
      <c r="E34" s="48" t="s">
        <v>8791</v>
      </c>
      <c r="F34" s="51"/>
      <c r="G34" s="51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22.5" customHeight="1">
      <c r="A35" s="17">
        <v>33.0</v>
      </c>
      <c r="B35" s="53">
        <v>110.0</v>
      </c>
      <c r="C35" s="54" t="s">
        <v>8792</v>
      </c>
      <c r="D35" s="55" t="s">
        <v>8793</v>
      </c>
      <c r="E35" s="48" t="s">
        <v>8794</v>
      </c>
      <c r="F35" s="49" t="s">
        <v>18</v>
      </c>
      <c r="G35" s="51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22.5" customHeight="1">
      <c r="A36" s="17">
        <v>34.0</v>
      </c>
      <c r="B36" s="53">
        <v>110.0</v>
      </c>
      <c r="C36" s="54" t="s">
        <v>8795</v>
      </c>
      <c r="D36" s="56" t="s">
        <v>4259</v>
      </c>
      <c r="E36" s="48" t="s">
        <v>8796</v>
      </c>
      <c r="F36" s="49" t="s">
        <v>18</v>
      </c>
      <c r="G36" s="51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2.5" customHeight="1">
      <c r="A37" s="17">
        <v>35.0</v>
      </c>
      <c r="B37" s="53">
        <v>110.0</v>
      </c>
      <c r="C37" s="54" t="s">
        <v>8797</v>
      </c>
      <c r="D37" s="55" t="s">
        <v>8798</v>
      </c>
      <c r="E37" s="48" t="s">
        <v>8799</v>
      </c>
      <c r="F37" s="49" t="s">
        <v>18</v>
      </c>
      <c r="G37" s="51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2.5" customHeight="1">
      <c r="A38" s="17">
        <v>36.0</v>
      </c>
      <c r="B38" s="53">
        <v>110.0</v>
      </c>
      <c r="C38" s="54" t="s">
        <v>8800</v>
      </c>
      <c r="D38" s="56" t="s">
        <v>8801</v>
      </c>
      <c r="E38" s="48" t="s">
        <v>8802</v>
      </c>
      <c r="F38" s="49" t="s">
        <v>18</v>
      </c>
      <c r="G38" s="51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2.5" customHeight="1">
      <c r="A39" s="17">
        <v>37.0</v>
      </c>
      <c r="B39" s="53">
        <v>110.0</v>
      </c>
      <c r="C39" s="54" t="s">
        <v>8803</v>
      </c>
      <c r="D39" s="55" t="s">
        <v>8804</v>
      </c>
      <c r="E39" s="48" t="s">
        <v>8805</v>
      </c>
      <c r="F39" s="49" t="s">
        <v>18</v>
      </c>
      <c r="G39" s="51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2.5" customHeight="1">
      <c r="A40" s="17">
        <v>38.0</v>
      </c>
      <c r="B40" s="53">
        <v>110.0</v>
      </c>
      <c r="C40" s="54" t="s">
        <v>8806</v>
      </c>
      <c r="D40" s="56" t="s">
        <v>8807</v>
      </c>
      <c r="E40" s="48" t="s">
        <v>8808</v>
      </c>
      <c r="F40" s="51"/>
      <c r="G40" s="51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22.5" customHeight="1">
      <c r="A41" s="17">
        <v>39.0</v>
      </c>
      <c r="B41" s="53">
        <v>110.0</v>
      </c>
      <c r="C41" s="54" t="s">
        <v>8809</v>
      </c>
      <c r="D41" s="55" t="s">
        <v>8810</v>
      </c>
      <c r="E41" s="48" t="s">
        <v>8811</v>
      </c>
      <c r="F41" s="49" t="s">
        <v>18</v>
      </c>
      <c r="G41" s="51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22.5" customHeight="1">
      <c r="A42" s="17">
        <v>40.0</v>
      </c>
      <c r="B42" s="53">
        <v>110.0</v>
      </c>
      <c r="C42" s="54" t="s">
        <v>4023</v>
      </c>
      <c r="D42" s="56" t="s">
        <v>8812</v>
      </c>
      <c r="E42" s="48" t="s">
        <v>8813</v>
      </c>
      <c r="F42" s="51"/>
      <c r="G42" s="51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22.5" customHeight="1">
      <c r="A43" s="17">
        <v>41.0</v>
      </c>
      <c r="B43" s="53">
        <v>110.0</v>
      </c>
      <c r="C43" s="54" t="s">
        <v>5518</v>
      </c>
      <c r="D43" s="55" t="s">
        <v>2094</v>
      </c>
      <c r="E43" s="48" t="s">
        <v>2095</v>
      </c>
      <c r="F43" s="51"/>
      <c r="G43" s="51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22.5" customHeight="1">
      <c r="A44" s="17">
        <v>42.0</v>
      </c>
      <c r="B44" s="53">
        <v>110.0</v>
      </c>
      <c r="C44" s="54" t="s">
        <v>8814</v>
      </c>
      <c r="D44" s="56" t="s">
        <v>8815</v>
      </c>
      <c r="E44" s="48" t="s">
        <v>8816</v>
      </c>
      <c r="F44" s="51"/>
      <c r="G44" s="51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22.5" customHeight="1">
      <c r="A45" s="17">
        <v>43.0</v>
      </c>
      <c r="B45" s="53">
        <v>110.0</v>
      </c>
      <c r="C45" s="54" t="s">
        <v>8817</v>
      </c>
      <c r="D45" s="55" t="s">
        <v>8818</v>
      </c>
      <c r="E45" s="48" t="s">
        <v>8819</v>
      </c>
      <c r="F45" s="49" t="s">
        <v>18</v>
      </c>
      <c r="G45" s="14" t="s">
        <v>18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22.5" customHeight="1">
      <c r="A46" s="17">
        <v>44.0</v>
      </c>
      <c r="B46" s="53">
        <v>110.0</v>
      </c>
      <c r="C46" s="54" t="s">
        <v>8820</v>
      </c>
      <c r="D46" s="56" t="s">
        <v>8821</v>
      </c>
      <c r="E46" s="48" t="s">
        <v>8822</v>
      </c>
      <c r="F46" s="49" t="s">
        <v>18</v>
      </c>
      <c r="G46" s="51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22.5" customHeight="1">
      <c r="A47" s="17">
        <v>45.0</v>
      </c>
      <c r="B47" s="53">
        <v>110.0</v>
      </c>
      <c r="C47" s="54" t="s">
        <v>8823</v>
      </c>
      <c r="D47" s="55" t="s">
        <v>1627</v>
      </c>
      <c r="E47" s="48" t="s">
        <v>1941</v>
      </c>
      <c r="F47" s="49" t="s">
        <v>18</v>
      </c>
      <c r="G47" s="51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22.5" customHeight="1">
      <c r="A48" s="17">
        <v>46.0</v>
      </c>
      <c r="B48" s="53">
        <v>110.0</v>
      </c>
      <c r="C48" s="54" t="s">
        <v>8824</v>
      </c>
      <c r="D48" s="56" t="s">
        <v>8825</v>
      </c>
      <c r="E48" s="48" t="s">
        <v>8826</v>
      </c>
      <c r="F48" s="49" t="s">
        <v>18</v>
      </c>
      <c r="G48" s="51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22.5" customHeight="1">
      <c r="A49" s="17">
        <v>47.0</v>
      </c>
      <c r="B49" s="53">
        <v>110.0</v>
      </c>
      <c r="C49" s="54" t="s">
        <v>8827</v>
      </c>
      <c r="D49" s="55" t="s">
        <v>8828</v>
      </c>
      <c r="E49" s="48" t="s">
        <v>8829</v>
      </c>
      <c r="F49" s="51"/>
      <c r="G49" s="51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22.5" customHeight="1">
      <c r="A50" s="17">
        <v>48.0</v>
      </c>
      <c r="B50" s="53">
        <v>110.0</v>
      </c>
      <c r="C50" s="54" t="s">
        <v>8830</v>
      </c>
      <c r="D50" s="56" t="s">
        <v>8831</v>
      </c>
      <c r="E50" s="48" t="s">
        <v>8832</v>
      </c>
      <c r="F50" s="51"/>
      <c r="G50" s="51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22.5" customHeight="1">
      <c r="A51" s="17">
        <v>49.0</v>
      </c>
      <c r="B51" s="53">
        <v>110.0</v>
      </c>
      <c r="C51" s="54" t="s">
        <v>8833</v>
      </c>
      <c r="D51" s="55" t="s">
        <v>8834</v>
      </c>
      <c r="E51" s="48" t="s">
        <v>8835</v>
      </c>
      <c r="F51" s="49" t="s">
        <v>18</v>
      </c>
      <c r="G51" s="51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22.5" customHeight="1">
      <c r="A52" s="17">
        <v>50.0</v>
      </c>
      <c r="B52" s="53">
        <v>110.0</v>
      </c>
      <c r="C52" s="54" t="s">
        <v>8836</v>
      </c>
      <c r="D52" s="56" t="s">
        <v>8837</v>
      </c>
      <c r="E52" s="48" t="s">
        <v>8838</v>
      </c>
      <c r="F52" s="49" t="s">
        <v>18</v>
      </c>
      <c r="G52" s="51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22.5" customHeight="1">
      <c r="A53" s="17">
        <v>51.0</v>
      </c>
      <c r="B53" s="53">
        <v>110.0</v>
      </c>
      <c r="C53" s="54" t="s">
        <v>8839</v>
      </c>
      <c r="D53" s="55" t="s">
        <v>3477</v>
      </c>
      <c r="E53" s="48" t="s">
        <v>8840</v>
      </c>
      <c r="F53" s="51"/>
      <c r="G53" s="51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22.5" customHeight="1">
      <c r="A54" s="17">
        <v>52.0</v>
      </c>
      <c r="B54" s="53">
        <v>110.0</v>
      </c>
      <c r="C54" s="54" t="s">
        <v>8841</v>
      </c>
      <c r="D54" s="56" t="s">
        <v>8842</v>
      </c>
      <c r="E54" s="48" t="s">
        <v>8843</v>
      </c>
      <c r="F54" s="51"/>
      <c r="G54" s="51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22.5" customHeight="1">
      <c r="A55" s="17">
        <v>53.0</v>
      </c>
      <c r="B55" s="53">
        <v>110.0</v>
      </c>
      <c r="C55" s="54" t="s">
        <v>6103</v>
      </c>
      <c r="D55" s="55" t="s">
        <v>6102</v>
      </c>
      <c r="E55" s="48" t="s">
        <v>8844</v>
      </c>
      <c r="F55" s="49" t="s">
        <v>18</v>
      </c>
      <c r="G55" s="14" t="s">
        <v>18</v>
      </c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22.5" customHeight="1">
      <c r="A56" s="17">
        <v>54.0</v>
      </c>
      <c r="B56" s="53">
        <v>110.0</v>
      </c>
      <c r="C56" s="54" t="s">
        <v>8845</v>
      </c>
      <c r="D56" s="56" t="s">
        <v>8846</v>
      </c>
      <c r="E56" s="48" t="s">
        <v>8847</v>
      </c>
      <c r="F56" s="49" t="s">
        <v>18</v>
      </c>
      <c r="G56" s="51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22.5" customHeight="1">
      <c r="A57" s="17">
        <v>55.0</v>
      </c>
      <c r="B57" s="53">
        <v>110.0</v>
      </c>
      <c r="C57" s="54" t="s">
        <v>6174</v>
      </c>
      <c r="D57" s="55" t="s">
        <v>6173</v>
      </c>
      <c r="E57" s="48" t="s">
        <v>8848</v>
      </c>
      <c r="F57" s="49" t="s">
        <v>18</v>
      </c>
      <c r="G57" s="51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22.5" customHeight="1">
      <c r="A58" s="17">
        <v>56.0</v>
      </c>
      <c r="B58" s="53">
        <v>110.0</v>
      </c>
      <c r="C58" s="54" t="s">
        <v>8849</v>
      </c>
      <c r="D58" s="56" t="s">
        <v>8850</v>
      </c>
      <c r="E58" s="48" t="s">
        <v>8851</v>
      </c>
      <c r="F58" s="51"/>
      <c r="G58" s="51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22.5" customHeight="1">
      <c r="A59" s="17">
        <v>57.0</v>
      </c>
      <c r="B59" s="53">
        <v>110.0</v>
      </c>
      <c r="C59" s="54" t="s">
        <v>8852</v>
      </c>
      <c r="D59" s="55" t="s">
        <v>8853</v>
      </c>
      <c r="E59" s="48" t="s">
        <v>8854</v>
      </c>
      <c r="F59" s="51"/>
      <c r="G59" s="51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22.5" customHeight="1">
      <c r="A60" s="17">
        <v>58.0</v>
      </c>
      <c r="B60" s="53">
        <v>110.0</v>
      </c>
      <c r="C60" s="54" t="s">
        <v>8855</v>
      </c>
      <c r="D60" s="56" t="s">
        <v>8856</v>
      </c>
      <c r="E60" s="48" t="s">
        <v>8857</v>
      </c>
      <c r="F60" s="49" t="s">
        <v>18</v>
      </c>
      <c r="G60" s="51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22.5" customHeight="1">
      <c r="A61" s="17">
        <v>59.0</v>
      </c>
      <c r="B61" s="53">
        <v>110.0</v>
      </c>
      <c r="C61" s="54" t="s">
        <v>8858</v>
      </c>
      <c r="D61" s="55" t="s">
        <v>8859</v>
      </c>
      <c r="E61" s="48" t="s">
        <v>8860</v>
      </c>
      <c r="F61" s="51"/>
      <c r="G61" s="51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22.5" customHeight="1">
      <c r="A62" s="17">
        <v>60.0</v>
      </c>
      <c r="B62" s="53">
        <v>110.0</v>
      </c>
      <c r="C62" s="54" t="s">
        <v>8861</v>
      </c>
      <c r="D62" s="56" t="s">
        <v>8862</v>
      </c>
      <c r="E62" s="48" t="s">
        <v>8863</v>
      </c>
      <c r="F62" s="51"/>
      <c r="G62" s="51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22.5" customHeight="1">
      <c r="A63" s="17">
        <v>61.0</v>
      </c>
      <c r="B63" s="12">
        <v>111.0</v>
      </c>
      <c r="C63" s="13" t="s">
        <v>8864</v>
      </c>
      <c r="D63" s="57" t="s">
        <v>8865</v>
      </c>
      <c r="E63" s="48" t="s">
        <v>8866</v>
      </c>
      <c r="F63" s="51"/>
      <c r="G63" s="51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22.5" customHeight="1">
      <c r="A64" s="17">
        <v>62.0</v>
      </c>
      <c r="B64" s="12">
        <v>111.0</v>
      </c>
      <c r="C64" s="13" t="s">
        <v>8774</v>
      </c>
      <c r="D64" s="58" t="s">
        <v>8775</v>
      </c>
      <c r="E64" s="48" t="s">
        <v>8867</v>
      </c>
      <c r="F64" s="51"/>
      <c r="G64" s="51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22.5" customHeight="1">
      <c r="A65" s="17">
        <v>63.0</v>
      </c>
      <c r="B65" s="12">
        <v>111.0</v>
      </c>
      <c r="C65" s="13" t="s">
        <v>4420</v>
      </c>
      <c r="D65" s="57" t="s">
        <v>4419</v>
      </c>
      <c r="E65" s="48" t="s">
        <v>8868</v>
      </c>
      <c r="F65" s="51"/>
      <c r="G65" s="51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22.5" customHeight="1">
      <c r="A66" s="17">
        <v>64.0</v>
      </c>
      <c r="B66" s="12">
        <v>111.0</v>
      </c>
      <c r="C66" s="13" t="s">
        <v>5236</v>
      </c>
      <c r="D66" s="58" t="s">
        <v>8869</v>
      </c>
      <c r="E66" s="48" t="s">
        <v>8870</v>
      </c>
      <c r="F66" s="49" t="s">
        <v>18</v>
      </c>
      <c r="G66" s="51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22.5" customHeight="1">
      <c r="A67" s="17">
        <v>65.0</v>
      </c>
      <c r="B67" s="12">
        <v>111.0</v>
      </c>
      <c r="C67" s="13" t="s">
        <v>8871</v>
      </c>
      <c r="D67" s="57" t="s">
        <v>8872</v>
      </c>
      <c r="E67" s="48" t="s">
        <v>8873</v>
      </c>
      <c r="F67" s="51"/>
      <c r="G67" s="51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22.5" customHeight="1">
      <c r="A68" s="17">
        <v>66.0</v>
      </c>
      <c r="B68" s="12">
        <v>111.0</v>
      </c>
      <c r="C68" s="13" t="s">
        <v>4898</v>
      </c>
      <c r="D68" s="58" t="s">
        <v>4897</v>
      </c>
      <c r="E68" s="48" t="s">
        <v>8874</v>
      </c>
      <c r="F68" s="49" t="s">
        <v>18</v>
      </c>
      <c r="G68" s="51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22.5" customHeight="1">
      <c r="A69" s="17">
        <v>67.0</v>
      </c>
      <c r="B69" s="12">
        <v>111.0</v>
      </c>
      <c r="C69" s="13" t="s">
        <v>8875</v>
      </c>
      <c r="D69" s="57" t="s">
        <v>8876</v>
      </c>
      <c r="E69" s="48" t="s">
        <v>8877</v>
      </c>
      <c r="F69" s="49" t="s">
        <v>18</v>
      </c>
      <c r="G69" s="51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22.5" customHeight="1">
      <c r="A70" s="17">
        <v>68.0</v>
      </c>
      <c r="B70" s="12">
        <v>111.0</v>
      </c>
      <c r="C70" s="13" t="s">
        <v>8878</v>
      </c>
      <c r="D70" s="58" t="s">
        <v>8879</v>
      </c>
      <c r="E70" s="48" t="s">
        <v>8880</v>
      </c>
      <c r="F70" s="51"/>
      <c r="G70" s="51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22.5" customHeight="1">
      <c r="A71" s="17">
        <v>69.0</v>
      </c>
      <c r="B71" s="12">
        <v>111.0</v>
      </c>
      <c r="C71" s="13" t="s">
        <v>8881</v>
      </c>
      <c r="D71" s="57" t="s">
        <v>8882</v>
      </c>
      <c r="E71" s="48" t="s">
        <v>8883</v>
      </c>
      <c r="F71" s="49" t="s">
        <v>18</v>
      </c>
      <c r="G71" s="51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22.5" customHeight="1">
      <c r="A72" s="17">
        <v>70.0</v>
      </c>
      <c r="B72" s="12">
        <v>111.0</v>
      </c>
      <c r="C72" s="13" t="s">
        <v>8884</v>
      </c>
      <c r="D72" s="58" t="s">
        <v>8885</v>
      </c>
      <c r="E72" s="48" t="s">
        <v>8886</v>
      </c>
      <c r="F72" s="51"/>
      <c r="G72" s="51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22.5" customHeight="1">
      <c r="A73" s="17">
        <v>71.0</v>
      </c>
      <c r="B73" s="12">
        <v>111.0</v>
      </c>
      <c r="C73" s="13" t="s">
        <v>8887</v>
      </c>
      <c r="D73" s="57" t="s">
        <v>8888</v>
      </c>
      <c r="E73" s="48" t="s">
        <v>8889</v>
      </c>
      <c r="F73" s="49" t="s">
        <v>18</v>
      </c>
      <c r="G73" s="51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22.5" customHeight="1">
      <c r="A74" s="17">
        <v>72.0</v>
      </c>
      <c r="B74" s="12">
        <v>111.0</v>
      </c>
      <c r="C74" s="13" t="s">
        <v>4504</v>
      </c>
      <c r="D74" s="58" t="s">
        <v>8890</v>
      </c>
      <c r="E74" s="48" t="s">
        <v>8891</v>
      </c>
      <c r="F74" s="49" t="s">
        <v>18</v>
      </c>
      <c r="G74" s="51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22.5" customHeight="1">
      <c r="A75" s="17">
        <v>73.0</v>
      </c>
      <c r="B75" s="12">
        <v>111.0</v>
      </c>
      <c r="C75" s="13" t="s">
        <v>8892</v>
      </c>
      <c r="D75" s="57" t="s">
        <v>8893</v>
      </c>
      <c r="E75" s="48" t="s">
        <v>8894</v>
      </c>
      <c r="F75" s="51"/>
      <c r="G75" s="51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22.5" customHeight="1">
      <c r="A76" s="17">
        <v>74.0</v>
      </c>
      <c r="B76" s="12">
        <v>111.0</v>
      </c>
      <c r="C76" s="13" t="s">
        <v>8895</v>
      </c>
      <c r="D76" s="58" t="s">
        <v>8896</v>
      </c>
      <c r="E76" s="48" t="s">
        <v>8897</v>
      </c>
      <c r="F76" s="51"/>
      <c r="G76" s="51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22.5" customHeight="1">
      <c r="A77" s="17">
        <v>75.0</v>
      </c>
      <c r="B77" s="12">
        <v>111.0</v>
      </c>
      <c r="C77" s="13" t="s">
        <v>8898</v>
      </c>
      <c r="D77" s="57" t="s">
        <v>8899</v>
      </c>
      <c r="E77" s="48" t="s">
        <v>8900</v>
      </c>
      <c r="F77" s="51"/>
      <c r="G77" s="51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22.5" customHeight="1">
      <c r="A78" s="17">
        <v>76.0</v>
      </c>
      <c r="B78" s="12">
        <v>111.0</v>
      </c>
      <c r="C78" s="13" t="s">
        <v>8858</v>
      </c>
      <c r="D78" s="58" t="s">
        <v>8859</v>
      </c>
      <c r="E78" s="48" t="s">
        <v>8860</v>
      </c>
      <c r="F78" s="51"/>
      <c r="G78" s="51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22.5" customHeight="1">
      <c r="A79" s="17">
        <v>77.0</v>
      </c>
      <c r="B79" s="12">
        <v>111.0</v>
      </c>
      <c r="C79" s="13" t="s">
        <v>8901</v>
      </c>
      <c r="D79" s="57" t="s">
        <v>8902</v>
      </c>
      <c r="E79" s="48" t="s">
        <v>8903</v>
      </c>
      <c r="F79" s="49" t="s">
        <v>18</v>
      </c>
      <c r="G79" s="51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22.5" customHeight="1">
      <c r="A80" s="17">
        <v>78.0</v>
      </c>
      <c r="B80" s="12">
        <v>111.0</v>
      </c>
      <c r="C80" s="13" t="s">
        <v>8904</v>
      </c>
      <c r="D80" s="58" t="s">
        <v>8905</v>
      </c>
      <c r="E80" s="48" t="s">
        <v>8906</v>
      </c>
      <c r="F80" s="51"/>
      <c r="G80" s="51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22.5" customHeight="1">
      <c r="A81" s="17">
        <v>79.0</v>
      </c>
      <c r="B81" s="12">
        <v>111.0</v>
      </c>
      <c r="C81" s="13" t="s">
        <v>8907</v>
      </c>
      <c r="D81" s="57" t="s">
        <v>8908</v>
      </c>
      <c r="E81" s="48" t="s">
        <v>8909</v>
      </c>
      <c r="F81" s="51"/>
      <c r="G81" s="51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22.5" customHeight="1">
      <c r="A82" s="17">
        <v>80.0</v>
      </c>
      <c r="B82" s="12">
        <v>111.0</v>
      </c>
      <c r="C82" s="13" t="s">
        <v>8910</v>
      </c>
      <c r="D82" s="58" t="s">
        <v>8911</v>
      </c>
      <c r="E82" s="48" t="s">
        <v>8912</v>
      </c>
      <c r="F82" s="49" t="s">
        <v>18</v>
      </c>
      <c r="G82" s="51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22.5" customHeight="1">
      <c r="A83" s="17">
        <v>81.0</v>
      </c>
      <c r="B83" s="12">
        <v>111.0</v>
      </c>
      <c r="C83" s="13" t="s">
        <v>8913</v>
      </c>
      <c r="D83" s="57" t="s">
        <v>8914</v>
      </c>
      <c r="E83" s="48" t="s">
        <v>8915</v>
      </c>
      <c r="F83" s="51"/>
      <c r="G83" s="51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22.5" customHeight="1">
      <c r="A84" s="17">
        <v>82.0</v>
      </c>
      <c r="B84" s="12">
        <v>111.0</v>
      </c>
      <c r="C84" s="13" t="s">
        <v>8708</v>
      </c>
      <c r="D84" s="58" t="s">
        <v>8709</v>
      </c>
      <c r="E84" s="48" t="s">
        <v>8916</v>
      </c>
      <c r="F84" s="51"/>
      <c r="G84" s="51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22.5" customHeight="1">
      <c r="A85" s="17">
        <v>83.0</v>
      </c>
      <c r="B85" s="12">
        <v>111.0</v>
      </c>
      <c r="C85" s="13" t="s">
        <v>5459</v>
      </c>
      <c r="D85" s="57" t="s">
        <v>5458</v>
      </c>
      <c r="E85" s="48" t="s">
        <v>8917</v>
      </c>
      <c r="F85" s="51"/>
      <c r="G85" s="51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22.5" customHeight="1">
      <c r="A86" s="17">
        <v>84.0</v>
      </c>
      <c r="B86" s="12">
        <v>111.0</v>
      </c>
      <c r="C86" s="13" t="s">
        <v>4871</v>
      </c>
      <c r="D86" s="58" t="s">
        <v>4870</v>
      </c>
      <c r="E86" s="48" t="s">
        <v>8918</v>
      </c>
      <c r="F86" s="49" t="s">
        <v>18</v>
      </c>
      <c r="G86" s="51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22.5" customHeight="1">
      <c r="A87" s="17">
        <v>85.0</v>
      </c>
      <c r="B87" s="12">
        <v>111.0</v>
      </c>
      <c r="C87" s="13" t="s">
        <v>8718</v>
      </c>
      <c r="D87" s="57" t="s">
        <v>8719</v>
      </c>
      <c r="E87" s="48" t="s">
        <v>8919</v>
      </c>
      <c r="F87" s="51"/>
      <c r="G87" s="51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22.5" customHeight="1">
      <c r="A88" s="17">
        <v>86.0</v>
      </c>
      <c r="B88" s="12">
        <v>111.0</v>
      </c>
      <c r="C88" s="13" t="s">
        <v>8920</v>
      </c>
      <c r="D88" s="58" t="s">
        <v>1675</v>
      </c>
      <c r="E88" s="48" t="s">
        <v>8921</v>
      </c>
      <c r="F88" s="51"/>
      <c r="G88" s="51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22.5" customHeight="1">
      <c r="A89" s="17">
        <v>87.0</v>
      </c>
      <c r="B89" s="12">
        <v>111.0</v>
      </c>
      <c r="C89" s="13" t="s">
        <v>8922</v>
      </c>
      <c r="D89" s="57" t="s">
        <v>8923</v>
      </c>
      <c r="E89" s="48" t="s">
        <v>8924</v>
      </c>
      <c r="F89" s="49" t="s">
        <v>18</v>
      </c>
      <c r="G89" s="51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22.5" customHeight="1">
      <c r="A90" s="17">
        <v>88.0</v>
      </c>
      <c r="B90" s="12">
        <v>111.0</v>
      </c>
      <c r="C90" s="13" t="s">
        <v>6266</v>
      </c>
      <c r="D90" s="58" t="s">
        <v>6265</v>
      </c>
      <c r="E90" s="48" t="s">
        <v>8925</v>
      </c>
      <c r="F90" s="49" t="s">
        <v>18</v>
      </c>
      <c r="G90" s="51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22.5" customHeight="1">
      <c r="A91" s="17">
        <v>89.0</v>
      </c>
      <c r="B91" s="12">
        <v>111.0</v>
      </c>
      <c r="C91" s="13" t="s">
        <v>4832</v>
      </c>
      <c r="D91" s="57" t="s">
        <v>4831</v>
      </c>
      <c r="E91" s="48" t="s">
        <v>8926</v>
      </c>
      <c r="F91" s="49" t="s">
        <v>18</v>
      </c>
      <c r="G91" s="51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22.5" customHeight="1">
      <c r="A92" s="17">
        <v>90.0</v>
      </c>
      <c r="B92" s="12">
        <v>111.0</v>
      </c>
      <c r="C92" s="13" t="s">
        <v>8927</v>
      </c>
      <c r="D92" s="58" t="s">
        <v>1702</v>
      </c>
      <c r="E92" s="48" t="s">
        <v>8928</v>
      </c>
      <c r="F92" s="49" t="s">
        <v>18</v>
      </c>
      <c r="G92" s="51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22.5" customHeight="1">
      <c r="A93" s="17">
        <v>91.0</v>
      </c>
      <c r="B93" s="16">
        <v>108.0</v>
      </c>
      <c r="C93" s="13" t="s">
        <v>8929</v>
      </c>
      <c r="D93" s="57" t="s">
        <v>8930</v>
      </c>
      <c r="E93" s="48" t="s">
        <v>8931</v>
      </c>
      <c r="F93" s="51"/>
      <c r="G93" s="51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22.5" customHeight="1">
      <c r="A94" s="17">
        <v>92.0</v>
      </c>
      <c r="B94" s="16">
        <v>108.0</v>
      </c>
      <c r="C94" s="13" t="s">
        <v>8932</v>
      </c>
      <c r="D94" s="58" t="s">
        <v>8933</v>
      </c>
      <c r="E94" s="48" t="s">
        <v>8934</v>
      </c>
      <c r="F94" s="49" t="s">
        <v>18</v>
      </c>
      <c r="G94" s="51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22.5" customHeight="1">
      <c r="A95" s="17">
        <v>93.0</v>
      </c>
      <c r="B95" s="16">
        <v>108.0</v>
      </c>
      <c r="C95" s="13" t="s">
        <v>8762</v>
      </c>
      <c r="D95" s="57" t="s">
        <v>8763</v>
      </c>
      <c r="E95" s="48" t="s">
        <v>8764</v>
      </c>
      <c r="F95" s="51"/>
      <c r="G95" s="51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22.5" customHeight="1">
      <c r="A96" s="17">
        <v>94.0</v>
      </c>
      <c r="B96" s="16">
        <v>108.0</v>
      </c>
      <c r="C96" s="13" t="s">
        <v>4426</v>
      </c>
      <c r="D96" s="58" t="s">
        <v>8935</v>
      </c>
      <c r="E96" s="48" t="s">
        <v>8936</v>
      </c>
      <c r="F96" s="51"/>
      <c r="G96" s="51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22.5" customHeight="1">
      <c r="A97" s="17">
        <v>95.0</v>
      </c>
      <c r="B97" s="16">
        <v>108.0</v>
      </c>
      <c r="C97" s="13" t="s">
        <v>8937</v>
      </c>
      <c r="D97" s="57" t="s">
        <v>8938</v>
      </c>
      <c r="E97" s="48" t="s">
        <v>8939</v>
      </c>
      <c r="F97" s="49" t="s">
        <v>18</v>
      </c>
      <c r="G97" s="51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22.5" customHeight="1">
      <c r="A98" s="17">
        <v>96.0</v>
      </c>
      <c r="B98" s="16">
        <v>108.0</v>
      </c>
      <c r="C98" s="13" t="s">
        <v>8940</v>
      </c>
      <c r="D98" s="58" t="s">
        <v>8941</v>
      </c>
      <c r="E98" s="48" t="s">
        <v>8942</v>
      </c>
      <c r="F98" s="51"/>
      <c r="G98" s="51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22.5" customHeight="1">
      <c r="A99" s="17">
        <v>97.0</v>
      </c>
      <c r="B99" s="16">
        <v>108.0</v>
      </c>
      <c r="C99" s="13" t="s">
        <v>8814</v>
      </c>
      <c r="D99" s="57" t="s">
        <v>8815</v>
      </c>
      <c r="E99" s="48" t="s">
        <v>8943</v>
      </c>
      <c r="F99" s="51"/>
      <c r="G99" s="51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22.5" customHeight="1">
      <c r="A100" s="17">
        <v>98.0</v>
      </c>
      <c r="B100" s="16">
        <v>108.0</v>
      </c>
      <c r="C100" s="13" t="s">
        <v>8944</v>
      </c>
      <c r="D100" s="58" t="s">
        <v>8945</v>
      </c>
      <c r="E100" s="48" t="s">
        <v>8946</v>
      </c>
      <c r="F100" s="51"/>
      <c r="G100" s="51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22.5" customHeight="1">
      <c r="A101" s="17">
        <v>99.0</v>
      </c>
      <c r="B101" s="16">
        <v>108.0</v>
      </c>
      <c r="C101" s="13" t="s">
        <v>4417</v>
      </c>
      <c r="D101" s="57" t="s">
        <v>4416</v>
      </c>
      <c r="E101" s="48" t="s">
        <v>8947</v>
      </c>
      <c r="F101" s="49" t="s">
        <v>18</v>
      </c>
      <c r="G101" s="51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22.5" customHeight="1">
      <c r="A102" s="17">
        <v>100.0</v>
      </c>
      <c r="B102" s="16">
        <v>108.0</v>
      </c>
      <c r="C102" s="13" t="s">
        <v>8878</v>
      </c>
      <c r="D102" s="58" t="s">
        <v>8879</v>
      </c>
      <c r="E102" s="48" t="s">
        <v>8880</v>
      </c>
      <c r="F102" s="49" t="s">
        <v>18</v>
      </c>
      <c r="G102" s="51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22.5" customHeight="1">
      <c r="A103" s="17">
        <v>101.0</v>
      </c>
      <c r="B103" s="16">
        <v>108.0</v>
      </c>
      <c r="C103" s="13" t="s">
        <v>8948</v>
      </c>
      <c r="D103" s="57" t="s">
        <v>8949</v>
      </c>
      <c r="E103" s="48" t="s">
        <v>8950</v>
      </c>
      <c r="F103" s="51"/>
      <c r="G103" s="51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22.5" customHeight="1">
      <c r="A104" s="17">
        <v>102.0</v>
      </c>
      <c r="B104" s="16">
        <v>108.0</v>
      </c>
      <c r="C104" s="13" t="s">
        <v>8827</v>
      </c>
      <c r="D104" s="58" t="s">
        <v>8828</v>
      </c>
      <c r="E104" s="48" t="s">
        <v>8829</v>
      </c>
      <c r="F104" s="51"/>
      <c r="G104" s="51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22.5" customHeight="1">
      <c r="A105" s="17">
        <v>103.0</v>
      </c>
      <c r="B105" s="16">
        <v>108.0</v>
      </c>
      <c r="C105" s="13" t="s">
        <v>8951</v>
      </c>
      <c r="D105" s="57" t="s">
        <v>8952</v>
      </c>
      <c r="E105" s="48" t="s">
        <v>8953</v>
      </c>
      <c r="F105" s="49" t="s">
        <v>18</v>
      </c>
      <c r="G105" s="51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22.5" customHeight="1">
      <c r="A106" s="17">
        <v>104.0</v>
      </c>
      <c r="B106" s="16">
        <v>108.0</v>
      </c>
      <c r="C106" s="13" t="s">
        <v>8954</v>
      </c>
      <c r="D106" s="58" t="s">
        <v>8955</v>
      </c>
      <c r="E106" s="48" t="s">
        <v>8956</v>
      </c>
      <c r="F106" s="49" t="s">
        <v>18</v>
      </c>
      <c r="G106" s="51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22.5" customHeight="1">
      <c r="A107" s="17">
        <v>105.0</v>
      </c>
      <c r="B107" s="16">
        <v>108.0</v>
      </c>
      <c r="C107" s="13" t="s">
        <v>8957</v>
      </c>
      <c r="D107" s="57" t="s">
        <v>8958</v>
      </c>
      <c r="E107" s="48" t="s">
        <v>8959</v>
      </c>
      <c r="F107" s="49" t="s">
        <v>18</v>
      </c>
      <c r="G107" s="14" t="s">
        <v>18</v>
      </c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22.5" customHeight="1">
      <c r="A108" s="17">
        <v>106.0</v>
      </c>
      <c r="B108" s="16">
        <v>108.0</v>
      </c>
      <c r="C108" s="13" t="s">
        <v>8960</v>
      </c>
      <c r="D108" s="58" t="s">
        <v>8961</v>
      </c>
      <c r="E108" s="48" t="s">
        <v>8962</v>
      </c>
      <c r="F108" s="49" t="s">
        <v>18</v>
      </c>
      <c r="G108" s="51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22.5" customHeight="1">
      <c r="A109" s="17">
        <v>107.0</v>
      </c>
      <c r="B109" s="16">
        <v>108.0</v>
      </c>
      <c r="C109" s="13" t="s">
        <v>8963</v>
      </c>
      <c r="D109" s="57" t="s">
        <v>8964</v>
      </c>
      <c r="E109" s="48" t="s">
        <v>8965</v>
      </c>
      <c r="F109" s="51"/>
      <c r="G109" s="51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22.5" customHeight="1">
      <c r="A110" s="17">
        <v>108.0</v>
      </c>
      <c r="B110" s="16">
        <v>108.0</v>
      </c>
      <c r="C110" s="13" t="s">
        <v>8836</v>
      </c>
      <c r="D110" s="58" t="s">
        <v>8837</v>
      </c>
      <c r="E110" s="48" t="s">
        <v>8966</v>
      </c>
      <c r="F110" s="51"/>
      <c r="G110" s="51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22.5" customHeight="1">
      <c r="A111" s="17">
        <v>109.0</v>
      </c>
      <c r="B111" s="16">
        <v>108.0</v>
      </c>
      <c r="C111" s="13" t="s">
        <v>8967</v>
      </c>
      <c r="D111" s="57" t="s">
        <v>8968</v>
      </c>
      <c r="E111" s="48" t="s">
        <v>8969</v>
      </c>
      <c r="F111" s="51"/>
      <c r="G111" s="51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22.5" customHeight="1">
      <c r="A112" s="17">
        <v>110.0</v>
      </c>
      <c r="B112" s="16">
        <v>108.0</v>
      </c>
      <c r="C112" s="13" t="s">
        <v>8970</v>
      </c>
      <c r="D112" s="58" t="s">
        <v>3781</v>
      </c>
      <c r="E112" s="48" t="s">
        <v>8971</v>
      </c>
      <c r="F112" s="51"/>
      <c r="G112" s="51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22.5" customHeight="1">
      <c r="A113" s="17">
        <v>111.0</v>
      </c>
      <c r="B113" s="16">
        <v>108.0</v>
      </c>
      <c r="C113" s="13" t="s">
        <v>8809</v>
      </c>
      <c r="D113" s="57" t="s">
        <v>8810</v>
      </c>
      <c r="E113" s="48" t="s">
        <v>8811</v>
      </c>
      <c r="F113" s="51"/>
      <c r="G113" s="51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22.5" customHeight="1">
      <c r="A114" s="17">
        <v>112.0</v>
      </c>
      <c r="B114" s="16">
        <v>108.0</v>
      </c>
      <c r="C114" s="13" t="s">
        <v>8920</v>
      </c>
      <c r="D114" s="58" t="s">
        <v>1675</v>
      </c>
      <c r="E114" s="48" t="s">
        <v>8921</v>
      </c>
      <c r="F114" s="51"/>
      <c r="G114" s="51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22.5" customHeight="1">
      <c r="A115" s="17">
        <v>113.0</v>
      </c>
      <c r="B115" s="16">
        <v>108.0</v>
      </c>
      <c r="C115" s="13" t="s">
        <v>8972</v>
      </c>
      <c r="D115" s="57" t="s">
        <v>8973</v>
      </c>
      <c r="E115" s="48" t="s">
        <v>8974</v>
      </c>
      <c r="F115" s="51"/>
      <c r="G115" s="51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22.5" customHeight="1">
      <c r="A116" s="17">
        <v>114.0</v>
      </c>
      <c r="B116" s="16">
        <v>108.0</v>
      </c>
      <c r="C116" s="13" t="s">
        <v>8975</v>
      </c>
      <c r="D116" s="58" t="s">
        <v>8976</v>
      </c>
      <c r="E116" s="48" t="s">
        <v>8977</v>
      </c>
      <c r="F116" s="49" t="s">
        <v>18</v>
      </c>
      <c r="G116" s="51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22.5" customHeight="1">
      <c r="A117" s="17">
        <v>115.0</v>
      </c>
      <c r="B117" s="16">
        <v>108.0</v>
      </c>
      <c r="C117" s="13" t="s">
        <v>8978</v>
      </c>
      <c r="D117" s="57" t="s">
        <v>8979</v>
      </c>
      <c r="E117" s="48" t="s">
        <v>8980</v>
      </c>
      <c r="F117" s="51"/>
      <c r="G117" s="51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22.5" customHeight="1">
      <c r="A118" s="17">
        <v>116.0</v>
      </c>
      <c r="B118" s="16">
        <v>108.0</v>
      </c>
      <c r="C118" s="13" t="s">
        <v>8768</v>
      </c>
      <c r="D118" s="58" t="s">
        <v>8981</v>
      </c>
      <c r="E118" s="48" t="s">
        <v>8982</v>
      </c>
      <c r="F118" s="51"/>
      <c r="G118" s="51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22.5" customHeight="1">
      <c r="A119" s="17">
        <v>117.0</v>
      </c>
      <c r="B119" s="16">
        <v>108.0</v>
      </c>
      <c r="C119" s="13" t="s">
        <v>8983</v>
      </c>
      <c r="D119" s="57" t="s">
        <v>8984</v>
      </c>
      <c r="E119" s="48" t="s">
        <v>8985</v>
      </c>
      <c r="F119" s="49" t="s">
        <v>18</v>
      </c>
      <c r="G119" s="51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22.5" customHeight="1">
      <c r="A120" s="17">
        <v>118.0</v>
      </c>
      <c r="B120" s="16">
        <v>108.0</v>
      </c>
      <c r="C120" s="13" t="s">
        <v>8986</v>
      </c>
      <c r="D120" s="58" t="s">
        <v>8987</v>
      </c>
      <c r="E120" s="48" t="s">
        <v>8988</v>
      </c>
      <c r="F120" s="51"/>
      <c r="G120" s="51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22.5" customHeight="1">
      <c r="A121" s="17">
        <v>119.0</v>
      </c>
      <c r="B121" s="16">
        <v>108.0</v>
      </c>
      <c r="C121" s="13" t="s">
        <v>4618</v>
      </c>
      <c r="D121" s="57" t="s">
        <v>6208</v>
      </c>
      <c r="E121" s="48" t="s">
        <v>8989</v>
      </c>
      <c r="F121" s="51"/>
      <c r="G121" s="51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22.5" customHeight="1">
      <c r="A122" s="17">
        <v>120.0</v>
      </c>
      <c r="B122" s="16">
        <v>108.0</v>
      </c>
      <c r="C122" s="13" t="s">
        <v>8990</v>
      </c>
      <c r="D122" s="58" t="s">
        <v>8991</v>
      </c>
      <c r="E122" s="48" t="s">
        <v>8992</v>
      </c>
      <c r="F122" s="51"/>
      <c r="G122" s="51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22.5" customHeight="1">
      <c r="A123" s="11">
        <v>121.0</v>
      </c>
      <c r="B123" s="12">
        <v>107.0</v>
      </c>
      <c r="C123" s="13" t="s">
        <v>5733</v>
      </c>
      <c r="D123" s="57" t="s">
        <v>8993</v>
      </c>
      <c r="E123" s="48" t="s">
        <v>8994</v>
      </c>
      <c r="F123" s="49" t="s">
        <v>18</v>
      </c>
      <c r="G123" s="51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22.5" customHeight="1">
      <c r="A124" s="17">
        <v>122.0</v>
      </c>
      <c r="B124" s="12">
        <v>107.0</v>
      </c>
      <c r="C124" s="13" t="s">
        <v>8995</v>
      </c>
      <c r="D124" s="58" t="s">
        <v>8996</v>
      </c>
      <c r="E124" s="48" t="s">
        <v>8997</v>
      </c>
      <c r="F124" s="49" t="s">
        <v>18</v>
      </c>
      <c r="G124" s="51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22.5" customHeight="1">
      <c r="A125" s="11">
        <v>123.0</v>
      </c>
      <c r="B125" s="12">
        <v>107.0</v>
      </c>
      <c r="C125" s="13" t="s">
        <v>8932</v>
      </c>
      <c r="D125" s="57" t="s">
        <v>8933</v>
      </c>
      <c r="E125" s="48" t="s">
        <v>8934</v>
      </c>
      <c r="F125" s="51"/>
      <c r="G125" s="51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22.5" customHeight="1">
      <c r="A126" s="17">
        <v>124.0</v>
      </c>
      <c r="B126" s="12">
        <v>107.0</v>
      </c>
      <c r="C126" s="13" t="s">
        <v>8978</v>
      </c>
      <c r="D126" s="58" t="s">
        <v>8979</v>
      </c>
      <c r="E126" s="48" t="s">
        <v>8980</v>
      </c>
      <c r="F126" s="49" t="s">
        <v>18</v>
      </c>
      <c r="G126" s="51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22.5" customHeight="1">
      <c r="A127" s="11">
        <v>125.0</v>
      </c>
      <c r="B127" s="12">
        <v>107.0</v>
      </c>
      <c r="C127" s="13" t="s">
        <v>6114</v>
      </c>
      <c r="D127" s="57" t="s">
        <v>1931</v>
      </c>
      <c r="E127" s="48" t="s">
        <v>1932</v>
      </c>
      <c r="F127" s="51"/>
      <c r="G127" s="51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22.5" customHeight="1">
      <c r="A128" s="17">
        <v>126.0</v>
      </c>
      <c r="B128" s="12">
        <v>107.0</v>
      </c>
      <c r="C128" s="13" t="s">
        <v>8998</v>
      </c>
      <c r="D128" s="58" t="s">
        <v>8999</v>
      </c>
      <c r="E128" s="48" t="s">
        <v>9000</v>
      </c>
      <c r="F128" s="49" t="s">
        <v>18</v>
      </c>
      <c r="G128" s="51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22.5" customHeight="1">
      <c r="A129" s="11">
        <v>127.0</v>
      </c>
      <c r="B129" s="12">
        <v>107.0</v>
      </c>
      <c r="C129" s="13" t="s">
        <v>5675</v>
      </c>
      <c r="D129" s="57" t="s">
        <v>5674</v>
      </c>
      <c r="E129" s="48" t="s">
        <v>9001</v>
      </c>
      <c r="F129" s="49" t="s">
        <v>18</v>
      </c>
      <c r="G129" s="14" t="s">
        <v>18</v>
      </c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22.5" customHeight="1">
      <c r="A130" s="17">
        <v>128.0</v>
      </c>
      <c r="B130" s="12">
        <v>107.0</v>
      </c>
      <c r="C130" s="13" t="s">
        <v>9002</v>
      </c>
      <c r="D130" s="58" t="s">
        <v>9003</v>
      </c>
      <c r="E130" s="48" t="s">
        <v>9004</v>
      </c>
      <c r="F130" s="51"/>
      <c r="G130" s="51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22.5" customHeight="1">
      <c r="A131" s="11">
        <v>129.0</v>
      </c>
      <c r="B131" s="12">
        <v>107.0</v>
      </c>
      <c r="C131" s="13" t="s">
        <v>9005</v>
      </c>
      <c r="D131" s="57" t="s">
        <v>3003</v>
      </c>
      <c r="E131" s="48" t="s">
        <v>3004</v>
      </c>
      <c r="F131" s="51"/>
      <c r="G131" s="51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22.5" customHeight="1">
      <c r="A132" s="17">
        <v>130.0</v>
      </c>
      <c r="B132" s="12">
        <v>107.0</v>
      </c>
      <c r="C132" s="13" t="s">
        <v>9006</v>
      </c>
      <c r="D132" s="58" t="s">
        <v>9007</v>
      </c>
      <c r="E132" s="48" t="s">
        <v>9008</v>
      </c>
      <c r="F132" s="49" t="s">
        <v>18</v>
      </c>
      <c r="G132" s="51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22.5" customHeight="1">
      <c r="A133" s="11">
        <v>131.0</v>
      </c>
      <c r="B133" s="12">
        <v>107.0</v>
      </c>
      <c r="C133" s="13" t="s">
        <v>9009</v>
      </c>
      <c r="D133" s="57" t="s">
        <v>9010</v>
      </c>
      <c r="E133" s="48" t="s">
        <v>9011</v>
      </c>
      <c r="F133" s="51"/>
      <c r="G133" s="51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22.5" customHeight="1">
      <c r="A134" s="17">
        <v>132.0</v>
      </c>
      <c r="B134" s="12">
        <v>107.0</v>
      </c>
      <c r="C134" s="13" t="s">
        <v>9012</v>
      </c>
      <c r="D134" s="58" t="s">
        <v>3296</v>
      </c>
      <c r="E134" s="48" t="s">
        <v>3297</v>
      </c>
      <c r="F134" s="51"/>
      <c r="G134" s="51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22.5" customHeight="1">
      <c r="A135" s="11">
        <v>133.0</v>
      </c>
      <c r="B135" s="12">
        <v>107.0</v>
      </c>
      <c r="C135" s="13" t="s">
        <v>9013</v>
      </c>
      <c r="D135" s="57" t="s">
        <v>9014</v>
      </c>
      <c r="E135" s="48" t="s">
        <v>9015</v>
      </c>
      <c r="F135" s="51"/>
      <c r="G135" s="51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22.5" customHeight="1">
      <c r="A136" s="17">
        <v>134.0</v>
      </c>
      <c r="B136" s="12">
        <v>107.0</v>
      </c>
      <c r="C136" s="13" t="s">
        <v>9016</v>
      </c>
      <c r="D136" s="58" t="s">
        <v>9017</v>
      </c>
      <c r="E136" s="48" t="s">
        <v>9018</v>
      </c>
      <c r="F136" s="49" t="s">
        <v>18</v>
      </c>
      <c r="G136" s="51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22.5" customHeight="1">
      <c r="A137" s="11">
        <v>135.0</v>
      </c>
      <c r="B137" s="12">
        <v>107.0</v>
      </c>
      <c r="C137" s="13" t="s">
        <v>8747</v>
      </c>
      <c r="D137" s="57" t="s">
        <v>8748</v>
      </c>
      <c r="E137" s="48" t="s">
        <v>9019</v>
      </c>
      <c r="F137" s="51"/>
      <c r="G137" s="51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22.5" customHeight="1">
      <c r="A138" s="17">
        <v>136.0</v>
      </c>
      <c r="B138" s="12">
        <v>107.0</v>
      </c>
      <c r="C138" s="13" t="s">
        <v>9020</v>
      </c>
      <c r="D138" s="58" t="s">
        <v>1730</v>
      </c>
      <c r="E138" s="48" t="s">
        <v>1968</v>
      </c>
      <c r="F138" s="51"/>
      <c r="G138" s="51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22.5" customHeight="1">
      <c r="A139" s="11">
        <v>137.0</v>
      </c>
      <c r="B139" s="12">
        <v>107.0</v>
      </c>
      <c r="C139" s="13" t="s">
        <v>9021</v>
      </c>
      <c r="D139" s="57" t="s">
        <v>9022</v>
      </c>
      <c r="E139" s="48" t="s">
        <v>9023</v>
      </c>
      <c r="F139" s="49" t="s">
        <v>18</v>
      </c>
      <c r="G139" s="51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22.5" customHeight="1">
      <c r="A140" s="17">
        <v>138.0</v>
      </c>
      <c r="B140" s="12">
        <v>107.0</v>
      </c>
      <c r="C140" s="13" t="s">
        <v>9024</v>
      </c>
      <c r="D140" s="58" t="s">
        <v>9025</v>
      </c>
      <c r="E140" s="48" t="s">
        <v>9026</v>
      </c>
      <c r="F140" s="51"/>
      <c r="G140" s="51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22.5" customHeight="1">
      <c r="A141" s="11">
        <v>139.0</v>
      </c>
      <c r="B141" s="12">
        <v>107.0</v>
      </c>
      <c r="C141" s="13" t="s">
        <v>8960</v>
      </c>
      <c r="D141" s="57" t="s">
        <v>8961</v>
      </c>
      <c r="E141" s="48" t="s">
        <v>8962</v>
      </c>
      <c r="F141" s="51"/>
      <c r="G141" s="51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22.5" customHeight="1">
      <c r="A142" s="17">
        <v>140.0</v>
      </c>
      <c r="B142" s="12">
        <v>107.0</v>
      </c>
      <c r="C142" s="13" t="s">
        <v>9027</v>
      </c>
      <c r="D142" s="58" t="s">
        <v>9028</v>
      </c>
      <c r="E142" s="48" t="s">
        <v>9029</v>
      </c>
      <c r="F142" s="49" t="s">
        <v>18</v>
      </c>
      <c r="G142" s="51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22.5" customHeight="1">
      <c r="A143" s="11">
        <v>141.0</v>
      </c>
      <c r="B143" s="12">
        <v>107.0</v>
      </c>
      <c r="C143" s="13" t="s">
        <v>5289</v>
      </c>
      <c r="D143" s="57" t="s">
        <v>5288</v>
      </c>
      <c r="E143" s="48" t="s">
        <v>9030</v>
      </c>
      <c r="F143" s="49" t="s">
        <v>18</v>
      </c>
      <c r="G143" s="51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22.5" customHeight="1">
      <c r="A144" s="17">
        <v>142.0</v>
      </c>
      <c r="B144" s="12">
        <v>107.0</v>
      </c>
      <c r="C144" s="13" t="s">
        <v>9031</v>
      </c>
      <c r="D144" s="58" t="s">
        <v>9032</v>
      </c>
      <c r="E144" s="48" t="s">
        <v>9033</v>
      </c>
      <c r="F144" s="49" t="s">
        <v>18</v>
      </c>
      <c r="G144" s="51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22.5" customHeight="1">
      <c r="A145" s="11">
        <v>143.0</v>
      </c>
      <c r="B145" s="12">
        <v>107.0</v>
      </c>
      <c r="C145" s="13" t="s">
        <v>9034</v>
      </c>
      <c r="D145" s="57" t="s">
        <v>9035</v>
      </c>
      <c r="E145" s="48" t="s">
        <v>9036</v>
      </c>
      <c r="F145" s="49" t="s">
        <v>18</v>
      </c>
      <c r="G145" s="51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22.5" customHeight="1">
      <c r="A146" s="17">
        <v>144.0</v>
      </c>
      <c r="B146" s="12">
        <v>107.0</v>
      </c>
      <c r="C146" s="13" t="s">
        <v>5500</v>
      </c>
      <c r="D146" s="58" t="s">
        <v>5499</v>
      </c>
      <c r="E146" s="48" t="s">
        <v>9037</v>
      </c>
      <c r="F146" s="49" t="s">
        <v>18</v>
      </c>
      <c r="G146" s="14" t="s">
        <v>18</v>
      </c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22.5" customHeight="1">
      <c r="A147" s="11">
        <v>145.0</v>
      </c>
      <c r="B147" s="12">
        <v>107.0</v>
      </c>
      <c r="C147" s="13" t="s">
        <v>9038</v>
      </c>
      <c r="D147" s="57" t="s">
        <v>9039</v>
      </c>
      <c r="E147" s="48" t="s">
        <v>9040</v>
      </c>
      <c r="F147" s="49" t="s">
        <v>18</v>
      </c>
      <c r="G147" s="51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22.5" customHeight="1">
      <c r="A148" s="17">
        <v>146.0</v>
      </c>
      <c r="B148" s="12">
        <v>107.0</v>
      </c>
      <c r="C148" s="13" t="s">
        <v>9041</v>
      </c>
      <c r="D148" s="58" t="s">
        <v>9042</v>
      </c>
      <c r="E148" s="48" t="s">
        <v>9043</v>
      </c>
      <c r="F148" s="51"/>
      <c r="G148" s="51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22.5" customHeight="1">
      <c r="A149" s="11">
        <v>147.0</v>
      </c>
      <c r="B149" s="12">
        <v>107.0</v>
      </c>
      <c r="C149" s="13" t="s">
        <v>9044</v>
      </c>
      <c r="D149" s="57" t="s">
        <v>9045</v>
      </c>
      <c r="E149" s="48" t="s">
        <v>9046</v>
      </c>
      <c r="F149" s="49" t="s">
        <v>18</v>
      </c>
      <c r="G149" s="51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22.5" customHeight="1">
      <c r="A150" s="17">
        <v>148.0</v>
      </c>
      <c r="B150" s="12">
        <v>107.0</v>
      </c>
      <c r="C150" s="13" t="s">
        <v>9047</v>
      </c>
      <c r="D150" s="58" t="s">
        <v>9048</v>
      </c>
      <c r="E150" s="48" t="s">
        <v>9049</v>
      </c>
      <c r="F150" s="49" t="s">
        <v>18</v>
      </c>
      <c r="G150" s="51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22.5" customHeight="1">
      <c r="A151" s="11">
        <v>149.0</v>
      </c>
      <c r="B151" s="12">
        <v>107.0</v>
      </c>
      <c r="C151" s="13" t="s">
        <v>8841</v>
      </c>
      <c r="D151" s="57" t="s">
        <v>8842</v>
      </c>
      <c r="E151" s="48" t="s">
        <v>9050</v>
      </c>
      <c r="F151" s="49" t="s">
        <v>18</v>
      </c>
      <c r="G151" s="51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22.5" customHeight="1">
      <c r="A152" s="17">
        <v>150.0</v>
      </c>
      <c r="B152" s="12">
        <v>107.0</v>
      </c>
      <c r="C152" s="13" t="s">
        <v>4714</v>
      </c>
      <c r="D152" s="58" t="s">
        <v>9051</v>
      </c>
      <c r="E152" s="48" t="s">
        <v>9052</v>
      </c>
      <c r="F152" s="51"/>
      <c r="G152" s="51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22.5" customHeight="1">
      <c r="A153" s="11">
        <v>151.0</v>
      </c>
      <c r="B153" s="12">
        <v>106.0</v>
      </c>
      <c r="C153" s="13" t="s">
        <v>9053</v>
      </c>
      <c r="D153" s="57" t="s">
        <v>9054</v>
      </c>
      <c r="E153" s="48" t="s">
        <v>9055</v>
      </c>
      <c r="F153" s="51"/>
      <c r="G153" s="51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22.5" customHeight="1">
      <c r="A154" s="17">
        <v>152.0</v>
      </c>
      <c r="B154" s="12">
        <v>106.0</v>
      </c>
      <c r="C154" s="13" t="s">
        <v>9056</v>
      </c>
      <c r="D154" s="58" t="s">
        <v>9057</v>
      </c>
      <c r="E154" s="48" t="s">
        <v>9058</v>
      </c>
      <c r="F154" s="51"/>
      <c r="G154" s="51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22.5" customHeight="1">
      <c r="A155" s="11">
        <v>153.0</v>
      </c>
      <c r="B155" s="12">
        <v>106.0</v>
      </c>
      <c r="C155" s="13" t="s">
        <v>1176</v>
      </c>
      <c r="D155" s="57" t="s">
        <v>1175</v>
      </c>
      <c r="E155" s="48" t="s">
        <v>9059</v>
      </c>
      <c r="F155" s="49" t="s">
        <v>18</v>
      </c>
      <c r="G155" s="51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22.5" customHeight="1">
      <c r="A156" s="17">
        <v>154.0</v>
      </c>
      <c r="B156" s="12">
        <v>106.0</v>
      </c>
      <c r="C156" s="13" t="s">
        <v>9060</v>
      </c>
      <c r="D156" s="58" t="s">
        <v>9061</v>
      </c>
      <c r="E156" s="48" t="s">
        <v>9062</v>
      </c>
      <c r="F156" s="49" t="s">
        <v>18</v>
      </c>
      <c r="G156" s="14" t="s">
        <v>18</v>
      </c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22.5" customHeight="1">
      <c r="A157" s="11">
        <v>155.0</v>
      </c>
      <c r="B157" s="12">
        <v>106.0</v>
      </c>
      <c r="C157" s="13" t="s">
        <v>8975</v>
      </c>
      <c r="D157" s="57" t="s">
        <v>8976</v>
      </c>
      <c r="E157" s="48" t="s">
        <v>8977</v>
      </c>
      <c r="F157" s="51"/>
      <c r="G157" s="51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22.5" customHeight="1">
      <c r="A158" s="17">
        <v>156.0</v>
      </c>
      <c r="B158" s="12">
        <v>106.0</v>
      </c>
      <c r="C158" s="13" t="s">
        <v>9063</v>
      </c>
      <c r="D158" s="58" t="s">
        <v>9064</v>
      </c>
      <c r="E158" s="48" t="s">
        <v>9065</v>
      </c>
      <c r="F158" s="51"/>
      <c r="G158" s="51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22.5" customHeight="1">
      <c r="A159" s="11">
        <v>157.0</v>
      </c>
      <c r="B159" s="12">
        <v>106.0</v>
      </c>
      <c r="C159" s="13" t="s">
        <v>9066</v>
      </c>
      <c r="D159" s="57" t="s">
        <v>9067</v>
      </c>
      <c r="E159" s="48" t="s">
        <v>9068</v>
      </c>
      <c r="F159" s="51"/>
      <c r="G159" s="51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22.5" customHeight="1">
      <c r="A160" s="17">
        <v>158.0</v>
      </c>
      <c r="B160" s="12">
        <v>106.0</v>
      </c>
      <c r="C160" s="13" t="s">
        <v>9069</v>
      </c>
      <c r="D160" s="58" t="s">
        <v>9070</v>
      </c>
      <c r="E160" s="48" t="s">
        <v>9071</v>
      </c>
      <c r="F160" s="49" t="s">
        <v>18</v>
      </c>
      <c r="G160" s="51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22.5" customHeight="1">
      <c r="A161" s="11">
        <v>159.0</v>
      </c>
      <c r="B161" s="12">
        <v>106.0</v>
      </c>
      <c r="C161" s="13" t="s">
        <v>9072</v>
      </c>
      <c r="D161" s="57" t="s">
        <v>9073</v>
      </c>
      <c r="E161" s="48" t="s">
        <v>9074</v>
      </c>
      <c r="F161" s="49" t="s">
        <v>18</v>
      </c>
      <c r="G161" s="14" t="s">
        <v>18</v>
      </c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22.5" customHeight="1">
      <c r="A162" s="17">
        <v>160.0</v>
      </c>
      <c r="B162" s="12">
        <v>106.0</v>
      </c>
      <c r="C162" s="13" t="s">
        <v>9075</v>
      </c>
      <c r="D162" s="58" t="s">
        <v>9076</v>
      </c>
      <c r="E162" s="48" t="s">
        <v>9077</v>
      </c>
      <c r="F162" s="49" t="s">
        <v>18</v>
      </c>
      <c r="G162" s="51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22.5" customHeight="1">
      <c r="A163" s="11">
        <v>161.0</v>
      </c>
      <c r="B163" s="12">
        <v>106.0</v>
      </c>
      <c r="C163" s="13" t="s">
        <v>4396</v>
      </c>
      <c r="D163" s="57" t="s">
        <v>4428</v>
      </c>
      <c r="E163" s="48" t="s">
        <v>9078</v>
      </c>
      <c r="F163" s="49" t="s">
        <v>18</v>
      </c>
      <c r="G163" s="51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22.5" customHeight="1">
      <c r="A164" s="17">
        <v>162.0</v>
      </c>
      <c r="B164" s="12">
        <v>106.0</v>
      </c>
      <c r="C164" s="13" t="s">
        <v>9079</v>
      </c>
      <c r="D164" s="58" t="s">
        <v>9080</v>
      </c>
      <c r="E164" s="48" t="s">
        <v>9081</v>
      </c>
      <c r="F164" s="49" t="s">
        <v>18</v>
      </c>
      <c r="G164" s="51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22.5" customHeight="1">
      <c r="A165" s="11">
        <v>163.0</v>
      </c>
      <c r="B165" s="12">
        <v>106.0</v>
      </c>
      <c r="C165" s="13" t="s">
        <v>9082</v>
      </c>
      <c r="D165" s="57" t="s">
        <v>9083</v>
      </c>
      <c r="E165" s="48" t="s">
        <v>9084</v>
      </c>
      <c r="F165" s="49" t="s">
        <v>18</v>
      </c>
      <c r="G165" s="51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22.5" customHeight="1">
      <c r="A166" s="17">
        <v>164.0</v>
      </c>
      <c r="B166" s="12">
        <v>106.0</v>
      </c>
      <c r="C166" s="13" t="s">
        <v>9085</v>
      </c>
      <c r="D166" s="58" t="s">
        <v>9086</v>
      </c>
      <c r="E166" s="48" t="s">
        <v>9087</v>
      </c>
      <c r="F166" s="49" t="s">
        <v>18</v>
      </c>
      <c r="G166" s="51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22.5" customHeight="1">
      <c r="A167" s="11">
        <v>165.0</v>
      </c>
      <c r="B167" s="12">
        <v>106.0</v>
      </c>
      <c r="C167" s="13" t="s">
        <v>5792</v>
      </c>
      <c r="D167" s="57" t="s">
        <v>5791</v>
      </c>
      <c r="E167" s="48" t="s">
        <v>9088</v>
      </c>
      <c r="F167" s="51"/>
      <c r="G167" s="51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22.5" customHeight="1">
      <c r="A168" s="17">
        <v>166.0</v>
      </c>
      <c r="B168" s="12">
        <v>106.0</v>
      </c>
      <c r="C168" s="13" t="s">
        <v>9089</v>
      </c>
      <c r="D168" s="58" t="s">
        <v>9090</v>
      </c>
      <c r="E168" s="48" t="s">
        <v>9091</v>
      </c>
      <c r="F168" s="49" t="s">
        <v>18</v>
      </c>
      <c r="G168" s="51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22.5" customHeight="1">
      <c r="A169" s="11">
        <v>167.0</v>
      </c>
      <c r="B169" s="12">
        <v>106.0</v>
      </c>
      <c r="C169" s="13" t="s">
        <v>9092</v>
      </c>
      <c r="D169" s="57" t="s">
        <v>9093</v>
      </c>
      <c r="E169" s="48" t="s">
        <v>9094</v>
      </c>
      <c r="F169" s="49" t="s">
        <v>18</v>
      </c>
      <c r="G169" s="51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22.5" customHeight="1">
      <c r="A170" s="17">
        <v>168.0</v>
      </c>
      <c r="B170" s="12">
        <v>106.0</v>
      </c>
      <c r="C170" s="13" t="s">
        <v>9095</v>
      </c>
      <c r="D170" s="58" t="s">
        <v>9096</v>
      </c>
      <c r="E170" s="48" t="s">
        <v>9097</v>
      </c>
      <c r="F170" s="49" t="s">
        <v>18</v>
      </c>
      <c r="G170" s="51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22.5" customHeight="1">
      <c r="A171" s="11">
        <v>169.0</v>
      </c>
      <c r="B171" s="12">
        <v>106.0</v>
      </c>
      <c r="C171" s="13" t="s">
        <v>9098</v>
      </c>
      <c r="D171" s="57" t="s">
        <v>9099</v>
      </c>
      <c r="E171" s="48" t="s">
        <v>9100</v>
      </c>
      <c r="F171" s="49" t="s">
        <v>18</v>
      </c>
      <c r="G171" s="51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22.5" customHeight="1">
      <c r="A172" s="17">
        <v>170.0</v>
      </c>
      <c r="B172" s="12">
        <v>106.0</v>
      </c>
      <c r="C172" s="13" t="s">
        <v>9101</v>
      </c>
      <c r="D172" s="58" t="s">
        <v>9102</v>
      </c>
      <c r="E172" s="48" t="s">
        <v>9103</v>
      </c>
      <c r="F172" s="49" t="s">
        <v>18</v>
      </c>
      <c r="G172" s="51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22.5" customHeight="1">
      <c r="A173" s="11">
        <v>171.0</v>
      </c>
      <c r="B173" s="12">
        <v>106.0</v>
      </c>
      <c r="C173" s="13" t="s">
        <v>9104</v>
      </c>
      <c r="D173" s="57" t="s">
        <v>9105</v>
      </c>
      <c r="E173" s="48" t="s">
        <v>9106</v>
      </c>
      <c r="F173" s="49" t="s">
        <v>18</v>
      </c>
      <c r="G173" s="51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22.5" customHeight="1">
      <c r="A174" s="17">
        <v>172.0</v>
      </c>
      <c r="B174" s="12">
        <v>106.0</v>
      </c>
      <c r="C174" s="13" t="s">
        <v>9107</v>
      </c>
      <c r="D174" s="58" t="s">
        <v>9108</v>
      </c>
      <c r="E174" s="48" t="s">
        <v>9109</v>
      </c>
      <c r="F174" s="49" t="s">
        <v>18</v>
      </c>
      <c r="G174" s="51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22.5" customHeight="1">
      <c r="A175" s="11">
        <v>173.0</v>
      </c>
      <c r="B175" s="12">
        <v>106.0</v>
      </c>
      <c r="C175" s="13" t="s">
        <v>9110</v>
      </c>
      <c r="D175" s="57" t="s">
        <v>9111</v>
      </c>
      <c r="E175" s="48" t="s">
        <v>9112</v>
      </c>
      <c r="F175" s="49" t="s">
        <v>18</v>
      </c>
      <c r="G175" s="51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22.5" customHeight="1">
      <c r="A176" s="17">
        <v>174.0</v>
      </c>
      <c r="B176" s="12">
        <v>106.0</v>
      </c>
      <c r="C176" s="13" t="s">
        <v>9113</v>
      </c>
      <c r="D176" s="58" t="s">
        <v>9114</v>
      </c>
      <c r="E176" s="48" t="s">
        <v>9115</v>
      </c>
      <c r="F176" s="49" t="s">
        <v>18</v>
      </c>
      <c r="G176" s="51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22.5" customHeight="1">
      <c r="A177" s="11">
        <v>175.0</v>
      </c>
      <c r="B177" s="12">
        <v>106.0</v>
      </c>
      <c r="C177" s="13" t="s">
        <v>5049</v>
      </c>
      <c r="D177" s="57" t="s">
        <v>9116</v>
      </c>
      <c r="E177" s="48" t="s">
        <v>9117</v>
      </c>
      <c r="F177" s="51"/>
      <c r="G177" s="51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22.5" customHeight="1">
      <c r="A178" s="17">
        <v>176.0</v>
      </c>
      <c r="B178" s="12">
        <v>106.0</v>
      </c>
      <c r="C178" s="13" t="s">
        <v>9118</v>
      </c>
      <c r="D178" s="58" t="s">
        <v>9119</v>
      </c>
      <c r="E178" s="48" t="s">
        <v>9120</v>
      </c>
      <c r="F178" s="49" t="s">
        <v>18</v>
      </c>
      <c r="G178" s="51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22.5" customHeight="1">
      <c r="A179" s="11">
        <v>177.0</v>
      </c>
      <c r="B179" s="12">
        <v>106.0</v>
      </c>
      <c r="C179" s="13" t="s">
        <v>9121</v>
      </c>
      <c r="D179" s="57" t="s">
        <v>9122</v>
      </c>
      <c r="E179" s="48" t="s">
        <v>9123</v>
      </c>
      <c r="F179" s="51"/>
      <c r="G179" s="51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22.5" customHeight="1">
      <c r="A180" s="17">
        <v>178.0</v>
      </c>
      <c r="B180" s="12">
        <v>106.0</v>
      </c>
      <c r="C180" s="13" t="s">
        <v>8937</v>
      </c>
      <c r="D180" s="58" t="s">
        <v>8938</v>
      </c>
      <c r="E180" s="48" t="s">
        <v>8939</v>
      </c>
      <c r="F180" s="51"/>
      <c r="G180" s="51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22.5" customHeight="1">
      <c r="A181" s="11">
        <v>179.0</v>
      </c>
      <c r="B181" s="12">
        <v>106.0</v>
      </c>
      <c r="C181" s="13" t="s">
        <v>9124</v>
      </c>
      <c r="D181" s="57" t="s">
        <v>9125</v>
      </c>
      <c r="E181" s="48" t="s">
        <v>9126</v>
      </c>
      <c r="F181" s="51"/>
      <c r="G181" s="51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22.5" customHeight="1">
      <c r="A182" s="17">
        <v>180.0</v>
      </c>
      <c r="B182" s="12">
        <v>106.0</v>
      </c>
      <c r="C182" s="13" t="s">
        <v>9127</v>
      </c>
      <c r="D182" s="58" t="s">
        <v>9128</v>
      </c>
      <c r="E182" s="48" t="s">
        <v>9129</v>
      </c>
      <c r="F182" s="49" t="s">
        <v>18</v>
      </c>
      <c r="G182" s="51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22.5" customHeight="1">
      <c r="A183" s="11">
        <v>181.0</v>
      </c>
      <c r="B183" s="12">
        <v>105.0</v>
      </c>
      <c r="C183" s="13" t="s">
        <v>9130</v>
      </c>
      <c r="D183" s="57" t="s">
        <v>9131</v>
      </c>
      <c r="E183" s="48" t="s">
        <v>9132</v>
      </c>
      <c r="F183" s="49" t="s">
        <v>18</v>
      </c>
      <c r="G183" s="51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22.5" customHeight="1">
      <c r="A184" s="17">
        <v>182.0</v>
      </c>
      <c r="B184" s="12">
        <v>105.0</v>
      </c>
      <c r="C184" s="13" t="s">
        <v>4838</v>
      </c>
      <c r="D184" s="58" t="s">
        <v>4837</v>
      </c>
      <c r="E184" s="48" t="s">
        <v>9133</v>
      </c>
      <c r="F184" s="51"/>
      <c r="G184" s="51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22.5" customHeight="1">
      <c r="A185" s="11">
        <v>183.0</v>
      </c>
      <c r="B185" s="12">
        <v>105.0</v>
      </c>
      <c r="C185" s="13" t="s">
        <v>9134</v>
      </c>
      <c r="D185" s="57" t="s">
        <v>9135</v>
      </c>
      <c r="E185" s="48" t="s">
        <v>9136</v>
      </c>
      <c r="F185" s="49" t="s">
        <v>18</v>
      </c>
      <c r="G185" s="51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22.5" customHeight="1">
      <c r="A186" s="17">
        <v>184.0</v>
      </c>
      <c r="B186" s="12">
        <v>105.0</v>
      </c>
      <c r="C186" s="13" t="s">
        <v>9137</v>
      </c>
      <c r="D186" s="58" t="s">
        <v>9138</v>
      </c>
      <c r="E186" s="48" t="s">
        <v>9139</v>
      </c>
      <c r="F186" s="49" t="s">
        <v>18</v>
      </c>
      <c r="G186" s="51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22.5" customHeight="1">
      <c r="A187" s="11">
        <v>185.0</v>
      </c>
      <c r="B187" s="12">
        <v>105.0</v>
      </c>
      <c r="C187" s="13" t="s">
        <v>9140</v>
      </c>
      <c r="D187" s="57" t="s">
        <v>9141</v>
      </c>
      <c r="E187" s="48" t="s">
        <v>9142</v>
      </c>
      <c r="F187" s="51"/>
      <c r="G187" s="51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22.5" customHeight="1">
      <c r="A188" s="17">
        <v>186.0</v>
      </c>
      <c r="B188" s="12">
        <v>105.0</v>
      </c>
      <c r="C188" s="13" t="s">
        <v>9143</v>
      </c>
      <c r="D188" s="58" t="s">
        <v>9144</v>
      </c>
      <c r="E188" s="48" t="s">
        <v>9145</v>
      </c>
      <c r="F188" s="49" t="s">
        <v>18</v>
      </c>
      <c r="G188" s="14" t="s">
        <v>18</v>
      </c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22.5" customHeight="1">
      <c r="A189" s="11">
        <v>187.0</v>
      </c>
      <c r="B189" s="12">
        <v>105.0</v>
      </c>
      <c r="C189" s="13" t="s">
        <v>9146</v>
      </c>
      <c r="D189" s="57" t="s">
        <v>9147</v>
      </c>
      <c r="E189" s="48" t="s">
        <v>9148</v>
      </c>
      <c r="F189" s="51"/>
      <c r="G189" s="51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22.5" customHeight="1">
      <c r="A190" s="17">
        <v>188.0</v>
      </c>
      <c r="B190" s="12">
        <v>105.0</v>
      </c>
      <c r="C190" s="13" t="s">
        <v>9149</v>
      </c>
      <c r="D190" s="58" t="s">
        <v>9150</v>
      </c>
      <c r="E190" s="48" t="s">
        <v>9151</v>
      </c>
      <c r="F190" s="51"/>
      <c r="G190" s="51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22.5" customHeight="1">
      <c r="A191" s="11">
        <v>189.0</v>
      </c>
      <c r="B191" s="12">
        <v>105.0</v>
      </c>
      <c r="C191" s="13" t="s">
        <v>9152</v>
      </c>
      <c r="D191" s="57" t="s">
        <v>9153</v>
      </c>
      <c r="E191" s="48" t="s">
        <v>9154</v>
      </c>
      <c r="F191" s="49" t="s">
        <v>18</v>
      </c>
      <c r="G191" s="51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22.5" customHeight="1">
      <c r="A192" s="17">
        <v>190.0</v>
      </c>
      <c r="B192" s="12">
        <v>105.0</v>
      </c>
      <c r="C192" s="13" t="s">
        <v>9155</v>
      </c>
      <c r="D192" s="58" t="s">
        <v>9156</v>
      </c>
      <c r="E192" s="48" t="s">
        <v>9157</v>
      </c>
      <c r="F192" s="51"/>
      <c r="G192" s="51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22.5" customHeight="1">
      <c r="A193" s="11">
        <v>191.0</v>
      </c>
      <c r="B193" s="12">
        <v>105.0</v>
      </c>
      <c r="C193" s="13" t="s">
        <v>9158</v>
      </c>
      <c r="D193" s="57" t="s">
        <v>9159</v>
      </c>
      <c r="E193" s="48" t="s">
        <v>9160</v>
      </c>
      <c r="F193" s="51"/>
      <c r="G193" s="51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22.5" customHeight="1">
      <c r="A194" s="17">
        <v>192.0</v>
      </c>
      <c r="B194" s="12">
        <v>105.0</v>
      </c>
      <c r="C194" s="13" t="s">
        <v>8927</v>
      </c>
      <c r="D194" s="58" t="s">
        <v>1702</v>
      </c>
      <c r="E194" s="48" t="s">
        <v>2009</v>
      </c>
      <c r="F194" s="51"/>
      <c r="G194" s="51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22.5" customHeight="1">
      <c r="A195" s="11">
        <v>193.0</v>
      </c>
      <c r="B195" s="12">
        <v>105.0</v>
      </c>
      <c r="C195" s="13" t="s">
        <v>9161</v>
      </c>
      <c r="D195" s="57" t="s">
        <v>9162</v>
      </c>
      <c r="E195" s="48" t="s">
        <v>9163</v>
      </c>
      <c r="F195" s="49" t="s">
        <v>18</v>
      </c>
      <c r="G195" s="14" t="s">
        <v>18</v>
      </c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22.5" customHeight="1">
      <c r="A196" s="17">
        <v>194.0</v>
      </c>
      <c r="B196" s="12">
        <v>105.0</v>
      </c>
      <c r="C196" s="13" t="s">
        <v>9164</v>
      </c>
      <c r="D196" s="58" t="s">
        <v>1637</v>
      </c>
      <c r="E196" s="48" t="s">
        <v>9165</v>
      </c>
      <c r="F196" s="49" t="s">
        <v>18</v>
      </c>
      <c r="G196" s="51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22.5" customHeight="1">
      <c r="A197" s="11">
        <v>195.0</v>
      </c>
      <c r="B197" s="12">
        <v>105.0</v>
      </c>
      <c r="C197" s="13" t="s">
        <v>9166</v>
      </c>
      <c r="D197" s="57" t="s">
        <v>9167</v>
      </c>
      <c r="E197" s="48" t="s">
        <v>9168</v>
      </c>
      <c r="F197" s="51"/>
      <c r="G197" s="51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22.5" customHeight="1">
      <c r="A198" s="17">
        <v>196.0</v>
      </c>
      <c r="B198" s="12">
        <v>105.0</v>
      </c>
      <c r="C198" s="13" t="s">
        <v>9079</v>
      </c>
      <c r="D198" s="58" t="s">
        <v>9080</v>
      </c>
      <c r="E198" s="48" t="s">
        <v>9081</v>
      </c>
      <c r="F198" s="51"/>
      <c r="G198" s="51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22.5" customHeight="1">
      <c r="A199" s="11">
        <v>197.0</v>
      </c>
      <c r="B199" s="12">
        <v>105.0</v>
      </c>
      <c r="C199" s="13" t="s">
        <v>9169</v>
      </c>
      <c r="D199" s="57" t="s">
        <v>9170</v>
      </c>
      <c r="E199" s="48" t="s">
        <v>9171</v>
      </c>
      <c r="F199" s="49" t="s">
        <v>18</v>
      </c>
      <c r="G199" s="51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22.5" customHeight="1">
      <c r="A200" s="17">
        <v>198.0</v>
      </c>
      <c r="B200" s="12">
        <v>105.0</v>
      </c>
      <c r="C200" s="13" t="s">
        <v>9172</v>
      </c>
      <c r="D200" s="58" t="s">
        <v>9173</v>
      </c>
      <c r="E200" s="48" t="s">
        <v>9174</v>
      </c>
      <c r="F200" s="49" t="s">
        <v>18</v>
      </c>
      <c r="G200" s="51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22.5" customHeight="1">
      <c r="A201" s="11">
        <v>199.0</v>
      </c>
      <c r="B201" s="12">
        <v>105.0</v>
      </c>
      <c r="C201" s="13" t="s">
        <v>5360</v>
      </c>
      <c r="D201" s="57" t="s">
        <v>9175</v>
      </c>
      <c r="E201" s="48" t="s">
        <v>9176</v>
      </c>
      <c r="F201" s="51"/>
      <c r="G201" s="51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22.5" customHeight="1">
      <c r="A202" s="17">
        <v>200.0</v>
      </c>
      <c r="B202" s="12">
        <v>105.0</v>
      </c>
      <c r="C202" s="13" t="s">
        <v>9177</v>
      </c>
      <c r="D202" s="58" t="s">
        <v>9178</v>
      </c>
      <c r="E202" s="48" t="s">
        <v>9179</v>
      </c>
      <c r="F202" s="49" t="s">
        <v>18</v>
      </c>
      <c r="G202" s="51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22.5" customHeight="1">
      <c r="A203" s="11">
        <v>201.0</v>
      </c>
      <c r="B203" s="12">
        <v>105.0</v>
      </c>
      <c r="C203" s="13" t="s">
        <v>9180</v>
      </c>
      <c r="D203" s="57" t="s">
        <v>9181</v>
      </c>
      <c r="E203" s="48" t="s">
        <v>9182</v>
      </c>
      <c r="F203" s="51"/>
      <c r="G203" s="51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22.5" customHeight="1">
      <c r="A204" s="17">
        <v>202.0</v>
      </c>
      <c r="B204" s="12">
        <v>105.0</v>
      </c>
      <c r="C204" s="13" t="s">
        <v>9183</v>
      </c>
      <c r="D204" s="58" t="s">
        <v>9184</v>
      </c>
      <c r="E204" s="48" t="s">
        <v>9185</v>
      </c>
      <c r="F204" s="49" t="s">
        <v>18</v>
      </c>
      <c r="G204" s="51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22.5" customHeight="1">
      <c r="A205" s="11">
        <v>203.0</v>
      </c>
      <c r="B205" s="12">
        <v>105.0</v>
      </c>
      <c r="C205" s="13" t="s">
        <v>8827</v>
      </c>
      <c r="D205" s="57" t="s">
        <v>8828</v>
      </c>
      <c r="E205" s="48" t="s">
        <v>8829</v>
      </c>
      <c r="F205" s="51"/>
      <c r="G205" s="51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22.5" customHeight="1">
      <c r="A206" s="17">
        <v>204.0</v>
      </c>
      <c r="B206" s="12">
        <v>105.0</v>
      </c>
      <c r="C206" s="13" t="s">
        <v>9186</v>
      </c>
      <c r="D206" s="58" t="s">
        <v>9187</v>
      </c>
      <c r="E206" s="48" t="s">
        <v>9188</v>
      </c>
      <c r="F206" s="51"/>
      <c r="G206" s="51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22.5" customHeight="1">
      <c r="A207" s="11">
        <v>205.0</v>
      </c>
      <c r="B207" s="12">
        <v>105.0</v>
      </c>
      <c r="C207" s="13" t="s">
        <v>8871</v>
      </c>
      <c r="D207" s="57" t="s">
        <v>8872</v>
      </c>
      <c r="E207" s="48" t="s">
        <v>8873</v>
      </c>
      <c r="F207" s="49" t="s">
        <v>18</v>
      </c>
      <c r="G207" s="14" t="s">
        <v>18</v>
      </c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22.5" customHeight="1">
      <c r="A208" s="17">
        <v>206.0</v>
      </c>
      <c r="B208" s="12">
        <v>105.0</v>
      </c>
      <c r="C208" s="13" t="s">
        <v>9189</v>
      </c>
      <c r="D208" s="58" t="s">
        <v>9190</v>
      </c>
      <c r="E208" s="48" t="s">
        <v>9191</v>
      </c>
      <c r="F208" s="49" t="s">
        <v>18</v>
      </c>
      <c r="G208" s="51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22.5" customHeight="1">
      <c r="A209" s="11">
        <v>207.0</v>
      </c>
      <c r="B209" s="12">
        <v>105.0</v>
      </c>
      <c r="C209" s="13" t="s">
        <v>9056</v>
      </c>
      <c r="D209" s="57" t="s">
        <v>9057</v>
      </c>
      <c r="E209" s="48" t="s">
        <v>9058</v>
      </c>
      <c r="F209" s="51"/>
      <c r="G209" s="51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22.5" customHeight="1">
      <c r="A210" s="17">
        <v>208.0</v>
      </c>
      <c r="B210" s="12">
        <v>105.0</v>
      </c>
      <c r="C210" s="13" t="s">
        <v>9192</v>
      </c>
      <c r="D210" s="58" t="s">
        <v>9193</v>
      </c>
      <c r="E210" s="48" t="s">
        <v>9194</v>
      </c>
      <c r="F210" s="51"/>
      <c r="G210" s="51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22.5" customHeight="1">
      <c r="A211" s="11">
        <v>209.0</v>
      </c>
      <c r="B211" s="12">
        <v>105.0</v>
      </c>
      <c r="C211" s="13" t="s">
        <v>9195</v>
      </c>
      <c r="D211" s="57" t="s">
        <v>9196</v>
      </c>
      <c r="E211" s="48" t="s">
        <v>9197</v>
      </c>
      <c r="F211" s="49" t="s">
        <v>18</v>
      </c>
      <c r="G211" s="51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22.5" customHeight="1">
      <c r="A212" s="17">
        <v>210.0</v>
      </c>
      <c r="B212" s="12">
        <v>105.0</v>
      </c>
      <c r="C212" s="13" t="s">
        <v>9198</v>
      </c>
      <c r="D212" s="58" t="s">
        <v>9199</v>
      </c>
      <c r="E212" s="48" t="s">
        <v>9200</v>
      </c>
      <c r="F212" s="49" t="s">
        <v>18</v>
      </c>
      <c r="G212" s="51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22.5" customHeight="1">
      <c r="A213" s="11">
        <v>211.0</v>
      </c>
      <c r="B213" s="12">
        <v>104.0</v>
      </c>
      <c r="C213" s="13" t="s">
        <v>9201</v>
      </c>
      <c r="D213" s="57" t="s">
        <v>9202</v>
      </c>
      <c r="E213" s="48" t="s">
        <v>9203</v>
      </c>
      <c r="F213" s="49" t="s">
        <v>18</v>
      </c>
      <c r="G213" s="51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22.5" customHeight="1">
      <c r="A214" s="17">
        <v>212.0</v>
      </c>
      <c r="B214" s="12">
        <v>104.0</v>
      </c>
      <c r="C214" s="13" t="s">
        <v>9204</v>
      </c>
      <c r="D214" s="58" t="s">
        <v>9205</v>
      </c>
      <c r="E214" s="48" t="s">
        <v>9206</v>
      </c>
      <c r="F214" s="49" t="s">
        <v>18</v>
      </c>
      <c r="G214" s="51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22.5" customHeight="1">
      <c r="A215" s="11">
        <v>213.0</v>
      </c>
      <c r="B215" s="12">
        <v>104.0</v>
      </c>
      <c r="C215" s="13" t="s">
        <v>9207</v>
      </c>
      <c r="D215" s="57" t="s">
        <v>9208</v>
      </c>
      <c r="E215" s="48" t="s">
        <v>9209</v>
      </c>
      <c r="F215" s="49" t="s">
        <v>18</v>
      </c>
      <c r="G215" s="51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22.5" customHeight="1">
      <c r="A216" s="17">
        <v>214.0</v>
      </c>
      <c r="B216" s="12">
        <v>104.0</v>
      </c>
      <c r="C216" s="13" t="s">
        <v>9210</v>
      </c>
      <c r="D216" s="58" t="s">
        <v>9211</v>
      </c>
      <c r="E216" s="48" t="s">
        <v>9212</v>
      </c>
      <c r="F216" s="49" t="s">
        <v>18</v>
      </c>
      <c r="G216" s="14" t="s">
        <v>18</v>
      </c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22.5" customHeight="1">
      <c r="A217" s="11">
        <v>215.0</v>
      </c>
      <c r="B217" s="12">
        <v>104.0</v>
      </c>
      <c r="C217" s="13" t="s">
        <v>5459</v>
      </c>
      <c r="D217" s="57" t="s">
        <v>5458</v>
      </c>
      <c r="E217" s="48" t="s">
        <v>8917</v>
      </c>
      <c r="F217" s="49" t="s">
        <v>18</v>
      </c>
      <c r="G217" s="51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22.5" customHeight="1">
      <c r="A218" s="17">
        <v>216.0</v>
      </c>
      <c r="B218" s="12">
        <v>104.0</v>
      </c>
      <c r="C218" s="13" t="s">
        <v>6192</v>
      </c>
      <c r="D218" s="58" t="s">
        <v>6191</v>
      </c>
      <c r="E218" s="48" t="s">
        <v>9213</v>
      </c>
      <c r="F218" s="49" t="s">
        <v>18</v>
      </c>
      <c r="G218" s="51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22.5" customHeight="1">
      <c r="A219" s="11">
        <v>217.0</v>
      </c>
      <c r="B219" s="12">
        <v>104.0</v>
      </c>
      <c r="C219" s="13" t="s">
        <v>8940</v>
      </c>
      <c r="D219" s="57" t="s">
        <v>8941</v>
      </c>
      <c r="E219" s="48" t="s">
        <v>8942</v>
      </c>
      <c r="F219" s="51"/>
      <c r="G219" s="51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22.5" customHeight="1">
      <c r="A220" s="17">
        <v>218.0</v>
      </c>
      <c r="B220" s="12">
        <v>104.0</v>
      </c>
      <c r="C220" s="13" t="s">
        <v>8814</v>
      </c>
      <c r="D220" s="58" t="s">
        <v>8815</v>
      </c>
      <c r="E220" s="48" t="s">
        <v>8943</v>
      </c>
      <c r="F220" s="51"/>
      <c r="G220" s="51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22.5" customHeight="1">
      <c r="A221" s="11">
        <v>219.0</v>
      </c>
      <c r="B221" s="12">
        <v>104.0</v>
      </c>
      <c r="C221" s="13" t="s">
        <v>9214</v>
      </c>
      <c r="D221" s="57" t="s">
        <v>9215</v>
      </c>
      <c r="E221" s="48" t="s">
        <v>9216</v>
      </c>
      <c r="F221" s="51"/>
      <c r="G221" s="51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22.5" customHeight="1">
      <c r="A222" s="17">
        <v>220.0</v>
      </c>
      <c r="B222" s="12">
        <v>104.0</v>
      </c>
      <c r="C222" s="13" t="s">
        <v>9217</v>
      </c>
      <c r="D222" s="58" t="s">
        <v>3768</v>
      </c>
      <c r="E222" s="48" t="s">
        <v>3650</v>
      </c>
      <c r="F222" s="49" t="s">
        <v>18</v>
      </c>
      <c r="G222" s="51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22.5" customHeight="1">
      <c r="A223" s="11">
        <v>221.0</v>
      </c>
      <c r="B223" s="12">
        <v>104.0</v>
      </c>
      <c r="C223" s="13" t="s">
        <v>9218</v>
      </c>
      <c r="D223" s="57" t="s">
        <v>9219</v>
      </c>
      <c r="E223" s="48" t="s">
        <v>9220</v>
      </c>
      <c r="F223" s="51"/>
      <c r="G223" s="51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22.5" customHeight="1">
      <c r="A224" s="17">
        <v>222.0</v>
      </c>
      <c r="B224" s="12">
        <v>104.0</v>
      </c>
      <c r="C224" s="13" t="s">
        <v>9221</v>
      </c>
      <c r="D224" s="59" t="s">
        <v>9222</v>
      </c>
      <c r="E224" s="48" t="s">
        <v>9223</v>
      </c>
      <c r="F224" s="49" t="s">
        <v>18</v>
      </c>
      <c r="G224" s="51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22.5" customHeight="1">
      <c r="A225" s="11">
        <v>223.0</v>
      </c>
      <c r="B225" s="12">
        <v>104.0</v>
      </c>
      <c r="C225" s="13" t="s">
        <v>9224</v>
      </c>
      <c r="D225" s="57" t="s">
        <v>9225</v>
      </c>
      <c r="E225" s="48" t="s">
        <v>9226</v>
      </c>
      <c r="F225" s="49" t="s">
        <v>18</v>
      </c>
      <c r="G225" s="51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22.5" customHeight="1">
      <c r="A226" s="17">
        <v>224.0</v>
      </c>
      <c r="B226" s="12">
        <v>104.0</v>
      </c>
      <c r="C226" s="13" t="s">
        <v>9227</v>
      </c>
      <c r="D226" s="58" t="s">
        <v>9228</v>
      </c>
      <c r="E226" s="48" t="s">
        <v>9229</v>
      </c>
      <c r="F226" s="51"/>
      <c r="G226" s="51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22.5" customHeight="1">
      <c r="A227" s="11">
        <v>225.0</v>
      </c>
      <c r="B227" s="12">
        <v>104.0</v>
      </c>
      <c r="C227" s="13" t="s">
        <v>9230</v>
      </c>
      <c r="D227" s="57" t="s">
        <v>9231</v>
      </c>
      <c r="E227" s="48" t="s">
        <v>9232</v>
      </c>
      <c r="F227" s="49" t="s">
        <v>18</v>
      </c>
      <c r="G227" s="51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22.5" customHeight="1">
      <c r="A228" s="17">
        <v>226.0</v>
      </c>
      <c r="B228" s="12">
        <v>104.0</v>
      </c>
      <c r="C228" s="13" t="s">
        <v>9233</v>
      </c>
      <c r="D228" s="58" t="s">
        <v>9234</v>
      </c>
      <c r="E228" s="48" t="s">
        <v>9235</v>
      </c>
      <c r="F228" s="49" t="s">
        <v>18</v>
      </c>
      <c r="G228" s="51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22.5" customHeight="1">
      <c r="A229" s="11">
        <v>227.0</v>
      </c>
      <c r="B229" s="12">
        <v>104.0</v>
      </c>
      <c r="C229" s="13" t="s">
        <v>4850</v>
      </c>
      <c r="D229" s="57" t="s">
        <v>4849</v>
      </c>
      <c r="E229" s="48" t="s">
        <v>9236</v>
      </c>
      <c r="F229" s="49" t="s">
        <v>18</v>
      </c>
      <c r="G229" s="51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22.5" customHeight="1">
      <c r="A230" s="17">
        <v>228.0</v>
      </c>
      <c r="B230" s="12">
        <v>104.0</v>
      </c>
      <c r="C230" s="13" t="s">
        <v>9237</v>
      </c>
      <c r="D230" s="58" t="s">
        <v>9238</v>
      </c>
      <c r="E230" s="48" t="s">
        <v>9239</v>
      </c>
      <c r="F230" s="49" t="s">
        <v>18</v>
      </c>
      <c r="G230" s="51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22.5" customHeight="1">
      <c r="A231" s="11">
        <v>229.0</v>
      </c>
      <c r="B231" s="12">
        <v>104.0</v>
      </c>
      <c r="C231" s="13" t="s">
        <v>6114</v>
      </c>
      <c r="D231" s="57" t="s">
        <v>1931</v>
      </c>
      <c r="E231" s="48" t="s">
        <v>1932</v>
      </c>
      <c r="F231" s="51"/>
      <c r="G231" s="51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22.5" customHeight="1">
      <c r="A232" s="17">
        <v>230.0</v>
      </c>
      <c r="B232" s="12">
        <v>104.0</v>
      </c>
      <c r="C232" s="13" t="s">
        <v>8715</v>
      </c>
      <c r="D232" s="58" t="s">
        <v>8716</v>
      </c>
      <c r="E232" s="48" t="s">
        <v>9240</v>
      </c>
      <c r="F232" s="49" t="s">
        <v>18</v>
      </c>
      <c r="G232" s="14" t="s">
        <v>18</v>
      </c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22.5" customHeight="1">
      <c r="A233" s="11">
        <v>231.0</v>
      </c>
      <c r="B233" s="12">
        <v>104.0</v>
      </c>
      <c r="C233" s="13" t="s">
        <v>9241</v>
      </c>
      <c r="D233" s="57" t="s">
        <v>9242</v>
      </c>
      <c r="E233" s="48" t="s">
        <v>9243</v>
      </c>
      <c r="F233" s="51"/>
      <c r="G233" s="51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22.5" customHeight="1">
      <c r="A234" s="17">
        <v>232.0</v>
      </c>
      <c r="B234" s="12">
        <v>104.0</v>
      </c>
      <c r="C234" s="13" t="s">
        <v>1216</v>
      </c>
      <c r="D234" s="58" t="s">
        <v>1215</v>
      </c>
      <c r="E234" s="48" t="s">
        <v>2414</v>
      </c>
      <c r="F234" s="49" t="s">
        <v>18</v>
      </c>
      <c r="G234" s="51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22.5" customHeight="1">
      <c r="A235" s="11">
        <v>233.0</v>
      </c>
      <c r="B235" s="12">
        <v>104.0</v>
      </c>
      <c r="C235" s="13" t="s">
        <v>9244</v>
      </c>
      <c r="D235" s="57" t="s">
        <v>9245</v>
      </c>
      <c r="E235" s="48" t="s">
        <v>9246</v>
      </c>
      <c r="F235" s="51"/>
      <c r="G235" s="51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22.5" customHeight="1">
      <c r="A236" s="17">
        <v>234.0</v>
      </c>
      <c r="B236" s="12">
        <v>104.0</v>
      </c>
      <c r="C236" s="13" t="s">
        <v>9247</v>
      </c>
      <c r="D236" s="58" t="s">
        <v>9248</v>
      </c>
      <c r="E236" s="48" t="s">
        <v>9249</v>
      </c>
      <c r="F236" s="49" t="s">
        <v>18</v>
      </c>
      <c r="G236" s="14" t="s">
        <v>18</v>
      </c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22.5" customHeight="1">
      <c r="A237" s="11">
        <v>235.0</v>
      </c>
      <c r="B237" s="12">
        <v>104.0</v>
      </c>
      <c r="C237" s="13" t="s">
        <v>9250</v>
      </c>
      <c r="D237" s="57" t="s">
        <v>9251</v>
      </c>
      <c r="E237" s="48" t="s">
        <v>9252</v>
      </c>
      <c r="F237" s="51"/>
      <c r="G237" s="51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22.5" customHeight="1">
      <c r="A238" s="17">
        <v>236.0</v>
      </c>
      <c r="B238" s="12">
        <v>104.0</v>
      </c>
      <c r="C238" s="13" t="s">
        <v>9098</v>
      </c>
      <c r="D238" s="58" t="s">
        <v>9099</v>
      </c>
      <c r="E238" s="48" t="s">
        <v>9100</v>
      </c>
      <c r="F238" s="51"/>
      <c r="G238" s="51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22.5" customHeight="1">
      <c r="A239" s="11">
        <v>237.0</v>
      </c>
      <c r="B239" s="12">
        <v>104.0</v>
      </c>
      <c r="C239" s="13" t="s">
        <v>9253</v>
      </c>
      <c r="D239" s="57" t="s">
        <v>9254</v>
      </c>
      <c r="E239" s="48" t="s">
        <v>9255</v>
      </c>
      <c r="F239" s="51"/>
      <c r="G239" s="51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22.5" customHeight="1">
      <c r="A240" s="17">
        <v>238.0</v>
      </c>
      <c r="B240" s="12">
        <v>104.0</v>
      </c>
      <c r="C240" s="13" t="s">
        <v>9256</v>
      </c>
      <c r="D240" s="58" t="s">
        <v>9257</v>
      </c>
      <c r="E240" s="48" t="s">
        <v>9258</v>
      </c>
      <c r="F240" s="49" t="s">
        <v>18</v>
      </c>
      <c r="G240" s="51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22.5" customHeight="1">
      <c r="A241" s="11">
        <v>239.0</v>
      </c>
      <c r="B241" s="12">
        <v>104.0</v>
      </c>
      <c r="C241" s="13" t="s">
        <v>9038</v>
      </c>
      <c r="D241" s="57" t="s">
        <v>9039</v>
      </c>
      <c r="E241" s="48" t="s">
        <v>9040</v>
      </c>
      <c r="F241" s="51"/>
      <c r="G241" s="51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22.5" customHeight="1">
      <c r="A242" s="17">
        <v>240.0</v>
      </c>
      <c r="B242" s="12">
        <v>104.0</v>
      </c>
      <c r="C242" s="13" t="s">
        <v>9259</v>
      </c>
      <c r="D242" s="58" t="s">
        <v>9260</v>
      </c>
      <c r="E242" s="48" t="s">
        <v>9261</v>
      </c>
      <c r="F242" s="51"/>
      <c r="G242" s="51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22.5" customHeight="1">
      <c r="A243" s="11">
        <v>241.0</v>
      </c>
      <c r="B243" s="12">
        <v>103.0</v>
      </c>
      <c r="C243" s="13" t="s">
        <v>9262</v>
      </c>
      <c r="D243" s="57" t="s">
        <v>9263</v>
      </c>
      <c r="E243" s="48" t="s">
        <v>9264</v>
      </c>
      <c r="F243" s="49" t="s">
        <v>18</v>
      </c>
      <c r="G243" s="51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22.5" customHeight="1">
      <c r="A244" s="17">
        <v>242.0</v>
      </c>
      <c r="B244" s="12">
        <v>103.0</v>
      </c>
      <c r="C244" s="13" t="s">
        <v>9265</v>
      </c>
      <c r="D244" s="58" t="s">
        <v>9266</v>
      </c>
      <c r="E244" s="48" t="s">
        <v>9267</v>
      </c>
      <c r="F244" s="49" t="s">
        <v>18</v>
      </c>
      <c r="G244" s="51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22.5" customHeight="1">
      <c r="A245" s="11">
        <v>243.0</v>
      </c>
      <c r="B245" s="12">
        <v>103.0</v>
      </c>
      <c r="C245" s="13" t="s">
        <v>9268</v>
      </c>
      <c r="D245" s="57" t="s">
        <v>9269</v>
      </c>
      <c r="E245" s="48" t="s">
        <v>9270</v>
      </c>
      <c r="F245" s="49" t="s">
        <v>18</v>
      </c>
      <c r="G245" s="51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22.5" customHeight="1">
      <c r="A246" s="17">
        <v>244.0</v>
      </c>
      <c r="B246" s="12">
        <v>103.0</v>
      </c>
      <c r="C246" s="13" t="s">
        <v>8940</v>
      </c>
      <c r="D246" s="58" t="s">
        <v>8941</v>
      </c>
      <c r="E246" s="48" t="s">
        <v>8942</v>
      </c>
      <c r="F246" s="49" t="s">
        <v>18</v>
      </c>
      <c r="G246" s="51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22.5" customHeight="1">
      <c r="A247" s="11">
        <v>245.0</v>
      </c>
      <c r="B247" s="12">
        <v>103.0</v>
      </c>
      <c r="C247" s="13" t="s">
        <v>9271</v>
      </c>
      <c r="D247" s="57" t="s">
        <v>9272</v>
      </c>
      <c r="E247" s="48" t="s">
        <v>9273</v>
      </c>
      <c r="F247" s="49" t="s">
        <v>18</v>
      </c>
      <c r="G247" s="14" t="s">
        <v>18</v>
      </c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22.5" customHeight="1">
      <c r="A248" s="17">
        <v>246.0</v>
      </c>
      <c r="B248" s="12">
        <v>103.0</v>
      </c>
      <c r="C248" s="13" t="s">
        <v>9274</v>
      </c>
      <c r="D248" s="58" t="s">
        <v>9275</v>
      </c>
      <c r="E248" s="48" t="s">
        <v>9276</v>
      </c>
      <c r="F248" s="49" t="s">
        <v>18</v>
      </c>
      <c r="G248" s="51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22.5" customHeight="1">
      <c r="A249" s="11">
        <v>247.0</v>
      </c>
      <c r="B249" s="12">
        <v>103.0</v>
      </c>
      <c r="C249" s="13" t="s">
        <v>9277</v>
      </c>
      <c r="D249" s="57" t="s">
        <v>9278</v>
      </c>
      <c r="E249" s="48" t="s">
        <v>9279</v>
      </c>
      <c r="F249" s="49" t="s">
        <v>18</v>
      </c>
      <c r="G249" s="14" t="s">
        <v>18</v>
      </c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22.5" customHeight="1">
      <c r="A250" s="17">
        <v>248.0</v>
      </c>
      <c r="B250" s="12">
        <v>103.0</v>
      </c>
      <c r="C250" s="13" t="s">
        <v>4862</v>
      </c>
      <c r="D250" s="58" t="s">
        <v>4861</v>
      </c>
      <c r="E250" s="48" t="s">
        <v>9280</v>
      </c>
      <c r="F250" s="51"/>
      <c r="G250" s="51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22.5" customHeight="1">
      <c r="A251" s="11">
        <v>249.0</v>
      </c>
      <c r="B251" s="12">
        <v>103.0</v>
      </c>
      <c r="C251" s="13" t="s">
        <v>9281</v>
      </c>
      <c r="D251" s="57" t="s">
        <v>9282</v>
      </c>
      <c r="E251" s="48" t="s">
        <v>9283</v>
      </c>
      <c r="F251" s="51"/>
      <c r="G251" s="51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22.5" customHeight="1">
      <c r="A252" s="17">
        <v>250.0</v>
      </c>
      <c r="B252" s="12">
        <v>103.0</v>
      </c>
      <c r="C252" s="13" t="s">
        <v>8715</v>
      </c>
      <c r="D252" s="58" t="s">
        <v>8716</v>
      </c>
      <c r="E252" s="48" t="s">
        <v>9240</v>
      </c>
      <c r="F252" s="51"/>
      <c r="G252" s="51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22.5" customHeight="1">
      <c r="A253" s="11">
        <v>251.0</v>
      </c>
      <c r="B253" s="12">
        <v>103.0</v>
      </c>
      <c r="C253" s="13" t="s">
        <v>9284</v>
      </c>
      <c r="D253" s="57" t="s">
        <v>9285</v>
      </c>
      <c r="E253" s="48" t="s">
        <v>9286</v>
      </c>
      <c r="F253" s="49" t="s">
        <v>18</v>
      </c>
      <c r="G253" s="51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22.5" customHeight="1">
      <c r="A254" s="17">
        <v>252.0</v>
      </c>
      <c r="B254" s="12">
        <v>103.0</v>
      </c>
      <c r="C254" s="13" t="s">
        <v>9009</v>
      </c>
      <c r="D254" s="58" t="s">
        <v>9010</v>
      </c>
      <c r="E254" s="48" t="s">
        <v>9011</v>
      </c>
      <c r="F254" s="49" t="s">
        <v>18</v>
      </c>
      <c r="G254" s="51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22.5" customHeight="1">
      <c r="A255" s="11">
        <v>253.0</v>
      </c>
      <c r="B255" s="12">
        <v>103.0</v>
      </c>
      <c r="C255" s="13" t="s">
        <v>9287</v>
      </c>
      <c r="D255" s="57" t="s">
        <v>9288</v>
      </c>
      <c r="E255" s="48" t="s">
        <v>9289</v>
      </c>
      <c r="F255" s="49" t="s">
        <v>18</v>
      </c>
      <c r="G255" s="14" t="s">
        <v>18</v>
      </c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22.5" customHeight="1">
      <c r="A256" s="17">
        <v>254.0</v>
      </c>
      <c r="B256" s="12">
        <v>103.0</v>
      </c>
      <c r="C256" s="13" t="s">
        <v>5899</v>
      </c>
      <c r="D256" s="58" t="s">
        <v>9290</v>
      </c>
      <c r="E256" s="48" t="s">
        <v>9291</v>
      </c>
      <c r="F256" s="49" t="s">
        <v>18</v>
      </c>
      <c r="G256" s="51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22.5" customHeight="1">
      <c r="A257" s="11">
        <v>255.0</v>
      </c>
      <c r="B257" s="12">
        <v>103.0</v>
      </c>
      <c r="C257" s="13" t="s">
        <v>5784</v>
      </c>
      <c r="D257" s="57" t="s">
        <v>5783</v>
      </c>
      <c r="E257" s="48" t="s">
        <v>9292</v>
      </c>
      <c r="F257" s="51"/>
      <c r="G257" s="51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22.5" customHeight="1">
      <c r="A258" s="17">
        <v>256.0</v>
      </c>
      <c r="B258" s="12">
        <v>103.0</v>
      </c>
      <c r="C258" s="13" t="s">
        <v>9293</v>
      </c>
      <c r="D258" s="58" t="s">
        <v>9294</v>
      </c>
      <c r="E258" s="48" t="s">
        <v>9295</v>
      </c>
      <c r="F258" s="51"/>
      <c r="G258" s="51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22.5" customHeight="1">
      <c r="A259" s="11">
        <v>257.0</v>
      </c>
      <c r="B259" s="12">
        <v>103.0</v>
      </c>
      <c r="C259" s="13" t="s">
        <v>9296</v>
      </c>
      <c r="D259" s="57" t="s">
        <v>9297</v>
      </c>
      <c r="E259" s="48" t="s">
        <v>9298</v>
      </c>
      <c r="F259" s="51"/>
      <c r="G259" s="51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22.5" customHeight="1">
      <c r="A260" s="17">
        <v>258.0</v>
      </c>
      <c r="B260" s="12">
        <v>103.0</v>
      </c>
      <c r="C260" s="13" t="s">
        <v>9299</v>
      </c>
      <c r="D260" s="58" t="s">
        <v>9300</v>
      </c>
      <c r="E260" s="48" t="s">
        <v>7883</v>
      </c>
      <c r="F260" s="51"/>
      <c r="G260" s="51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22.5" customHeight="1">
      <c r="A261" s="11">
        <v>259.0</v>
      </c>
      <c r="B261" s="12">
        <v>103.0</v>
      </c>
      <c r="C261" s="13" t="s">
        <v>9301</v>
      </c>
      <c r="D261" s="57" t="s">
        <v>9302</v>
      </c>
      <c r="E261" s="48" t="s">
        <v>9303</v>
      </c>
      <c r="F261" s="49" t="s">
        <v>18</v>
      </c>
      <c r="G261" s="51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22.5" customHeight="1">
      <c r="A262" s="17">
        <v>260.0</v>
      </c>
      <c r="B262" s="12">
        <v>103.0</v>
      </c>
      <c r="C262" s="13" t="s">
        <v>6046</v>
      </c>
      <c r="D262" s="58" t="s">
        <v>6045</v>
      </c>
      <c r="E262" s="48" t="s">
        <v>9304</v>
      </c>
      <c r="F262" s="49" t="s">
        <v>18</v>
      </c>
      <c r="G262" s="51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22.5" customHeight="1">
      <c r="A263" s="11">
        <v>261.0</v>
      </c>
      <c r="B263" s="12">
        <v>103.0</v>
      </c>
      <c r="C263" s="13" t="s">
        <v>9305</v>
      </c>
      <c r="D263" s="57" t="s">
        <v>9306</v>
      </c>
      <c r="E263" s="48" t="s">
        <v>9307</v>
      </c>
      <c r="F263" s="49" t="s">
        <v>18</v>
      </c>
      <c r="G263" s="51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22.5" customHeight="1">
      <c r="A264" s="17">
        <v>262.0</v>
      </c>
      <c r="B264" s="12">
        <v>103.0</v>
      </c>
      <c r="C264" s="13" t="s">
        <v>9250</v>
      </c>
      <c r="D264" s="58" t="s">
        <v>9251</v>
      </c>
      <c r="E264" s="48" t="s">
        <v>9252</v>
      </c>
      <c r="F264" s="51"/>
      <c r="G264" s="51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22.5" customHeight="1">
      <c r="A265" s="11">
        <v>263.0</v>
      </c>
      <c r="B265" s="12">
        <v>103.0</v>
      </c>
      <c r="C265" s="13" t="s">
        <v>9308</v>
      </c>
      <c r="D265" s="57" t="s">
        <v>9309</v>
      </c>
      <c r="E265" s="48" t="s">
        <v>9310</v>
      </c>
      <c r="F265" s="49" t="s">
        <v>18</v>
      </c>
      <c r="G265" s="51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22.5" customHeight="1">
      <c r="A266" s="17">
        <v>264.0</v>
      </c>
      <c r="B266" s="12">
        <v>103.0</v>
      </c>
      <c r="C266" s="13" t="s">
        <v>9311</v>
      </c>
      <c r="D266" s="58" t="s">
        <v>9312</v>
      </c>
      <c r="E266" s="48" t="s">
        <v>9313</v>
      </c>
      <c r="F266" s="49" t="s">
        <v>18</v>
      </c>
      <c r="G266" s="51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22.5" customHeight="1">
      <c r="A267" s="11">
        <v>265.0</v>
      </c>
      <c r="B267" s="12">
        <v>103.0</v>
      </c>
      <c r="C267" s="13" t="s">
        <v>9314</v>
      </c>
      <c r="D267" s="57" t="s">
        <v>9315</v>
      </c>
      <c r="E267" s="48" t="s">
        <v>9316</v>
      </c>
      <c r="F267" s="49" t="s">
        <v>18</v>
      </c>
      <c r="G267" s="51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22.5" customHeight="1">
      <c r="A268" s="17">
        <v>266.0</v>
      </c>
      <c r="B268" s="12">
        <v>103.0</v>
      </c>
      <c r="C268" s="13" t="s">
        <v>6227</v>
      </c>
      <c r="D268" s="58" t="s">
        <v>6226</v>
      </c>
      <c r="E268" s="48" t="s">
        <v>9317</v>
      </c>
      <c r="F268" s="51"/>
      <c r="G268" s="51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22.5" customHeight="1">
      <c r="A269" s="11">
        <v>267.0</v>
      </c>
      <c r="B269" s="12">
        <v>103.0</v>
      </c>
      <c r="C269" s="13" t="s">
        <v>9192</v>
      </c>
      <c r="D269" s="57" t="s">
        <v>9193</v>
      </c>
      <c r="E269" s="48" t="s">
        <v>9194</v>
      </c>
      <c r="F269" s="51"/>
      <c r="G269" s="51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22.5" customHeight="1">
      <c r="A270" s="17">
        <v>268.0</v>
      </c>
      <c r="B270" s="12">
        <v>103.0</v>
      </c>
      <c r="C270" s="13" t="s">
        <v>9318</v>
      </c>
      <c r="D270" s="58" t="s">
        <v>9319</v>
      </c>
      <c r="E270" s="48" t="s">
        <v>9320</v>
      </c>
      <c r="F270" s="51"/>
      <c r="G270" s="51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22.5" customHeight="1">
      <c r="A271" s="11">
        <v>269.0</v>
      </c>
      <c r="B271" s="12">
        <v>103.0</v>
      </c>
      <c r="C271" s="13" t="s">
        <v>8927</v>
      </c>
      <c r="D271" s="57" t="s">
        <v>1702</v>
      </c>
      <c r="E271" s="48" t="s">
        <v>2009</v>
      </c>
      <c r="F271" s="51"/>
      <c r="G271" s="51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22.5" customHeight="1">
      <c r="A272" s="17">
        <v>270.0</v>
      </c>
      <c r="B272" s="12">
        <v>103.0</v>
      </c>
      <c r="C272" s="13" t="s">
        <v>8904</v>
      </c>
      <c r="D272" s="58" t="s">
        <v>8905</v>
      </c>
      <c r="E272" s="48" t="s">
        <v>8906</v>
      </c>
      <c r="F272" s="51"/>
      <c r="G272" s="51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22.5" customHeight="1">
      <c r="A273" s="11">
        <v>271.0</v>
      </c>
      <c r="B273" s="12">
        <v>102.0</v>
      </c>
      <c r="C273" s="13" t="s">
        <v>8937</v>
      </c>
      <c r="D273" s="57" t="s">
        <v>8938</v>
      </c>
      <c r="E273" s="48" t="s">
        <v>8939</v>
      </c>
      <c r="F273" s="51"/>
      <c r="G273" s="51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22.5" customHeight="1">
      <c r="A274" s="17">
        <v>272.0</v>
      </c>
      <c r="B274" s="12">
        <v>102.0</v>
      </c>
      <c r="C274" s="13" t="s">
        <v>5556</v>
      </c>
      <c r="D274" s="58" t="s">
        <v>5555</v>
      </c>
      <c r="E274" s="48" t="s">
        <v>9321</v>
      </c>
      <c r="F274" s="51"/>
      <c r="G274" s="51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22.5" customHeight="1">
      <c r="A275" s="11">
        <v>273.0</v>
      </c>
      <c r="B275" s="12">
        <v>102.0</v>
      </c>
      <c r="C275" s="13" t="s">
        <v>8724</v>
      </c>
      <c r="D275" s="57" t="s">
        <v>8725</v>
      </c>
      <c r="E275" s="48" t="s">
        <v>9322</v>
      </c>
      <c r="F275" s="51"/>
      <c r="G275" s="51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22.5" customHeight="1">
      <c r="A276" s="17">
        <v>274.0</v>
      </c>
      <c r="B276" s="12">
        <v>102.0</v>
      </c>
      <c r="C276" s="13" t="s">
        <v>9323</v>
      </c>
      <c r="D276" s="58" t="s">
        <v>9324</v>
      </c>
      <c r="E276" s="48" t="s">
        <v>9325</v>
      </c>
      <c r="F276" s="51"/>
      <c r="G276" s="51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22.5" customHeight="1">
      <c r="A277" s="11">
        <v>275.0</v>
      </c>
      <c r="B277" s="12">
        <v>102.0</v>
      </c>
      <c r="C277" s="13" t="s">
        <v>8836</v>
      </c>
      <c r="D277" s="57" t="s">
        <v>8837</v>
      </c>
      <c r="E277" s="48" t="s">
        <v>8966</v>
      </c>
      <c r="F277" s="51"/>
      <c r="G277" s="51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22.5" customHeight="1">
      <c r="A278" s="17">
        <v>276.0</v>
      </c>
      <c r="B278" s="12">
        <v>102.0</v>
      </c>
      <c r="C278" s="13" t="s">
        <v>9326</v>
      </c>
      <c r="D278" s="58" t="s">
        <v>9327</v>
      </c>
      <c r="E278" s="48" t="s">
        <v>9328</v>
      </c>
      <c r="F278" s="51"/>
      <c r="G278" s="51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22.5" customHeight="1">
      <c r="A279" s="11">
        <v>277.0</v>
      </c>
      <c r="B279" s="12">
        <v>102.0</v>
      </c>
      <c r="C279" s="13" t="s">
        <v>9329</v>
      </c>
      <c r="D279" s="57" t="s">
        <v>9330</v>
      </c>
      <c r="E279" s="48" t="s">
        <v>9331</v>
      </c>
      <c r="F279" s="51"/>
      <c r="G279" s="51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22.5" customHeight="1">
      <c r="A280" s="17">
        <v>278.0</v>
      </c>
      <c r="B280" s="12">
        <v>102.0</v>
      </c>
      <c r="C280" s="13" t="s">
        <v>9332</v>
      </c>
      <c r="D280" s="58" t="s">
        <v>9333</v>
      </c>
      <c r="E280" s="48" t="s">
        <v>9334</v>
      </c>
      <c r="F280" s="49" t="s">
        <v>18</v>
      </c>
      <c r="G280" s="51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22.5" customHeight="1">
      <c r="A281" s="11">
        <v>279.0</v>
      </c>
      <c r="B281" s="12">
        <v>102.0</v>
      </c>
      <c r="C281" s="13" t="s">
        <v>9009</v>
      </c>
      <c r="D281" s="57" t="s">
        <v>9010</v>
      </c>
      <c r="E281" s="48" t="s">
        <v>9011</v>
      </c>
      <c r="F281" s="51"/>
      <c r="G281" s="51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22.5" customHeight="1">
      <c r="A282" s="17">
        <v>280.0</v>
      </c>
      <c r="B282" s="12">
        <v>102.0</v>
      </c>
      <c r="C282" s="13" t="s">
        <v>9335</v>
      </c>
      <c r="D282" s="58" t="s">
        <v>9336</v>
      </c>
      <c r="E282" s="48" t="s">
        <v>9337</v>
      </c>
      <c r="F282" s="51"/>
      <c r="G282" s="51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22.5" customHeight="1">
      <c r="A283" s="11">
        <v>281.0</v>
      </c>
      <c r="B283" s="12">
        <v>102.0</v>
      </c>
      <c r="C283" s="13" t="s">
        <v>9338</v>
      </c>
      <c r="D283" s="57" t="s">
        <v>9339</v>
      </c>
      <c r="E283" s="48" t="s">
        <v>9340</v>
      </c>
      <c r="F283" s="49" t="s">
        <v>18</v>
      </c>
      <c r="G283" s="51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22.5" customHeight="1">
      <c r="A284" s="17">
        <v>282.0</v>
      </c>
      <c r="B284" s="12">
        <v>102.0</v>
      </c>
      <c r="C284" s="13" t="s">
        <v>5928</v>
      </c>
      <c r="D284" s="58" t="s">
        <v>5927</v>
      </c>
      <c r="E284" s="48" t="s">
        <v>9341</v>
      </c>
      <c r="F284" s="49" t="s">
        <v>18</v>
      </c>
      <c r="G284" s="14" t="s">
        <v>18</v>
      </c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22.5" customHeight="1">
      <c r="A285" s="11">
        <v>283.0</v>
      </c>
      <c r="B285" s="12">
        <v>102.0</v>
      </c>
      <c r="C285" s="13" t="s">
        <v>6111</v>
      </c>
      <c r="D285" s="57" t="s">
        <v>6110</v>
      </c>
      <c r="E285" s="48" t="s">
        <v>9342</v>
      </c>
      <c r="F285" s="51"/>
      <c r="G285" s="51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22.5" customHeight="1">
      <c r="A286" s="17">
        <v>284.0</v>
      </c>
      <c r="B286" s="12">
        <v>102.0</v>
      </c>
      <c r="C286" s="13" t="s">
        <v>9343</v>
      </c>
      <c r="D286" s="58" t="s">
        <v>9344</v>
      </c>
      <c r="E286" s="48" t="s">
        <v>9345</v>
      </c>
      <c r="F286" s="49" t="s">
        <v>18</v>
      </c>
      <c r="G286" s="51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22.5" customHeight="1">
      <c r="A287" s="11">
        <v>285.0</v>
      </c>
      <c r="B287" s="12">
        <v>102.0</v>
      </c>
      <c r="C287" s="13" t="s">
        <v>8753</v>
      </c>
      <c r="D287" s="57" t="s">
        <v>9346</v>
      </c>
      <c r="E287" s="48" t="s">
        <v>8755</v>
      </c>
      <c r="F287" s="51"/>
      <c r="G287" s="51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22.5" customHeight="1">
      <c r="A288" s="17">
        <v>286.0</v>
      </c>
      <c r="B288" s="12">
        <v>102.0</v>
      </c>
      <c r="C288" s="13" t="s">
        <v>9347</v>
      </c>
      <c r="D288" s="58" t="s">
        <v>9348</v>
      </c>
      <c r="E288" s="48" t="s">
        <v>9349</v>
      </c>
      <c r="F288" s="49" t="s">
        <v>18</v>
      </c>
      <c r="G288" s="51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22.5" customHeight="1">
      <c r="A289" s="11">
        <v>287.0</v>
      </c>
      <c r="B289" s="12">
        <v>102.0</v>
      </c>
      <c r="C289" s="13" t="s">
        <v>8718</v>
      </c>
      <c r="D289" s="57" t="s">
        <v>8719</v>
      </c>
      <c r="E289" s="48" t="s">
        <v>8919</v>
      </c>
      <c r="F289" s="51"/>
      <c r="G289" s="51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22.5" customHeight="1">
      <c r="A290" s="17">
        <v>288.0</v>
      </c>
      <c r="B290" s="12">
        <v>102.0</v>
      </c>
      <c r="C290" s="13" t="s">
        <v>9350</v>
      </c>
      <c r="D290" s="58" t="s">
        <v>9351</v>
      </c>
      <c r="E290" s="48" t="s">
        <v>9352</v>
      </c>
      <c r="F290" s="49" t="s">
        <v>18</v>
      </c>
      <c r="G290" s="51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22.5" customHeight="1">
      <c r="A291" s="11">
        <v>289.0</v>
      </c>
      <c r="B291" s="12">
        <v>102.0</v>
      </c>
      <c r="C291" s="13" t="s">
        <v>9308</v>
      </c>
      <c r="D291" s="57" t="s">
        <v>9309</v>
      </c>
      <c r="E291" s="48" t="s">
        <v>9310</v>
      </c>
      <c r="F291" s="51"/>
      <c r="G291" s="51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22.5" customHeight="1">
      <c r="A292" s="17">
        <v>290.0</v>
      </c>
      <c r="B292" s="12">
        <v>102.0</v>
      </c>
      <c r="C292" s="13" t="s">
        <v>8913</v>
      </c>
      <c r="D292" s="58" t="s">
        <v>8914</v>
      </c>
      <c r="E292" s="48" t="s">
        <v>8915</v>
      </c>
      <c r="F292" s="51"/>
      <c r="G292" s="51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22.5" customHeight="1">
      <c r="A293" s="11">
        <v>291.0</v>
      </c>
      <c r="B293" s="12">
        <v>102.0</v>
      </c>
      <c r="C293" s="13" t="s">
        <v>9353</v>
      </c>
      <c r="D293" s="57" t="s">
        <v>9354</v>
      </c>
      <c r="E293" s="48" t="s">
        <v>9355</v>
      </c>
      <c r="F293" s="49" t="s">
        <v>18</v>
      </c>
      <c r="G293" s="51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22.5" customHeight="1">
      <c r="A294" s="17">
        <v>292.0</v>
      </c>
      <c r="B294" s="12">
        <v>102.0</v>
      </c>
      <c r="C294" s="13" t="s">
        <v>5764</v>
      </c>
      <c r="D294" s="58" t="s">
        <v>5763</v>
      </c>
      <c r="E294" s="48" t="s">
        <v>9356</v>
      </c>
      <c r="F294" s="51"/>
      <c r="G294" s="51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22.5" customHeight="1">
      <c r="A295" s="11">
        <v>293.0</v>
      </c>
      <c r="B295" s="12">
        <v>102.0</v>
      </c>
      <c r="C295" s="13" t="s">
        <v>9357</v>
      </c>
      <c r="D295" s="57" t="s">
        <v>9358</v>
      </c>
      <c r="E295" s="48" t="s">
        <v>9359</v>
      </c>
      <c r="F295" s="51"/>
      <c r="G295" s="51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22.5" customHeight="1">
      <c r="A296" s="17">
        <v>294.0</v>
      </c>
      <c r="B296" s="12">
        <v>102.0</v>
      </c>
      <c r="C296" s="13" t="s">
        <v>9360</v>
      </c>
      <c r="D296" s="58" t="s">
        <v>9361</v>
      </c>
      <c r="E296" s="48" t="s">
        <v>9362</v>
      </c>
      <c r="F296" s="49" t="s">
        <v>18</v>
      </c>
      <c r="G296" s="51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22.5" customHeight="1">
      <c r="A297" s="11">
        <v>295.0</v>
      </c>
      <c r="B297" s="12">
        <v>102.0</v>
      </c>
      <c r="C297" s="13" t="s">
        <v>9363</v>
      </c>
      <c r="D297" s="57" t="s">
        <v>9364</v>
      </c>
      <c r="E297" s="48" t="s">
        <v>9365</v>
      </c>
      <c r="F297" s="49" t="s">
        <v>18</v>
      </c>
      <c r="G297" s="51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22.5" customHeight="1">
      <c r="A298" s="17">
        <v>296.0</v>
      </c>
      <c r="B298" s="12">
        <v>102.0</v>
      </c>
      <c r="C298" s="13" t="s">
        <v>6103</v>
      </c>
      <c r="D298" s="58" t="s">
        <v>6102</v>
      </c>
      <c r="E298" s="48" t="s">
        <v>9366</v>
      </c>
      <c r="F298" s="51"/>
      <c r="G298" s="51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22.5" customHeight="1">
      <c r="A299" s="11">
        <v>297.0</v>
      </c>
      <c r="B299" s="12">
        <v>102.0</v>
      </c>
      <c r="C299" s="13" t="s">
        <v>9367</v>
      </c>
      <c r="D299" s="57" t="s">
        <v>9368</v>
      </c>
      <c r="E299" s="48" t="s">
        <v>9369</v>
      </c>
      <c r="F299" s="51"/>
      <c r="G299" s="51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22.5" customHeight="1">
      <c r="A300" s="17">
        <v>298.0</v>
      </c>
      <c r="B300" s="12">
        <v>102.0</v>
      </c>
      <c r="C300" s="13" t="s">
        <v>8762</v>
      </c>
      <c r="D300" s="58" t="s">
        <v>8763</v>
      </c>
      <c r="E300" s="48" t="s">
        <v>8764</v>
      </c>
      <c r="F300" s="51"/>
      <c r="G300" s="51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22.5" customHeight="1">
      <c r="A301" s="11">
        <v>299.0</v>
      </c>
      <c r="B301" s="12">
        <v>102.0</v>
      </c>
      <c r="C301" s="13" t="s">
        <v>9370</v>
      </c>
      <c r="D301" s="57" t="s">
        <v>9371</v>
      </c>
      <c r="E301" s="48" t="s">
        <v>9372</v>
      </c>
      <c r="F301" s="49" t="s">
        <v>18</v>
      </c>
      <c r="G301" s="14" t="s">
        <v>18</v>
      </c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22.5" customHeight="1">
      <c r="A302" s="17">
        <v>300.0</v>
      </c>
      <c r="B302" s="12">
        <v>102.0</v>
      </c>
      <c r="C302" s="13" t="s">
        <v>9373</v>
      </c>
      <c r="D302" s="58" t="s">
        <v>9374</v>
      </c>
      <c r="E302" s="48" t="s">
        <v>9375</v>
      </c>
      <c r="F302" s="49" t="s">
        <v>18</v>
      </c>
      <c r="G302" s="51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22.5" customHeight="1">
      <c r="A303" s="11">
        <v>301.0</v>
      </c>
      <c r="B303" s="12">
        <v>101.0</v>
      </c>
      <c r="C303" s="13" t="s">
        <v>4452</v>
      </c>
      <c r="D303" s="57" t="s">
        <v>4451</v>
      </c>
      <c r="E303" s="48" t="s">
        <v>9376</v>
      </c>
      <c r="F303" s="49" t="s">
        <v>18</v>
      </c>
      <c r="G303" s="51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22.5" customHeight="1">
      <c r="A304" s="17">
        <v>302.0</v>
      </c>
      <c r="B304" s="12">
        <v>101.0</v>
      </c>
      <c r="C304" s="13" t="s">
        <v>9363</v>
      </c>
      <c r="D304" s="58" t="s">
        <v>9364</v>
      </c>
      <c r="E304" s="48" t="s">
        <v>9365</v>
      </c>
      <c r="F304" s="51"/>
      <c r="G304" s="51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22.5" customHeight="1">
      <c r="A305" s="11">
        <v>303.0</v>
      </c>
      <c r="B305" s="12">
        <v>101.0</v>
      </c>
      <c r="C305" s="13" t="s">
        <v>9377</v>
      </c>
      <c r="D305" s="57" t="s">
        <v>9378</v>
      </c>
      <c r="E305" s="48" t="s">
        <v>9379</v>
      </c>
      <c r="F305" s="51"/>
      <c r="G305" s="51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22.5" customHeight="1">
      <c r="A306" s="17">
        <v>304.0</v>
      </c>
      <c r="B306" s="12">
        <v>101.0</v>
      </c>
      <c r="C306" s="13" t="s">
        <v>9380</v>
      </c>
      <c r="D306" s="58" t="s">
        <v>9381</v>
      </c>
      <c r="E306" s="48" t="s">
        <v>9382</v>
      </c>
      <c r="F306" s="51"/>
      <c r="G306" s="51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22.5" customHeight="1">
      <c r="A307" s="11">
        <v>305.0</v>
      </c>
      <c r="B307" s="12">
        <v>101.0</v>
      </c>
      <c r="C307" s="13" t="s">
        <v>8774</v>
      </c>
      <c r="D307" s="57" t="s">
        <v>8775</v>
      </c>
      <c r="E307" s="48" t="s">
        <v>9383</v>
      </c>
      <c r="F307" s="49" t="s">
        <v>18</v>
      </c>
      <c r="G307" s="51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22.5" customHeight="1">
      <c r="A308" s="17">
        <v>306.0</v>
      </c>
      <c r="B308" s="12">
        <v>101.0</v>
      </c>
      <c r="C308" s="13" t="s">
        <v>9384</v>
      </c>
      <c r="D308" s="58" t="s">
        <v>9385</v>
      </c>
      <c r="E308" s="48" t="s">
        <v>9386</v>
      </c>
      <c r="F308" s="49" t="s">
        <v>18</v>
      </c>
      <c r="G308" s="51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22.5" customHeight="1">
      <c r="A309" s="11">
        <v>307.0</v>
      </c>
      <c r="B309" s="12">
        <v>101.0</v>
      </c>
      <c r="C309" s="13" t="s">
        <v>8957</v>
      </c>
      <c r="D309" s="57" t="s">
        <v>8958</v>
      </c>
      <c r="E309" s="48" t="s">
        <v>8959</v>
      </c>
      <c r="F309" s="51"/>
      <c r="G309" s="51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22.5" customHeight="1">
      <c r="A310" s="17">
        <v>308.0</v>
      </c>
      <c r="B310" s="12">
        <v>101.0</v>
      </c>
      <c r="C310" s="13" t="s">
        <v>8904</v>
      </c>
      <c r="D310" s="58" t="s">
        <v>8905</v>
      </c>
      <c r="E310" s="48" t="s">
        <v>8906</v>
      </c>
      <c r="F310" s="51"/>
      <c r="G310" s="51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22.5" customHeight="1">
      <c r="A311" s="11">
        <v>309.0</v>
      </c>
      <c r="B311" s="12">
        <v>101.0</v>
      </c>
      <c r="C311" s="13" t="s">
        <v>4563</v>
      </c>
      <c r="D311" s="57" t="s">
        <v>4562</v>
      </c>
      <c r="E311" s="48" t="s">
        <v>9387</v>
      </c>
      <c r="F311" s="51"/>
      <c r="G311" s="51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22.5" customHeight="1">
      <c r="A312" s="17">
        <v>310.0</v>
      </c>
      <c r="B312" s="12">
        <v>101.0</v>
      </c>
      <c r="C312" s="13" t="s">
        <v>9293</v>
      </c>
      <c r="D312" s="58" t="s">
        <v>9294</v>
      </c>
      <c r="E312" s="48" t="s">
        <v>9295</v>
      </c>
      <c r="F312" s="49" t="s">
        <v>18</v>
      </c>
      <c r="G312" s="14" t="s">
        <v>18</v>
      </c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22.5" customHeight="1">
      <c r="A313" s="11">
        <v>311.0</v>
      </c>
      <c r="B313" s="12">
        <v>101.0</v>
      </c>
      <c r="C313" s="13" t="s">
        <v>4865</v>
      </c>
      <c r="D313" s="57" t="s">
        <v>4864</v>
      </c>
      <c r="E313" s="48" t="s">
        <v>9388</v>
      </c>
      <c r="F313" s="51"/>
      <c r="G313" s="51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22.5" customHeight="1">
      <c r="A314" s="17">
        <v>312.0</v>
      </c>
      <c r="B314" s="12">
        <v>101.0</v>
      </c>
      <c r="C314" s="13" t="s">
        <v>9389</v>
      </c>
      <c r="D314" s="58" t="s">
        <v>9390</v>
      </c>
      <c r="E314" s="48" t="s">
        <v>9391</v>
      </c>
      <c r="F314" s="49" t="s">
        <v>18</v>
      </c>
      <c r="G314" s="51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22.5" customHeight="1">
      <c r="A315" s="11">
        <v>313.0</v>
      </c>
      <c r="B315" s="12">
        <v>101.0</v>
      </c>
      <c r="C315" s="13" t="s">
        <v>9392</v>
      </c>
      <c r="D315" s="57" t="s">
        <v>9393</v>
      </c>
      <c r="E315" s="48" t="s">
        <v>9394</v>
      </c>
      <c r="F315" s="49" t="s">
        <v>18</v>
      </c>
      <c r="G315" s="51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22.5" customHeight="1">
      <c r="A316" s="17">
        <v>314.0</v>
      </c>
      <c r="B316" s="12">
        <v>101.0</v>
      </c>
      <c r="C316" s="13" t="s">
        <v>9395</v>
      </c>
      <c r="D316" s="58" t="s">
        <v>3372</v>
      </c>
      <c r="E316" s="48" t="s">
        <v>9396</v>
      </c>
      <c r="F316" s="51"/>
      <c r="G316" s="51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22.5" customHeight="1">
      <c r="A317" s="11">
        <v>315.0</v>
      </c>
      <c r="B317" s="12">
        <v>101.0</v>
      </c>
      <c r="C317" s="13" t="s">
        <v>8871</v>
      </c>
      <c r="D317" s="57" t="s">
        <v>8872</v>
      </c>
      <c r="E317" s="48" t="s">
        <v>8873</v>
      </c>
      <c r="F317" s="51"/>
      <c r="G317" s="51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22.5" customHeight="1">
      <c r="A318" s="17">
        <v>316.0</v>
      </c>
      <c r="B318" s="12">
        <v>101.0</v>
      </c>
      <c r="C318" s="13" t="s">
        <v>8922</v>
      </c>
      <c r="D318" s="58" t="s">
        <v>8923</v>
      </c>
      <c r="E318" s="48" t="s">
        <v>9397</v>
      </c>
      <c r="F318" s="51"/>
      <c r="G318" s="51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22.5" customHeight="1">
      <c r="A319" s="11">
        <v>317.0</v>
      </c>
      <c r="B319" s="12">
        <v>101.0</v>
      </c>
      <c r="C319" s="13" t="s">
        <v>5966</v>
      </c>
      <c r="D319" s="57" t="s">
        <v>5965</v>
      </c>
      <c r="E319" s="48" t="s">
        <v>9398</v>
      </c>
      <c r="F319" s="51"/>
      <c r="G319" s="51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22.5" customHeight="1">
      <c r="A320" s="17">
        <v>318.0</v>
      </c>
      <c r="B320" s="12">
        <v>101.0</v>
      </c>
      <c r="C320" s="13" t="s">
        <v>9274</v>
      </c>
      <c r="D320" s="59" t="s">
        <v>9275</v>
      </c>
      <c r="E320" s="48" t="s">
        <v>9276</v>
      </c>
      <c r="F320" s="51"/>
      <c r="G320" s="51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22.5" customHeight="1">
      <c r="A321" s="11">
        <v>319.0</v>
      </c>
      <c r="B321" s="12">
        <v>101.0</v>
      </c>
      <c r="C321" s="13" t="s">
        <v>9399</v>
      </c>
      <c r="D321" s="57" t="s">
        <v>2072</v>
      </c>
      <c r="E321" s="48" t="s">
        <v>2073</v>
      </c>
      <c r="F321" s="51"/>
      <c r="G321" s="51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22.5" customHeight="1">
      <c r="A322" s="17">
        <v>320.0</v>
      </c>
      <c r="B322" s="12">
        <v>101.0</v>
      </c>
      <c r="C322" s="13" t="s">
        <v>9400</v>
      </c>
      <c r="D322" s="58" t="s">
        <v>9401</v>
      </c>
      <c r="E322" s="48" t="s">
        <v>9402</v>
      </c>
      <c r="F322" s="51"/>
      <c r="G322" s="51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22.5" customHeight="1">
      <c r="A323" s="11">
        <v>321.0</v>
      </c>
      <c r="B323" s="12">
        <v>101.0</v>
      </c>
      <c r="C323" s="13" t="s">
        <v>9198</v>
      </c>
      <c r="D323" s="57" t="s">
        <v>9199</v>
      </c>
      <c r="E323" s="48" t="s">
        <v>9200</v>
      </c>
      <c r="F323" s="51"/>
      <c r="G323" s="51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22.5" customHeight="1">
      <c r="A324" s="17">
        <v>322.0</v>
      </c>
      <c r="B324" s="12">
        <v>101.0</v>
      </c>
      <c r="C324" s="13" t="s">
        <v>9403</v>
      </c>
      <c r="D324" s="58" t="s">
        <v>9404</v>
      </c>
      <c r="E324" s="48" t="s">
        <v>9405</v>
      </c>
      <c r="F324" s="51"/>
      <c r="G324" s="51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22.5" customHeight="1">
      <c r="A325" s="11">
        <v>323.0</v>
      </c>
      <c r="B325" s="12">
        <v>101.0</v>
      </c>
      <c r="C325" s="13" t="s">
        <v>8768</v>
      </c>
      <c r="D325" s="57" t="s">
        <v>8981</v>
      </c>
      <c r="E325" s="48" t="s">
        <v>9406</v>
      </c>
      <c r="F325" s="49" t="s">
        <v>18</v>
      </c>
      <c r="G325" s="14" t="s">
        <v>18</v>
      </c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22.5" customHeight="1">
      <c r="A326" s="17">
        <v>324.0</v>
      </c>
      <c r="B326" s="12">
        <v>101.0</v>
      </c>
      <c r="C326" s="13" t="s">
        <v>9407</v>
      </c>
      <c r="D326" s="58" t="s">
        <v>9408</v>
      </c>
      <c r="E326" s="48" t="s">
        <v>9409</v>
      </c>
      <c r="F326" s="49" t="s">
        <v>18</v>
      </c>
      <c r="G326" s="51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22.5" customHeight="1">
      <c r="A327" s="11">
        <v>325.0</v>
      </c>
      <c r="B327" s="12">
        <v>101.0</v>
      </c>
      <c r="C327" s="13" t="s">
        <v>9410</v>
      </c>
      <c r="D327" s="60" t="s">
        <v>9411</v>
      </c>
      <c r="E327" s="48" t="s">
        <v>9412</v>
      </c>
      <c r="F327" s="49" t="s">
        <v>18</v>
      </c>
      <c r="G327" s="51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22.5" customHeight="1">
      <c r="A328" s="17">
        <v>326.0</v>
      </c>
      <c r="B328" s="12">
        <v>101.0</v>
      </c>
      <c r="C328" s="13" t="s">
        <v>9413</v>
      </c>
      <c r="D328" s="58" t="s">
        <v>9414</v>
      </c>
      <c r="E328" s="48" t="s">
        <v>9415</v>
      </c>
      <c r="F328" s="49" t="s">
        <v>18</v>
      </c>
      <c r="G328" s="51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22.5" customHeight="1">
      <c r="A329" s="11">
        <v>327.0</v>
      </c>
      <c r="B329" s="12">
        <v>101.0</v>
      </c>
      <c r="C329" s="13" t="s">
        <v>8892</v>
      </c>
      <c r="D329" s="57" t="s">
        <v>8893</v>
      </c>
      <c r="E329" s="48" t="s">
        <v>8894</v>
      </c>
      <c r="F329" s="51"/>
      <c r="G329" s="51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22.5" customHeight="1">
      <c r="A330" s="17">
        <v>328.0</v>
      </c>
      <c r="B330" s="12">
        <v>101.0</v>
      </c>
      <c r="C330" s="13" t="s">
        <v>9416</v>
      </c>
      <c r="D330" s="58" t="s">
        <v>9417</v>
      </c>
      <c r="E330" s="48" t="s">
        <v>9418</v>
      </c>
      <c r="F330" s="49" t="s">
        <v>18</v>
      </c>
      <c r="G330" s="51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22.5" customHeight="1">
      <c r="A331" s="11">
        <v>329.0</v>
      </c>
      <c r="B331" s="12">
        <v>101.0</v>
      </c>
      <c r="C331" s="13" t="s">
        <v>8927</v>
      </c>
      <c r="D331" s="57" t="s">
        <v>1702</v>
      </c>
      <c r="E331" s="48" t="s">
        <v>2009</v>
      </c>
      <c r="F331" s="51"/>
      <c r="G331" s="51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22.5" customHeight="1">
      <c r="A332" s="17">
        <v>330.0</v>
      </c>
      <c r="B332" s="12">
        <v>101.0</v>
      </c>
      <c r="C332" s="13" t="s">
        <v>9016</v>
      </c>
      <c r="D332" s="58" t="s">
        <v>9017</v>
      </c>
      <c r="E332" s="48" t="s">
        <v>9018</v>
      </c>
      <c r="F332" s="51"/>
      <c r="G332" s="51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22.5" customHeight="1">
      <c r="A333" s="11">
        <v>331.0</v>
      </c>
      <c r="B333" s="12">
        <v>100.0</v>
      </c>
      <c r="C333" s="13" t="s">
        <v>9419</v>
      </c>
      <c r="D333" s="57" t="s">
        <v>9420</v>
      </c>
      <c r="E333" s="48" t="s">
        <v>9421</v>
      </c>
      <c r="F333" s="51"/>
      <c r="G333" s="51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22.5" customHeight="1">
      <c r="A334" s="17">
        <v>332.0</v>
      </c>
      <c r="B334" s="12">
        <v>100.0</v>
      </c>
      <c r="C334" s="13" t="s">
        <v>9422</v>
      </c>
      <c r="D334" s="58" t="s">
        <v>9423</v>
      </c>
      <c r="E334" s="48" t="s">
        <v>9424</v>
      </c>
      <c r="F334" s="51"/>
      <c r="G334" s="51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22.5" customHeight="1">
      <c r="A335" s="11">
        <v>333.0</v>
      </c>
      <c r="B335" s="12">
        <v>100.0</v>
      </c>
      <c r="C335" s="13" t="s">
        <v>9425</v>
      </c>
      <c r="D335" s="57" t="s">
        <v>9426</v>
      </c>
      <c r="E335" s="48" t="s">
        <v>9427</v>
      </c>
      <c r="F335" s="49" t="s">
        <v>18</v>
      </c>
      <c r="G335" s="51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22.5" customHeight="1">
      <c r="A336" s="17">
        <v>334.0</v>
      </c>
      <c r="B336" s="12">
        <v>100.0</v>
      </c>
      <c r="C336" s="13" t="s">
        <v>9395</v>
      </c>
      <c r="D336" s="58" t="s">
        <v>3372</v>
      </c>
      <c r="E336" s="48" t="s">
        <v>9396</v>
      </c>
      <c r="F336" s="51"/>
      <c r="G336" s="51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22.5" customHeight="1">
      <c r="A337" s="11">
        <v>335.0</v>
      </c>
      <c r="B337" s="12">
        <v>100.0</v>
      </c>
      <c r="C337" s="13" t="s">
        <v>9428</v>
      </c>
      <c r="D337" s="57" t="s">
        <v>9429</v>
      </c>
      <c r="E337" s="48" t="s">
        <v>9430</v>
      </c>
      <c r="F337" s="49" t="s">
        <v>18</v>
      </c>
      <c r="G337" s="51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22.5" customHeight="1">
      <c r="A338" s="17">
        <v>336.0</v>
      </c>
      <c r="B338" s="12">
        <v>100.0</v>
      </c>
      <c r="C338" s="13" t="s">
        <v>9431</v>
      </c>
      <c r="D338" s="58" t="s">
        <v>9432</v>
      </c>
      <c r="E338" s="48" t="s">
        <v>9433</v>
      </c>
      <c r="F338" s="51"/>
      <c r="G338" s="51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22.5" customHeight="1">
      <c r="A339" s="11">
        <v>337.0</v>
      </c>
      <c r="B339" s="12">
        <v>100.0</v>
      </c>
      <c r="C339" s="13" t="s">
        <v>9434</v>
      </c>
      <c r="D339" s="57" t="s">
        <v>9435</v>
      </c>
      <c r="E339" s="48" t="s">
        <v>9436</v>
      </c>
      <c r="F339" s="51"/>
      <c r="G339" s="51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22.5" customHeight="1">
      <c r="A340" s="17">
        <v>338.0</v>
      </c>
      <c r="B340" s="12">
        <v>100.0</v>
      </c>
      <c r="C340" s="13" t="s">
        <v>9437</v>
      </c>
      <c r="D340" s="58" t="s">
        <v>9438</v>
      </c>
      <c r="E340" s="48" t="s">
        <v>9439</v>
      </c>
      <c r="F340" s="51"/>
      <c r="G340" s="51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22.5" customHeight="1">
      <c r="A341" s="11">
        <v>339.0</v>
      </c>
      <c r="B341" s="12">
        <v>100.0</v>
      </c>
      <c r="C341" s="13" t="s">
        <v>9440</v>
      </c>
      <c r="D341" s="57" t="s">
        <v>3681</v>
      </c>
      <c r="E341" s="48" t="s">
        <v>9441</v>
      </c>
      <c r="F341" s="51"/>
      <c r="G341" s="51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22.5" customHeight="1">
      <c r="A342" s="17">
        <v>340.0</v>
      </c>
      <c r="B342" s="12">
        <v>100.0</v>
      </c>
      <c r="C342" s="13" t="s">
        <v>9442</v>
      </c>
      <c r="D342" s="58" t="s">
        <v>1795</v>
      </c>
      <c r="E342" s="48" t="s">
        <v>9443</v>
      </c>
      <c r="F342" s="51"/>
      <c r="G342" s="51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22.5" customHeight="1">
      <c r="A343" s="11">
        <v>341.0</v>
      </c>
      <c r="B343" s="12">
        <v>100.0</v>
      </c>
      <c r="C343" s="13" t="s">
        <v>9444</v>
      </c>
      <c r="D343" s="57" t="s">
        <v>9445</v>
      </c>
      <c r="E343" s="48" t="s">
        <v>9446</v>
      </c>
      <c r="F343" s="49" t="s">
        <v>18</v>
      </c>
      <c r="G343" s="51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22.5" customHeight="1">
      <c r="A344" s="17">
        <v>342.0</v>
      </c>
      <c r="B344" s="12">
        <v>100.0</v>
      </c>
      <c r="C344" s="13" t="s">
        <v>9447</v>
      </c>
      <c r="D344" s="58" t="s">
        <v>9448</v>
      </c>
      <c r="E344" s="48" t="s">
        <v>9449</v>
      </c>
      <c r="F344" s="49" t="s">
        <v>18</v>
      </c>
      <c r="G344" s="51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22.5" customHeight="1">
      <c r="A345" s="11">
        <v>343.0</v>
      </c>
      <c r="B345" s="12">
        <v>100.0</v>
      </c>
      <c r="C345" s="13" t="s">
        <v>9450</v>
      </c>
      <c r="D345" s="57" t="s">
        <v>9451</v>
      </c>
      <c r="E345" s="48" t="s">
        <v>9452</v>
      </c>
      <c r="F345" s="49" t="s">
        <v>18</v>
      </c>
      <c r="G345" s="51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22.5" customHeight="1">
      <c r="A346" s="17">
        <v>344.0</v>
      </c>
      <c r="B346" s="12">
        <v>100.0</v>
      </c>
      <c r="C346" s="13" t="s">
        <v>9453</v>
      </c>
      <c r="D346" s="58" t="s">
        <v>9454</v>
      </c>
      <c r="E346" s="48" t="s">
        <v>9455</v>
      </c>
      <c r="F346" s="49" t="s">
        <v>18</v>
      </c>
      <c r="G346" s="51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22.5" customHeight="1">
      <c r="A347" s="11">
        <v>345.0</v>
      </c>
      <c r="B347" s="12">
        <v>100.0</v>
      </c>
      <c r="C347" s="13" t="s">
        <v>9456</v>
      </c>
      <c r="D347" s="57" t="s">
        <v>9457</v>
      </c>
      <c r="E347" s="48" t="s">
        <v>9458</v>
      </c>
      <c r="F347" s="51"/>
      <c r="G347" s="51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22.5" customHeight="1">
      <c r="A348" s="17">
        <v>346.0</v>
      </c>
      <c r="B348" s="12">
        <v>100.0</v>
      </c>
      <c r="C348" s="13" t="s">
        <v>9459</v>
      </c>
      <c r="D348" s="58" t="s">
        <v>9460</v>
      </c>
      <c r="E348" s="48" t="s">
        <v>9461</v>
      </c>
      <c r="F348" s="49" t="s">
        <v>18</v>
      </c>
      <c r="G348" s="51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22.5" customHeight="1">
      <c r="A349" s="11">
        <v>347.0</v>
      </c>
      <c r="B349" s="12">
        <v>100.0</v>
      </c>
      <c r="C349" s="13" t="s">
        <v>9293</v>
      </c>
      <c r="D349" s="57" t="s">
        <v>9294</v>
      </c>
      <c r="E349" s="48" t="s">
        <v>9295</v>
      </c>
      <c r="F349" s="51"/>
      <c r="G349" s="51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22.5" customHeight="1">
      <c r="A350" s="17">
        <v>348.0</v>
      </c>
      <c r="B350" s="12">
        <v>100.0</v>
      </c>
      <c r="C350" s="13" t="s">
        <v>9056</v>
      </c>
      <c r="D350" s="58" t="s">
        <v>9057</v>
      </c>
      <c r="E350" s="48" t="s">
        <v>9058</v>
      </c>
      <c r="F350" s="51"/>
      <c r="G350" s="51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22.5" customHeight="1">
      <c r="A351" s="11">
        <v>349.0</v>
      </c>
      <c r="B351" s="12">
        <v>100.0</v>
      </c>
      <c r="C351" s="13" t="s">
        <v>8967</v>
      </c>
      <c r="D351" s="57" t="s">
        <v>8968</v>
      </c>
      <c r="E351" s="48" t="s">
        <v>9462</v>
      </c>
      <c r="F351" s="49" t="s">
        <v>18</v>
      </c>
      <c r="G351" s="51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22.5" customHeight="1">
      <c r="A352" s="17">
        <v>350.0</v>
      </c>
      <c r="B352" s="12">
        <v>100.0</v>
      </c>
      <c r="C352" s="13" t="s">
        <v>9463</v>
      </c>
      <c r="D352" s="58" t="s">
        <v>9464</v>
      </c>
      <c r="E352" s="48" t="s">
        <v>9465</v>
      </c>
      <c r="F352" s="49" t="s">
        <v>18</v>
      </c>
      <c r="G352" s="51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22.5" customHeight="1">
      <c r="A353" s="11">
        <v>351.0</v>
      </c>
      <c r="B353" s="12">
        <v>100.0</v>
      </c>
      <c r="C353" s="13" t="s">
        <v>5764</v>
      </c>
      <c r="D353" s="57" t="s">
        <v>5763</v>
      </c>
      <c r="E353" s="48" t="s">
        <v>9356</v>
      </c>
      <c r="F353" s="51"/>
      <c r="G353" s="51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22.5" customHeight="1">
      <c r="A354" s="17">
        <v>352.0</v>
      </c>
      <c r="B354" s="12">
        <v>100.0</v>
      </c>
      <c r="C354" s="13" t="s">
        <v>9466</v>
      </c>
      <c r="D354" s="58" t="s">
        <v>9467</v>
      </c>
      <c r="E354" s="48" t="s">
        <v>9468</v>
      </c>
      <c r="F354" s="51"/>
      <c r="G354" s="51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22.5" customHeight="1">
      <c r="A355" s="11">
        <v>353.0</v>
      </c>
      <c r="B355" s="12">
        <v>100.0</v>
      </c>
      <c r="C355" s="13" t="s">
        <v>9469</v>
      </c>
      <c r="D355" s="57" t="s">
        <v>9470</v>
      </c>
      <c r="E355" s="48" t="s">
        <v>9471</v>
      </c>
      <c r="F355" s="49" t="s">
        <v>18</v>
      </c>
      <c r="G355" s="51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22.5" customHeight="1">
      <c r="A356" s="17">
        <v>354.0</v>
      </c>
      <c r="B356" s="12">
        <v>100.0</v>
      </c>
      <c r="C356" s="13" t="s">
        <v>9472</v>
      </c>
      <c r="D356" s="58" t="s">
        <v>9473</v>
      </c>
      <c r="E356" s="48" t="s">
        <v>9474</v>
      </c>
      <c r="F356" s="51"/>
      <c r="G356" s="51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22.5" customHeight="1">
      <c r="A357" s="11">
        <v>355.0</v>
      </c>
      <c r="B357" s="12">
        <v>100.0</v>
      </c>
      <c r="C357" s="13" t="s">
        <v>9475</v>
      </c>
      <c r="D357" s="57" t="s">
        <v>9476</v>
      </c>
      <c r="E357" s="48" t="s">
        <v>9477</v>
      </c>
      <c r="F357" s="49" t="s">
        <v>18</v>
      </c>
      <c r="G357" s="51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22.5" customHeight="1">
      <c r="A358" s="17">
        <v>356.0</v>
      </c>
      <c r="B358" s="12">
        <v>100.0</v>
      </c>
      <c r="C358" s="13" t="s">
        <v>9478</v>
      </c>
      <c r="D358" s="58" t="s">
        <v>9479</v>
      </c>
      <c r="E358" s="48" t="s">
        <v>9480</v>
      </c>
      <c r="F358" s="51"/>
      <c r="G358" s="51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22.5" customHeight="1">
      <c r="A359" s="11">
        <v>357.0</v>
      </c>
      <c r="B359" s="12">
        <v>100.0</v>
      </c>
      <c r="C359" s="13" t="s">
        <v>9481</v>
      </c>
      <c r="D359" s="57" t="s">
        <v>9482</v>
      </c>
      <c r="E359" s="48" t="s">
        <v>9483</v>
      </c>
      <c r="F359" s="49" t="s">
        <v>18</v>
      </c>
      <c r="G359" s="51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22.5" customHeight="1">
      <c r="A360" s="17">
        <v>358.0</v>
      </c>
      <c r="B360" s="12">
        <v>100.0</v>
      </c>
      <c r="C360" s="13" t="s">
        <v>8736</v>
      </c>
      <c r="D360" s="58" t="s">
        <v>8737</v>
      </c>
      <c r="E360" s="48" t="s">
        <v>9484</v>
      </c>
      <c r="F360" s="49" t="s">
        <v>18</v>
      </c>
      <c r="G360" s="51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22.5" customHeight="1">
      <c r="A361" s="11">
        <v>359.0</v>
      </c>
      <c r="B361" s="12">
        <v>100.0</v>
      </c>
      <c r="C361" s="13" t="s">
        <v>9485</v>
      </c>
      <c r="D361" s="57" t="s">
        <v>9486</v>
      </c>
      <c r="E361" s="48" t="s">
        <v>9487</v>
      </c>
      <c r="F361" s="51"/>
      <c r="G361" s="51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22.5" customHeight="1">
      <c r="A362" s="17">
        <v>360.0</v>
      </c>
      <c r="B362" s="12">
        <v>100.0</v>
      </c>
      <c r="C362" s="13" t="s">
        <v>9488</v>
      </c>
      <c r="D362" s="58" t="s">
        <v>9489</v>
      </c>
      <c r="E362" s="48" t="s">
        <v>9490</v>
      </c>
      <c r="F362" s="51"/>
      <c r="G362" s="51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22.5" customHeight="1">
      <c r="A363" s="11">
        <v>361.0</v>
      </c>
      <c r="B363" s="12">
        <v>99.0</v>
      </c>
      <c r="C363" s="13" t="s">
        <v>9491</v>
      </c>
      <c r="D363" s="57" t="s">
        <v>9492</v>
      </c>
      <c r="E363" s="48" t="s">
        <v>9493</v>
      </c>
      <c r="F363" s="49" t="s">
        <v>18</v>
      </c>
      <c r="G363" s="51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22.5" customHeight="1">
      <c r="A364" s="17">
        <v>362.0</v>
      </c>
      <c r="B364" s="12">
        <v>99.0</v>
      </c>
      <c r="C364" s="13" t="s">
        <v>9494</v>
      </c>
      <c r="D364" s="58" t="s">
        <v>9495</v>
      </c>
      <c r="E364" s="48" t="s">
        <v>9496</v>
      </c>
      <c r="F364" s="49" t="s">
        <v>18</v>
      </c>
      <c r="G364" s="51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22.5" customHeight="1">
      <c r="A365" s="11">
        <v>363.0</v>
      </c>
      <c r="B365" s="12">
        <v>99.0</v>
      </c>
      <c r="C365" s="13" t="s">
        <v>9497</v>
      </c>
      <c r="D365" s="57" t="s">
        <v>9498</v>
      </c>
      <c r="E365" s="48" t="s">
        <v>9499</v>
      </c>
      <c r="F365" s="49" t="s">
        <v>18</v>
      </c>
      <c r="G365" s="51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22.5" customHeight="1">
      <c r="A366" s="17">
        <v>364.0</v>
      </c>
      <c r="B366" s="12">
        <v>99.0</v>
      </c>
      <c r="C366" s="13" t="s">
        <v>9500</v>
      </c>
      <c r="D366" s="58" t="s">
        <v>9501</v>
      </c>
      <c r="E366" s="48" t="s">
        <v>9502</v>
      </c>
      <c r="F366" s="49" t="s">
        <v>18</v>
      </c>
      <c r="G366" s="51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22.5" customHeight="1">
      <c r="A367" s="11">
        <v>365.0</v>
      </c>
      <c r="B367" s="12">
        <v>99.0</v>
      </c>
      <c r="C367" s="13" t="s">
        <v>9503</v>
      </c>
      <c r="D367" s="57" t="s">
        <v>9504</v>
      </c>
      <c r="E367" s="48" t="s">
        <v>9505</v>
      </c>
      <c r="F367" s="49" t="s">
        <v>18</v>
      </c>
      <c r="G367" s="51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22.5" customHeight="1">
      <c r="A368" s="17">
        <v>366.0</v>
      </c>
      <c r="B368" s="12">
        <v>99.0</v>
      </c>
      <c r="C368" s="13" t="s">
        <v>8839</v>
      </c>
      <c r="D368" s="58" t="s">
        <v>3477</v>
      </c>
      <c r="E368" s="48" t="s">
        <v>3478</v>
      </c>
      <c r="F368" s="51"/>
      <c r="G368" s="51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22.5" customHeight="1">
      <c r="A369" s="11">
        <v>367.0</v>
      </c>
      <c r="B369" s="12">
        <v>99.0</v>
      </c>
      <c r="C369" s="13" t="s">
        <v>9506</v>
      </c>
      <c r="D369" s="57" t="s">
        <v>9507</v>
      </c>
      <c r="E369" s="48" t="s">
        <v>9508</v>
      </c>
      <c r="F369" s="49" t="s">
        <v>18</v>
      </c>
      <c r="G369" s="51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22.5" customHeight="1">
      <c r="A370" s="17">
        <v>368.0</v>
      </c>
      <c r="B370" s="12">
        <v>99.0</v>
      </c>
      <c r="C370" s="13" t="s">
        <v>9509</v>
      </c>
      <c r="D370" s="58" t="s">
        <v>9510</v>
      </c>
      <c r="E370" s="48" t="s">
        <v>9511</v>
      </c>
      <c r="F370" s="51"/>
      <c r="G370" s="51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22.5" customHeight="1">
      <c r="A371" s="11">
        <v>369.0</v>
      </c>
      <c r="B371" s="12">
        <v>99.0</v>
      </c>
      <c r="C371" s="13" t="s">
        <v>9512</v>
      </c>
      <c r="D371" s="57" t="s">
        <v>9513</v>
      </c>
      <c r="E371" s="48" t="s">
        <v>9514</v>
      </c>
      <c r="F371" s="51"/>
      <c r="G371" s="51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22.5" customHeight="1">
      <c r="A372" s="17">
        <v>370.0</v>
      </c>
      <c r="B372" s="12">
        <v>99.0</v>
      </c>
      <c r="C372" s="13" t="s">
        <v>9515</v>
      </c>
      <c r="D372" s="58" t="s">
        <v>9516</v>
      </c>
      <c r="E372" s="48" t="s">
        <v>9517</v>
      </c>
      <c r="F372" s="49" t="s">
        <v>18</v>
      </c>
      <c r="G372" s="14" t="s">
        <v>18</v>
      </c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22.5" customHeight="1">
      <c r="A373" s="11">
        <v>371.0</v>
      </c>
      <c r="B373" s="12">
        <v>99.0</v>
      </c>
      <c r="C373" s="13" t="s">
        <v>5928</v>
      </c>
      <c r="D373" s="57" t="s">
        <v>5927</v>
      </c>
      <c r="E373" s="48" t="s">
        <v>9341</v>
      </c>
      <c r="F373" s="51"/>
      <c r="G373" s="51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22.5" customHeight="1">
      <c r="A374" s="17">
        <v>372.0</v>
      </c>
      <c r="B374" s="12">
        <v>99.0</v>
      </c>
      <c r="C374" s="13" t="s">
        <v>9518</v>
      </c>
      <c r="D374" s="58" t="s">
        <v>9519</v>
      </c>
      <c r="E374" s="48" t="s">
        <v>9520</v>
      </c>
      <c r="F374" s="51"/>
      <c r="G374" s="51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22.5" customHeight="1">
      <c r="A375" s="11">
        <v>373.0</v>
      </c>
      <c r="B375" s="12">
        <v>99.0</v>
      </c>
      <c r="C375" s="13" t="s">
        <v>9098</v>
      </c>
      <c r="D375" s="57" t="s">
        <v>9099</v>
      </c>
      <c r="E375" s="48" t="s">
        <v>9100</v>
      </c>
      <c r="F375" s="51"/>
      <c r="G375" s="51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22.5" customHeight="1">
      <c r="A376" s="17">
        <v>374.0</v>
      </c>
      <c r="B376" s="12">
        <v>99.0</v>
      </c>
      <c r="C376" s="13" t="s">
        <v>8827</v>
      </c>
      <c r="D376" s="58" t="s">
        <v>8828</v>
      </c>
      <c r="E376" s="48" t="s">
        <v>8829</v>
      </c>
      <c r="F376" s="51"/>
      <c r="G376" s="51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22.5" customHeight="1">
      <c r="A377" s="11">
        <v>375.0</v>
      </c>
      <c r="B377" s="12">
        <v>99.0</v>
      </c>
      <c r="C377" s="13" t="s">
        <v>9447</v>
      </c>
      <c r="D377" s="57" t="s">
        <v>9448</v>
      </c>
      <c r="E377" s="48" t="s">
        <v>9449</v>
      </c>
      <c r="F377" s="51"/>
      <c r="G377" s="51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22.5" customHeight="1">
      <c r="A378" s="17">
        <v>376.0</v>
      </c>
      <c r="B378" s="12">
        <v>99.0</v>
      </c>
      <c r="C378" s="13" t="s">
        <v>9521</v>
      </c>
      <c r="D378" s="58" t="s">
        <v>3849</v>
      </c>
      <c r="E378" s="48" t="s">
        <v>9522</v>
      </c>
      <c r="F378" s="49" t="s">
        <v>18</v>
      </c>
      <c r="G378" s="14" t="s">
        <v>18</v>
      </c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22.5" customHeight="1">
      <c r="A379" s="11">
        <v>377.0</v>
      </c>
      <c r="B379" s="12">
        <v>99.0</v>
      </c>
      <c r="C379" s="13" t="s">
        <v>9523</v>
      </c>
      <c r="D379" s="57" t="s">
        <v>9524</v>
      </c>
      <c r="E379" s="48" t="s">
        <v>9525</v>
      </c>
      <c r="F379" s="49" t="s">
        <v>18</v>
      </c>
      <c r="G379" s="51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22.5" customHeight="1">
      <c r="A380" s="17">
        <v>378.0</v>
      </c>
      <c r="B380" s="12">
        <v>99.0</v>
      </c>
      <c r="C380" s="13" t="s">
        <v>9526</v>
      </c>
      <c r="D380" s="58" t="s">
        <v>9527</v>
      </c>
      <c r="E380" s="48" t="s">
        <v>9528</v>
      </c>
      <c r="F380" s="49" t="s">
        <v>18</v>
      </c>
      <c r="G380" s="51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22.5" customHeight="1">
      <c r="A381" s="11">
        <v>379.0</v>
      </c>
      <c r="B381" s="12">
        <v>99.0</v>
      </c>
      <c r="C381" s="13" t="s">
        <v>9529</v>
      </c>
      <c r="D381" s="57" t="s">
        <v>9530</v>
      </c>
      <c r="E381" s="48" t="s">
        <v>9531</v>
      </c>
      <c r="F381" s="51"/>
      <c r="G381" s="51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22.5" customHeight="1">
      <c r="A382" s="17">
        <v>380.0</v>
      </c>
      <c r="B382" s="12">
        <v>99.0</v>
      </c>
      <c r="C382" s="13" t="s">
        <v>4943</v>
      </c>
      <c r="D382" s="58" t="s">
        <v>4942</v>
      </c>
      <c r="E382" s="48" t="s">
        <v>9532</v>
      </c>
      <c r="F382" s="51"/>
      <c r="G382" s="51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22.5" customHeight="1">
      <c r="A383" s="11">
        <v>381.0</v>
      </c>
      <c r="B383" s="12">
        <v>99.0</v>
      </c>
      <c r="C383" s="13" t="s">
        <v>9533</v>
      </c>
      <c r="D383" s="57" t="s">
        <v>9534</v>
      </c>
      <c r="E383" s="48" t="s">
        <v>9535</v>
      </c>
      <c r="F383" s="51"/>
      <c r="G383" s="51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22.5" customHeight="1">
      <c r="A384" s="17">
        <v>382.0</v>
      </c>
      <c r="B384" s="12">
        <v>99.0</v>
      </c>
      <c r="C384" s="13" t="s">
        <v>9472</v>
      </c>
      <c r="D384" s="58" t="s">
        <v>9473</v>
      </c>
      <c r="E384" s="48" t="s">
        <v>9474</v>
      </c>
      <c r="F384" s="49" t="s">
        <v>18</v>
      </c>
      <c r="G384" s="51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22.5" customHeight="1">
      <c r="A385" s="11">
        <v>383.0</v>
      </c>
      <c r="B385" s="12">
        <v>99.0</v>
      </c>
      <c r="C385" s="13" t="s">
        <v>9536</v>
      </c>
      <c r="D385" s="57" t="s">
        <v>9537</v>
      </c>
      <c r="E385" s="48" t="s">
        <v>9538</v>
      </c>
      <c r="F385" s="51"/>
      <c r="G385" s="51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22.5" customHeight="1">
      <c r="A386" s="17">
        <v>384.0</v>
      </c>
      <c r="B386" s="12">
        <v>99.0</v>
      </c>
      <c r="C386" s="13" t="s">
        <v>9539</v>
      </c>
      <c r="D386" s="58" t="s">
        <v>9540</v>
      </c>
      <c r="E386" s="48" t="s">
        <v>9541</v>
      </c>
      <c r="F386" s="49" t="s">
        <v>18</v>
      </c>
      <c r="G386" s="51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22.5" customHeight="1">
      <c r="A387" s="11">
        <v>385.0</v>
      </c>
      <c r="B387" s="12">
        <v>99.0</v>
      </c>
      <c r="C387" s="13" t="s">
        <v>9542</v>
      </c>
      <c r="D387" s="57" t="s">
        <v>9543</v>
      </c>
      <c r="E387" s="48" t="s">
        <v>9544</v>
      </c>
      <c r="F387" s="51"/>
      <c r="G387" s="51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22.5" customHeight="1">
      <c r="A388" s="17">
        <v>386.0</v>
      </c>
      <c r="B388" s="12">
        <v>99.0</v>
      </c>
      <c r="C388" s="13" t="s">
        <v>9545</v>
      </c>
      <c r="D388" s="58" t="s">
        <v>9546</v>
      </c>
      <c r="E388" s="48" t="s">
        <v>9547</v>
      </c>
      <c r="F388" s="49" t="s">
        <v>18</v>
      </c>
      <c r="G388" s="51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22.5" customHeight="1">
      <c r="A389" s="11">
        <v>387.0</v>
      </c>
      <c r="B389" s="12">
        <v>99.0</v>
      </c>
      <c r="C389" s="13" t="s">
        <v>6417</v>
      </c>
      <c r="D389" s="57" t="s">
        <v>6416</v>
      </c>
      <c r="E389" s="48" t="s">
        <v>9548</v>
      </c>
      <c r="F389" s="51"/>
      <c r="G389" s="51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22.5" customHeight="1">
      <c r="A390" s="17">
        <v>388.0</v>
      </c>
      <c r="B390" s="12">
        <v>99.0</v>
      </c>
      <c r="C390" s="13" t="s">
        <v>9549</v>
      </c>
      <c r="D390" s="58" t="s">
        <v>9550</v>
      </c>
      <c r="E390" s="48" t="s">
        <v>9551</v>
      </c>
      <c r="F390" s="49" t="s">
        <v>18</v>
      </c>
      <c r="G390" s="51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22.5" customHeight="1">
      <c r="A391" s="11">
        <v>389.0</v>
      </c>
      <c r="B391" s="12">
        <v>99.0</v>
      </c>
      <c r="C391" s="13" t="s">
        <v>9552</v>
      </c>
      <c r="D391" s="57" t="s">
        <v>9553</v>
      </c>
      <c r="E391" s="48" t="s">
        <v>9554</v>
      </c>
      <c r="F391" s="49" t="s">
        <v>18</v>
      </c>
      <c r="G391" s="51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22.5" customHeight="1">
      <c r="A392" s="17">
        <v>390.0</v>
      </c>
      <c r="B392" s="12">
        <v>99.0</v>
      </c>
      <c r="C392" s="13" t="s">
        <v>5162</v>
      </c>
      <c r="D392" s="58" t="s">
        <v>5161</v>
      </c>
      <c r="E392" s="48" t="s">
        <v>9555</v>
      </c>
      <c r="F392" s="49" t="s">
        <v>18</v>
      </c>
      <c r="G392" s="51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22.5" customHeight="1">
      <c r="A393" s="11">
        <v>391.0</v>
      </c>
      <c r="B393" s="12">
        <v>98.0</v>
      </c>
      <c r="C393" s="13" t="s">
        <v>9556</v>
      </c>
      <c r="D393" s="57" t="s">
        <v>9557</v>
      </c>
      <c r="E393" s="48" t="s">
        <v>9558</v>
      </c>
      <c r="F393" s="49" t="s">
        <v>18</v>
      </c>
      <c r="G393" s="51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22.5" customHeight="1">
      <c r="A394" s="17">
        <v>392.0</v>
      </c>
      <c r="B394" s="12">
        <v>98.0</v>
      </c>
      <c r="C394" s="13" t="s">
        <v>9559</v>
      </c>
      <c r="D394" s="58" t="s">
        <v>9560</v>
      </c>
      <c r="E394" s="48" t="s">
        <v>9561</v>
      </c>
      <c r="F394" s="51"/>
      <c r="G394" s="51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22.5" customHeight="1">
      <c r="A395" s="11">
        <v>393.0</v>
      </c>
      <c r="B395" s="12">
        <v>98.0</v>
      </c>
      <c r="C395" s="13" t="s">
        <v>9562</v>
      </c>
      <c r="D395" s="57" t="s">
        <v>9563</v>
      </c>
      <c r="E395" s="48" t="s">
        <v>9564</v>
      </c>
      <c r="F395" s="51"/>
      <c r="G395" s="51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22.5" customHeight="1">
      <c r="A396" s="17">
        <v>394.0</v>
      </c>
      <c r="B396" s="12">
        <v>98.0</v>
      </c>
      <c r="C396" s="13" t="s">
        <v>9565</v>
      </c>
      <c r="D396" s="58" t="s">
        <v>9566</v>
      </c>
      <c r="E396" s="48" t="s">
        <v>9567</v>
      </c>
      <c r="F396" s="51"/>
      <c r="G396" s="51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22.5" customHeight="1">
      <c r="A397" s="11">
        <v>395.0</v>
      </c>
      <c r="B397" s="12">
        <v>98.0</v>
      </c>
      <c r="C397" s="13" t="s">
        <v>9568</v>
      </c>
      <c r="D397" s="57" t="s">
        <v>9569</v>
      </c>
      <c r="E397" s="48" t="s">
        <v>9570</v>
      </c>
      <c r="F397" s="49" t="s">
        <v>18</v>
      </c>
      <c r="G397" s="51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22.5" customHeight="1">
      <c r="A398" s="17">
        <v>396.0</v>
      </c>
      <c r="B398" s="12">
        <v>98.0</v>
      </c>
      <c r="C398" s="13" t="s">
        <v>9571</v>
      </c>
      <c r="D398" s="58" t="s">
        <v>9572</v>
      </c>
      <c r="E398" s="48" t="s">
        <v>9573</v>
      </c>
      <c r="F398" s="51"/>
      <c r="G398" s="51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22.5" customHeight="1">
      <c r="A399" s="11">
        <v>397.0</v>
      </c>
      <c r="B399" s="12">
        <v>98.0</v>
      </c>
      <c r="C399" s="13" t="s">
        <v>9574</v>
      </c>
      <c r="D399" s="57" t="s">
        <v>9575</v>
      </c>
      <c r="E399" s="48" t="s">
        <v>9576</v>
      </c>
      <c r="F399" s="51"/>
      <c r="G399" s="51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22.5" customHeight="1">
      <c r="A400" s="17">
        <v>398.0</v>
      </c>
      <c r="B400" s="12">
        <v>98.0</v>
      </c>
      <c r="C400" s="13" t="s">
        <v>9577</v>
      </c>
      <c r="D400" s="58" t="s">
        <v>9578</v>
      </c>
      <c r="E400" s="48" t="s">
        <v>9579</v>
      </c>
      <c r="F400" s="49" t="s">
        <v>18</v>
      </c>
      <c r="G400" s="51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22.5" customHeight="1">
      <c r="A401" s="11">
        <v>399.0</v>
      </c>
      <c r="B401" s="12">
        <v>98.0</v>
      </c>
      <c r="C401" s="13" t="s">
        <v>8944</v>
      </c>
      <c r="D401" s="57" t="s">
        <v>8945</v>
      </c>
      <c r="E401" s="48" t="s">
        <v>8946</v>
      </c>
      <c r="F401" s="51"/>
      <c r="G401" s="51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22.5" customHeight="1">
      <c r="A402" s="17">
        <v>400.0</v>
      </c>
      <c r="B402" s="12">
        <v>98.0</v>
      </c>
      <c r="C402" s="13" t="s">
        <v>9580</v>
      </c>
      <c r="D402" s="58" t="s">
        <v>4246</v>
      </c>
      <c r="E402" s="48" t="s">
        <v>9581</v>
      </c>
      <c r="F402" s="51"/>
      <c r="G402" s="51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22.5" customHeight="1">
      <c r="A403" s="11">
        <v>401.0</v>
      </c>
      <c r="B403" s="12">
        <v>98.0</v>
      </c>
      <c r="C403" s="13" t="s">
        <v>9021</v>
      </c>
      <c r="D403" s="57" t="s">
        <v>9022</v>
      </c>
      <c r="E403" s="48" t="s">
        <v>9582</v>
      </c>
      <c r="F403" s="51"/>
      <c r="G403" s="51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22.5" customHeight="1">
      <c r="A404" s="17">
        <v>402.0</v>
      </c>
      <c r="B404" s="12">
        <v>98.0</v>
      </c>
      <c r="C404" s="13" t="s">
        <v>9583</v>
      </c>
      <c r="D404" s="58" t="s">
        <v>9584</v>
      </c>
      <c r="E404" s="48" t="s">
        <v>9585</v>
      </c>
      <c r="F404" s="49" t="s">
        <v>18</v>
      </c>
      <c r="G404" s="51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22.5" customHeight="1">
      <c r="A405" s="11">
        <v>403.0</v>
      </c>
      <c r="B405" s="12">
        <v>98.0</v>
      </c>
      <c r="C405" s="13" t="s">
        <v>9586</v>
      </c>
      <c r="D405" s="57" t="s">
        <v>9587</v>
      </c>
      <c r="E405" s="48" t="s">
        <v>9588</v>
      </c>
      <c r="F405" s="51"/>
      <c r="G405" s="51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22.5" customHeight="1">
      <c r="A406" s="17">
        <v>404.0</v>
      </c>
      <c r="B406" s="12">
        <v>98.0</v>
      </c>
      <c r="C406" s="13" t="s">
        <v>9589</v>
      </c>
      <c r="D406" s="58" t="s">
        <v>9590</v>
      </c>
      <c r="E406" s="48" t="s">
        <v>9591</v>
      </c>
      <c r="F406" s="51"/>
      <c r="G406" s="51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22.5" customHeight="1">
      <c r="A407" s="11">
        <v>405.0</v>
      </c>
      <c r="B407" s="12">
        <v>98.0</v>
      </c>
      <c r="C407" s="13" t="s">
        <v>9592</v>
      </c>
      <c r="D407" s="57" t="s">
        <v>9593</v>
      </c>
      <c r="E407" s="48" t="s">
        <v>9594</v>
      </c>
      <c r="F407" s="51"/>
      <c r="G407" s="51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22.5" customHeight="1">
      <c r="A408" s="17">
        <v>406.0</v>
      </c>
      <c r="B408" s="12">
        <v>98.0</v>
      </c>
      <c r="C408" s="13" t="s">
        <v>9595</v>
      </c>
      <c r="D408" s="58" t="s">
        <v>9596</v>
      </c>
      <c r="E408" s="48" t="s">
        <v>9597</v>
      </c>
      <c r="F408" s="49" t="s">
        <v>18</v>
      </c>
      <c r="G408" s="14" t="s">
        <v>18</v>
      </c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22.5" customHeight="1">
      <c r="A409" s="11">
        <v>407.0</v>
      </c>
      <c r="B409" s="12">
        <v>98.0</v>
      </c>
      <c r="C409" s="13" t="s">
        <v>9598</v>
      </c>
      <c r="D409" s="57" t="s">
        <v>9599</v>
      </c>
      <c r="E409" s="48" t="s">
        <v>9600</v>
      </c>
      <c r="F409" s="14" t="s">
        <v>18</v>
      </c>
      <c r="G409" s="14" t="s">
        <v>18</v>
      </c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22.5" customHeight="1">
      <c r="A410" s="17">
        <v>408.0</v>
      </c>
      <c r="B410" s="12">
        <v>98.0</v>
      </c>
      <c r="C410" s="13" t="s">
        <v>9601</v>
      </c>
      <c r="D410" s="58" t="s">
        <v>9602</v>
      </c>
      <c r="E410" s="48" t="s">
        <v>9603</v>
      </c>
      <c r="F410" s="49" t="s">
        <v>18</v>
      </c>
      <c r="G410" s="51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22.5" customHeight="1">
      <c r="A411" s="11">
        <v>409.0</v>
      </c>
      <c r="B411" s="12">
        <v>98.0</v>
      </c>
      <c r="C411" s="13" t="s">
        <v>9604</v>
      </c>
      <c r="D411" s="57" t="s">
        <v>9605</v>
      </c>
      <c r="E411" s="48" t="s">
        <v>9606</v>
      </c>
      <c r="F411" s="49" t="s">
        <v>18</v>
      </c>
      <c r="G411" s="51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22.5" customHeight="1">
      <c r="A412" s="17">
        <v>410.0</v>
      </c>
      <c r="B412" s="12">
        <v>98.0</v>
      </c>
      <c r="C412" s="13" t="s">
        <v>9326</v>
      </c>
      <c r="D412" s="58" t="s">
        <v>9327</v>
      </c>
      <c r="E412" s="48" t="s">
        <v>9328</v>
      </c>
      <c r="F412" s="51"/>
      <c r="G412" s="51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22.5" customHeight="1">
      <c r="A413" s="11">
        <v>411.0</v>
      </c>
      <c r="B413" s="12">
        <v>98.0</v>
      </c>
      <c r="C413" s="13" t="s">
        <v>9607</v>
      </c>
      <c r="D413" s="57" t="s">
        <v>9608</v>
      </c>
      <c r="E413" s="48" t="s">
        <v>9609</v>
      </c>
      <c r="F413" s="49" t="s">
        <v>18</v>
      </c>
      <c r="G413" s="51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22.5" customHeight="1">
      <c r="A414" s="17">
        <v>412.0</v>
      </c>
      <c r="B414" s="12">
        <v>98.0</v>
      </c>
      <c r="C414" s="13" t="s">
        <v>5552</v>
      </c>
      <c r="D414" s="58" t="s">
        <v>5551</v>
      </c>
      <c r="E414" s="48" t="s">
        <v>9610</v>
      </c>
      <c r="F414" s="49" t="s">
        <v>18</v>
      </c>
      <c r="G414" s="51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22.5" customHeight="1">
      <c r="A415" s="11">
        <v>413.0</v>
      </c>
      <c r="B415" s="12">
        <v>98.0</v>
      </c>
      <c r="C415" s="13" t="s">
        <v>9611</v>
      </c>
      <c r="D415" s="57" t="s">
        <v>9612</v>
      </c>
      <c r="E415" s="48" t="s">
        <v>9613</v>
      </c>
      <c r="F415" s="49" t="s">
        <v>18</v>
      </c>
      <c r="G415" s="14" t="s">
        <v>18</v>
      </c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22.5" customHeight="1">
      <c r="A416" s="17">
        <v>414.0</v>
      </c>
      <c r="B416" s="12">
        <v>98.0</v>
      </c>
      <c r="C416" s="13" t="s">
        <v>4856</v>
      </c>
      <c r="D416" s="58" t="s">
        <v>4855</v>
      </c>
      <c r="E416" s="48" t="s">
        <v>9614</v>
      </c>
      <c r="F416" s="49" t="s">
        <v>18</v>
      </c>
      <c r="G416" s="51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22.5" customHeight="1">
      <c r="A417" s="11">
        <v>415.0</v>
      </c>
      <c r="B417" s="12">
        <v>98.0</v>
      </c>
      <c r="C417" s="13" t="s">
        <v>5082</v>
      </c>
      <c r="D417" s="57" t="s">
        <v>9615</v>
      </c>
      <c r="E417" s="48" t="s">
        <v>9616</v>
      </c>
      <c r="F417" s="51"/>
      <c r="G417" s="51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22.5" customHeight="1">
      <c r="A418" s="17">
        <v>416.0</v>
      </c>
      <c r="B418" s="12">
        <v>98.0</v>
      </c>
      <c r="C418" s="13" t="s">
        <v>9617</v>
      </c>
      <c r="D418" s="58" t="s">
        <v>9618</v>
      </c>
      <c r="E418" s="48" t="s">
        <v>9619</v>
      </c>
      <c r="F418" s="51"/>
      <c r="G418" s="51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22.5" customHeight="1">
      <c r="A419" s="11">
        <v>417.0</v>
      </c>
      <c r="B419" s="12">
        <v>98.0</v>
      </c>
      <c r="C419" s="13" t="s">
        <v>9620</v>
      </c>
      <c r="D419" s="57" t="s">
        <v>9621</v>
      </c>
      <c r="E419" s="48" t="s">
        <v>9622</v>
      </c>
      <c r="F419" s="49" t="s">
        <v>18</v>
      </c>
      <c r="G419" s="51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22.5" customHeight="1">
      <c r="A420" s="17">
        <v>418.0</v>
      </c>
      <c r="B420" s="12">
        <v>98.0</v>
      </c>
      <c r="C420" s="13" t="s">
        <v>9623</v>
      </c>
      <c r="D420" s="58" t="s">
        <v>9624</v>
      </c>
      <c r="E420" s="48" t="s">
        <v>9625</v>
      </c>
      <c r="F420" s="49" t="s">
        <v>18</v>
      </c>
      <c r="G420" s="51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22.5" customHeight="1">
      <c r="A421" s="11">
        <v>419.0</v>
      </c>
      <c r="B421" s="12">
        <v>98.0</v>
      </c>
      <c r="C421" s="13" t="s">
        <v>9626</v>
      </c>
      <c r="D421" s="57" t="s">
        <v>9627</v>
      </c>
      <c r="E421" s="48" t="s">
        <v>9628</v>
      </c>
      <c r="F421" s="49" t="s">
        <v>18</v>
      </c>
      <c r="G421" s="51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22.5" customHeight="1">
      <c r="A422" s="17">
        <v>420.0</v>
      </c>
      <c r="B422" s="12">
        <v>98.0</v>
      </c>
      <c r="C422" s="13" t="s">
        <v>8920</v>
      </c>
      <c r="D422" s="58" t="s">
        <v>1675</v>
      </c>
      <c r="E422" s="48" t="s">
        <v>8921</v>
      </c>
      <c r="F422" s="51"/>
      <c r="G422" s="51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22.5" customHeight="1">
      <c r="A423" s="11">
        <v>421.0</v>
      </c>
      <c r="B423" s="12">
        <v>97.0</v>
      </c>
      <c r="C423" s="13" t="s">
        <v>9629</v>
      </c>
      <c r="D423" s="13" t="s">
        <v>9630</v>
      </c>
      <c r="E423" s="13" t="s">
        <v>9631</v>
      </c>
      <c r="F423" s="15"/>
      <c r="G423" s="15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22.5" customHeight="1">
      <c r="A424" s="17">
        <v>422.0</v>
      </c>
      <c r="B424" s="12">
        <v>97.0</v>
      </c>
      <c r="C424" s="13" t="s">
        <v>9632</v>
      </c>
      <c r="D424" s="13" t="s">
        <v>9633</v>
      </c>
      <c r="E424" s="13" t="s">
        <v>9634</v>
      </c>
      <c r="F424" s="14" t="s">
        <v>18</v>
      </c>
      <c r="G424" s="15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22.5" customHeight="1">
      <c r="A425" s="11">
        <v>423.0</v>
      </c>
      <c r="B425" s="12">
        <v>97.0</v>
      </c>
      <c r="C425" s="13" t="s">
        <v>9635</v>
      </c>
      <c r="D425" s="13" t="s">
        <v>9636</v>
      </c>
      <c r="E425" s="13" t="s">
        <v>9637</v>
      </c>
      <c r="F425" s="15"/>
      <c r="G425" s="15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22.5" customHeight="1">
      <c r="A426" s="17">
        <v>424.0</v>
      </c>
      <c r="B426" s="12">
        <v>97.0</v>
      </c>
      <c r="C426" s="13" t="s">
        <v>9638</v>
      </c>
      <c r="D426" s="13" t="s">
        <v>9639</v>
      </c>
      <c r="E426" s="13" t="s">
        <v>9640</v>
      </c>
      <c r="F426" s="14" t="s">
        <v>18</v>
      </c>
      <c r="G426" s="15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22.5" customHeight="1">
      <c r="A427" s="11">
        <v>425.0</v>
      </c>
      <c r="B427" s="12">
        <v>97.0</v>
      </c>
      <c r="C427" s="13" t="s">
        <v>9641</v>
      </c>
      <c r="D427" s="13" t="s">
        <v>9642</v>
      </c>
      <c r="E427" s="13" t="s">
        <v>9643</v>
      </c>
      <c r="F427" s="14" t="s">
        <v>18</v>
      </c>
      <c r="G427" s="15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22.5" customHeight="1">
      <c r="A428" s="17">
        <v>426.0</v>
      </c>
      <c r="B428" s="12">
        <v>97.0</v>
      </c>
      <c r="C428" s="13" t="s">
        <v>5456</v>
      </c>
      <c r="D428" s="13" t="s">
        <v>5455</v>
      </c>
      <c r="E428" s="13" t="s">
        <v>9644</v>
      </c>
      <c r="F428" s="14" t="s">
        <v>18</v>
      </c>
      <c r="G428" s="15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22.5" customHeight="1">
      <c r="A429" s="11">
        <v>427.0</v>
      </c>
      <c r="B429" s="12">
        <v>97.0</v>
      </c>
      <c r="C429" s="13" t="s">
        <v>9645</v>
      </c>
      <c r="D429" s="13" t="s">
        <v>9646</v>
      </c>
      <c r="E429" s="13" t="s">
        <v>9647</v>
      </c>
      <c r="F429" s="14" t="s">
        <v>18</v>
      </c>
      <c r="G429" s="15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22.5" customHeight="1">
      <c r="A430" s="17">
        <v>428.0</v>
      </c>
      <c r="B430" s="12">
        <v>97.0</v>
      </c>
      <c r="C430" s="13" t="s">
        <v>9648</v>
      </c>
      <c r="D430" s="13" t="s">
        <v>9649</v>
      </c>
      <c r="E430" s="13" t="s">
        <v>9650</v>
      </c>
      <c r="F430" s="14" t="s">
        <v>18</v>
      </c>
      <c r="G430" s="15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22.5" customHeight="1">
      <c r="A431" s="11">
        <v>429.0</v>
      </c>
      <c r="B431" s="12">
        <v>97.0</v>
      </c>
      <c r="C431" s="13" t="s">
        <v>9034</v>
      </c>
      <c r="D431" s="13" t="s">
        <v>9035</v>
      </c>
      <c r="E431" s="13" t="s">
        <v>9651</v>
      </c>
      <c r="F431" s="15"/>
      <c r="G431" s="15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22.5" customHeight="1">
      <c r="A432" s="17">
        <v>430.0</v>
      </c>
      <c r="B432" s="12">
        <v>97.0</v>
      </c>
      <c r="C432" s="13" t="s">
        <v>9652</v>
      </c>
      <c r="D432" s="13" t="s">
        <v>9653</v>
      </c>
      <c r="E432" s="13" t="s">
        <v>9654</v>
      </c>
      <c r="F432" s="15"/>
      <c r="G432" s="15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22.5" customHeight="1">
      <c r="A433" s="11">
        <v>431.0</v>
      </c>
      <c r="B433" s="12">
        <v>97.0</v>
      </c>
      <c r="C433" s="13" t="s">
        <v>9655</v>
      </c>
      <c r="D433" s="13" t="s">
        <v>9656</v>
      </c>
      <c r="E433" s="13" t="s">
        <v>9657</v>
      </c>
      <c r="F433" s="14" t="s">
        <v>18</v>
      </c>
      <c r="G433" s="15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22.5" customHeight="1">
      <c r="A434" s="17">
        <v>432.0</v>
      </c>
      <c r="B434" s="12">
        <v>97.0</v>
      </c>
      <c r="C434" s="13" t="s">
        <v>9658</v>
      </c>
      <c r="D434" s="13" t="s">
        <v>9659</v>
      </c>
      <c r="E434" s="13" t="s">
        <v>9660</v>
      </c>
      <c r="F434" s="14" t="s">
        <v>18</v>
      </c>
      <c r="G434" s="15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22.5" customHeight="1">
      <c r="A435" s="11">
        <v>433.0</v>
      </c>
      <c r="B435" s="12">
        <v>97.0</v>
      </c>
      <c r="C435" s="13" t="s">
        <v>9661</v>
      </c>
      <c r="D435" s="13" t="s">
        <v>9662</v>
      </c>
      <c r="E435" s="13" t="s">
        <v>9663</v>
      </c>
      <c r="F435" s="14" t="s">
        <v>18</v>
      </c>
      <c r="G435" s="15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22.5" customHeight="1">
      <c r="A436" s="17">
        <v>434.0</v>
      </c>
      <c r="B436" s="12">
        <v>97.0</v>
      </c>
      <c r="C436" s="13" t="s">
        <v>9664</v>
      </c>
      <c r="D436" s="13" t="s">
        <v>9665</v>
      </c>
      <c r="E436" s="13" t="s">
        <v>9666</v>
      </c>
      <c r="F436" s="15"/>
      <c r="G436" s="15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22.5" customHeight="1">
      <c r="A437" s="11">
        <v>435.0</v>
      </c>
      <c r="B437" s="12">
        <v>97.0</v>
      </c>
      <c r="C437" s="13" t="s">
        <v>9667</v>
      </c>
      <c r="D437" s="13" t="s">
        <v>9668</v>
      </c>
      <c r="E437" s="13" t="s">
        <v>9669</v>
      </c>
      <c r="F437" s="15"/>
      <c r="G437" s="15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22.5" customHeight="1">
      <c r="A438" s="17">
        <v>436.0</v>
      </c>
      <c r="B438" s="12">
        <v>97.0</v>
      </c>
      <c r="C438" s="13" t="s">
        <v>9670</v>
      </c>
      <c r="D438" s="13" t="s">
        <v>9671</v>
      </c>
      <c r="E438" s="13" t="s">
        <v>9672</v>
      </c>
      <c r="F438" s="15"/>
      <c r="G438" s="15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22.5" customHeight="1">
      <c r="A439" s="11">
        <v>437.0</v>
      </c>
      <c r="B439" s="12">
        <v>97.0</v>
      </c>
      <c r="C439" s="13" t="s">
        <v>8913</v>
      </c>
      <c r="D439" s="13" t="s">
        <v>8914</v>
      </c>
      <c r="E439" s="13" t="s">
        <v>8915</v>
      </c>
      <c r="F439" s="15"/>
      <c r="G439" s="15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22.5" customHeight="1">
      <c r="A440" s="17">
        <v>438.0</v>
      </c>
      <c r="B440" s="12">
        <v>97.0</v>
      </c>
      <c r="C440" s="13" t="s">
        <v>4960</v>
      </c>
      <c r="D440" s="13" t="s">
        <v>4959</v>
      </c>
      <c r="E440" s="13" t="s">
        <v>9673</v>
      </c>
      <c r="F440" s="14" t="s">
        <v>18</v>
      </c>
      <c r="G440" s="15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22.5" customHeight="1">
      <c r="A441" s="11">
        <v>439.0</v>
      </c>
      <c r="B441" s="12">
        <v>97.0</v>
      </c>
      <c r="C441" s="13" t="s">
        <v>9674</v>
      </c>
      <c r="D441" s="13" t="s">
        <v>9675</v>
      </c>
      <c r="E441" s="13" t="s">
        <v>9676</v>
      </c>
      <c r="F441" s="15"/>
      <c r="G441" s="15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22.5" customHeight="1">
      <c r="A442" s="17">
        <v>440.0</v>
      </c>
      <c r="B442" s="12">
        <v>97.0</v>
      </c>
      <c r="C442" s="13" t="s">
        <v>9677</v>
      </c>
      <c r="D442" s="13" t="s">
        <v>9678</v>
      </c>
      <c r="E442" s="13" t="s">
        <v>9679</v>
      </c>
      <c r="F442" s="15"/>
      <c r="G442" s="15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22.5" customHeight="1">
      <c r="A443" s="11">
        <v>441.0</v>
      </c>
      <c r="B443" s="12">
        <v>97.0</v>
      </c>
      <c r="C443" s="13" t="s">
        <v>9680</v>
      </c>
      <c r="D443" s="13" t="s">
        <v>9681</v>
      </c>
      <c r="E443" s="13" t="s">
        <v>9682</v>
      </c>
      <c r="F443" s="15"/>
      <c r="G443" s="15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22.5" customHeight="1">
      <c r="A444" s="17">
        <v>442.0</v>
      </c>
      <c r="B444" s="12">
        <v>97.0</v>
      </c>
      <c r="C444" s="13" t="s">
        <v>9683</v>
      </c>
      <c r="D444" s="13" t="s">
        <v>9684</v>
      </c>
      <c r="E444" s="13" t="s">
        <v>9685</v>
      </c>
      <c r="F444" s="15"/>
      <c r="G444" s="15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22.5" customHeight="1">
      <c r="A445" s="11">
        <v>443.0</v>
      </c>
      <c r="B445" s="12">
        <v>97.0</v>
      </c>
      <c r="C445" s="13" t="s">
        <v>9031</v>
      </c>
      <c r="D445" s="13" t="s">
        <v>9032</v>
      </c>
      <c r="E445" s="13" t="s">
        <v>9686</v>
      </c>
      <c r="F445" s="15"/>
      <c r="G445" s="15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22.5" customHeight="1">
      <c r="A446" s="17">
        <v>444.0</v>
      </c>
      <c r="B446" s="12">
        <v>97.0</v>
      </c>
      <c r="C446" s="13" t="s">
        <v>9687</v>
      </c>
      <c r="D446" s="13" t="s">
        <v>9688</v>
      </c>
      <c r="E446" s="13" t="s">
        <v>9689</v>
      </c>
      <c r="F446" s="15"/>
      <c r="G446" s="15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22.5" customHeight="1">
      <c r="A447" s="11">
        <v>445.0</v>
      </c>
      <c r="B447" s="12">
        <v>97.0</v>
      </c>
      <c r="C447" s="13" t="s">
        <v>5343</v>
      </c>
      <c r="D447" s="13" t="s">
        <v>5342</v>
      </c>
      <c r="E447" s="13" t="s">
        <v>9690</v>
      </c>
      <c r="F447" s="14" t="s">
        <v>18</v>
      </c>
      <c r="G447" s="15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22.5" customHeight="1">
      <c r="A448" s="17">
        <v>446.0</v>
      </c>
      <c r="B448" s="12">
        <v>97.0</v>
      </c>
      <c r="C448" s="13" t="s">
        <v>9691</v>
      </c>
      <c r="D448" s="13" t="s">
        <v>9692</v>
      </c>
      <c r="E448" s="13" t="s">
        <v>9693</v>
      </c>
      <c r="F448" s="15"/>
      <c r="G448" s="15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22.5" customHeight="1">
      <c r="A449" s="11">
        <v>447.0</v>
      </c>
      <c r="B449" s="12">
        <v>97.0</v>
      </c>
      <c r="C449" s="13" t="s">
        <v>9694</v>
      </c>
      <c r="D449" s="13" t="s">
        <v>9695</v>
      </c>
      <c r="E449" s="13" t="s">
        <v>9696</v>
      </c>
      <c r="F449" s="14" t="s">
        <v>18</v>
      </c>
      <c r="G449" s="15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22.5" customHeight="1">
      <c r="A450" s="17">
        <v>448.0</v>
      </c>
      <c r="B450" s="12">
        <v>97.0</v>
      </c>
      <c r="C450" s="13" t="s">
        <v>4714</v>
      </c>
      <c r="D450" s="13" t="s">
        <v>9051</v>
      </c>
      <c r="E450" s="13" t="s">
        <v>9697</v>
      </c>
      <c r="F450" s="15"/>
      <c r="G450" s="15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22.5" customHeight="1">
      <c r="A451" s="11">
        <v>449.0</v>
      </c>
      <c r="B451" s="12">
        <v>97.0</v>
      </c>
      <c r="C451" s="13" t="s">
        <v>9698</v>
      </c>
      <c r="D451" s="13" t="s">
        <v>9699</v>
      </c>
      <c r="E451" s="13" t="s">
        <v>9700</v>
      </c>
      <c r="F451" s="15"/>
      <c r="G451" s="15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22.5" customHeight="1">
      <c r="A452" s="17">
        <v>450.0</v>
      </c>
      <c r="B452" s="12">
        <v>97.0</v>
      </c>
      <c r="C452" s="13" t="s">
        <v>9701</v>
      </c>
      <c r="D452" s="13" t="s">
        <v>9702</v>
      </c>
      <c r="E452" s="13" t="s">
        <v>9703</v>
      </c>
      <c r="F452" s="15"/>
      <c r="G452" s="15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22.5" customHeight="1">
      <c r="A453" s="11">
        <v>451.0</v>
      </c>
      <c r="B453" s="12">
        <v>96.0</v>
      </c>
      <c r="C453" s="13" t="s">
        <v>5667</v>
      </c>
      <c r="D453" s="13" t="s">
        <v>5666</v>
      </c>
      <c r="E453" s="13" t="s">
        <v>9704</v>
      </c>
      <c r="F453" s="14" t="s">
        <v>18</v>
      </c>
      <c r="G453" s="15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22.5" customHeight="1">
      <c r="A454" s="17">
        <v>452.0</v>
      </c>
      <c r="B454" s="12">
        <v>96.0</v>
      </c>
      <c r="C454" s="13" t="s">
        <v>5500</v>
      </c>
      <c r="D454" s="13" t="s">
        <v>5499</v>
      </c>
      <c r="E454" s="13" t="s">
        <v>9037</v>
      </c>
      <c r="F454" s="15"/>
      <c r="G454" s="15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22.5" customHeight="1">
      <c r="A455" s="11">
        <v>453.0</v>
      </c>
      <c r="B455" s="12">
        <v>96.0</v>
      </c>
      <c r="C455" s="13" t="s">
        <v>9323</v>
      </c>
      <c r="D455" s="13" t="s">
        <v>9324</v>
      </c>
      <c r="E455" s="13" t="s">
        <v>9325</v>
      </c>
      <c r="F455" s="14" t="s">
        <v>18</v>
      </c>
      <c r="G455" s="15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22.5" customHeight="1">
      <c r="A456" s="17">
        <v>454.0</v>
      </c>
      <c r="B456" s="12">
        <v>96.0</v>
      </c>
      <c r="C456" s="13" t="s">
        <v>9705</v>
      </c>
      <c r="D456" s="13" t="s">
        <v>9706</v>
      </c>
      <c r="E456" s="13" t="s">
        <v>9707</v>
      </c>
      <c r="F456" s="14" t="s">
        <v>18</v>
      </c>
      <c r="G456" s="15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22.5" customHeight="1">
      <c r="A457" s="11">
        <v>455.0</v>
      </c>
      <c r="B457" s="12">
        <v>96.0</v>
      </c>
      <c r="C457" s="13" t="s">
        <v>9708</v>
      </c>
      <c r="D457" s="13" t="s">
        <v>9709</v>
      </c>
      <c r="E457" s="13" t="s">
        <v>9710</v>
      </c>
      <c r="F457" s="14" t="s">
        <v>18</v>
      </c>
      <c r="G457" s="14" t="s">
        <v>18</v>
      </c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22.5" customHeight="1">
      <c r="A458" s="17">
        <v>456.0</v>
      </c>
      <c r="B458" s="12">
        <v>96.0</v>
      </c>
      <c r="C458" s="13" t="s">
        <v>9711</v>
      </c>
      <c r="D458" s="13" t="s">
        <v>9712</v>
      </c>
      <c r="E458" s="13" t="s">
        <v>9713</v>
      </c>
      <c r="F458" s="15"/>
      <c r="G458" s="15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22.5" customHeight="1">
      <c r="A459" s="11">
        <v>457.0</v>
      </c>
      <c r="B459" s="12">
        <v>96.0</v>
      </c>
      <c r="C459" s="13" t="s">
        <v>5620</v>
      </c>
      <c r="D459" s="13" t="s">
        <v>5619</v>
      </c>
      <c r="E459" s="13" t="s">
        <v>9714</v>
      </c>
      <c r="F459" s="14" t="s">
        <v>18</v>
      </c>
      <c r="G459" s="14" t="s">
        <v>18</v>
      </c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22.5" customHeight="1">
      <c r="A460" s="17">
        <v>458.0</v>
      </c>
      <c r="B460" s="12">
        <v>96.0</v>
      </c>
      <c r="C460" s="13" t="s">
        <v>9652</v>
      </c>
      <c r="D460" s="13" t="s">
        <v>9653</v>
      </c>
      <c r="E460" s="13" t="s">
        <v>9654</v>
      </c>
      <c r="F460" s="14" t="s">
        <v>18</v>
      </c>
      <c r="G460" s="14" t="s">
        <v>18</v>
      </c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22.5" customHeight="1">
      <c r="A461" s="11">
        <v>459.0</v>
      </c>
      <c r="B461" s="12">
        <v>96.0</v>
      </c>
      <c r="C461" s="13" t="s">
        <v>9715</v>
      </c>
      <c r="D461" s="13" t="s">
        <v>9716</v>
      </c>
      <c r="E461" s="13" t="s">
        <v>9717</v>
      </c>
      <c r="F461" s="14" t="s">
        <v>18</v>
      </c>
      <c r="G461" s="15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22.5" customHeight="1">
      <c r="A462" s="17">
        <v>460.0</v>
      </c>
      <c r="B462" s="12">
        <v>96.0</v>
      </c>
      <c r="C462" s="13" t="s">
        <v>9718</v>
      </c>
      <c r="D462" s="13" t="s">
        <v>9719</v>
      </c>
      <c r="E462" s="13" t="s">
        <v>9720</v>
      </c>
      <c r="F462" s="14" t="s">
        <v>18</v>
      </c>
      <c r="G462" s="15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22.5" customHeight="1">
      <c r="A463" s="11">
        <v>461.0</v>
      </c>
      <c r="B463" s="12">
        <v>96.0</v>
      </c>
      <c r="C463" s="13" t="s">
        <v>9721</v>
      </c>
      <c r="D463" s="13" t="s">
        <v>9722</v>
      </c>
      <c r="E463" s="13" t="s">
        <v>9723</v>
      </c>
      <c r="F463" s="15"/>
      <c r="G463" s="15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22.5" customHeight="1">
      <c r="A464" s="17">
        <v>462.0</v>
      </c>
      <c r="B464" s="12">
        <v>96.0</v>
      </c>
      <c r="C464" s="13" t="s">
        <v>9724</v>
      </c>
      <c r="D464" s="13" t="s">
        <v>9725</v>
      </c>
      <c r="E464" s="13" t="s">
        <v>9726</v>
      </c>
      <c r="F464" s="14" t="s">
        <v>18</v>
      </c>
      <c r="G464" s="15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22.5" customHeight="1">
      <c r="A465" s="11">
        <v>463.0</v>
      </c>
      <c r="B465" s="12">
        <v>96.0</v>
      </c>
      <c r="C465" s="13" t="s">
        <v>9727</v>
      </c>
      <c r="D465" s="13" t="s">
        <v>9728</v>
      </c>
      <c r="E465" s="13" t="s">
        <v>9729</v>
      </c>
      <c r="F465" s="15"/>
      <c r="G465" s="15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22.5" customHeight="1">
      <c r="A466" s="17">
        <v>464.0</v>
      </c>
      <c r="B466" s="12">
        <v>96.0</v>
      </c>
      <c r="C466" s="13" t="s">
        <v>9730</v>
      </c>
      <c r="D466" s="13" t="s">
        <v>9731</v>
      </c>
      <c r="E466" s="13" t="s">
        <v>9732</v>
      </c>
      <c r="F466" s="14" t="s">
        <v>18</v>
      </c>
      <c r="G466" s="14" t="s">
        <v>18</v>
      </c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22.5" customHeight="1">
      <c r="A467" s="11">
        <v>465.0</v>
      </c>
      <c r="B467" s="12">
        <v>96.0</v>
      </c>
      <c r="C467" s="13" t="s">
        <v>9733</v>
      </c>
      <c r="D467" s="13" t="s">
        <v>9734</v>
      </c>
      <c r="E467" s="13" t="s">
        <v>9735</v>
      </c>
      <c r="F467" s="14" t="s">
        <v>18</v>
      </c>
      <c r="G467" s="15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22.5" customHeight="1">
      <c r="A468" s="17">
        <v>466.0</v>
      </c>
      <c r="B468" s="12">
        <v>96.0</v>
      </c>
      <c r="C468" s="13" t="s">
        <v>9736</v>
      </c>
      <c r="D468" s="13" t="s">
        <v>9737</v>
      </c>
      <c r="E468" s="13" t="s">
        <v>9738</v>
      </c>
      <c r="F468" s="15"/>
      <c r="G468" s="15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22.5" customHeight="1">
      <c r="A469" s="11">
        <v>467.0</v>
      </c>
      <c r="B469" s="12">
        <v>96.0</v>
      </c>
      <c r="C469" s="13" t="s">
        <v>5595</v>
      </c>
      <c r="D469" s="13" t="s">
        <v>5594</v>
      </c>
      <c r="E469" s="13" t="s">
        <v>9739</v>
      </c>
      <c r="F469" s="14" t="s">
        <v>18</v>
      </c>
      <c r="G469" s="15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22.5" customHeight="1">
      <c r="A470" s="17">
        <v>468.0</v>
      </c>
      <c r="B470" s="12">
        <v>96.0</v>
      </c>
      <c r="C470" s="13" t="s">
        <v>9740</v>
      </c>
      <c r="D470" s="13" t="s">
        <v>9741</v>
      </c>
      <c r="E470" s="13" t="s">
        <v>9742</v>
      </c>
      <c r="F470" s="14" t="s">
        <v>18</v>
      </c>
      <c r="G470" s="14" t="s">
        <v>18</v>
      </c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22.5" customHeight="1">
      <c r="A471" s="11">
        <v>469.0</v>
      </c>
      <c r="B471" s="12">
        <v>96.0</v>
      </c>
      <c r="C471" s="13" t="s">
        <v>9024</v>
      </c>
      <c r="D471" s="13" t="s">
        <v>9025</v>
      </c>
      <c r="E471" s="13" t="s">
        <v>9026</v>
      </c>
      <c r="F471" s="15"/>
      <c r="G471" s="15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22.5" customHeight="1">
      <c r="A472" s="17">
        <v>470.0</v>
      </c>
      <c r="B472" s="12">
        <v>96.0</v>
      </c>
      <c r="C472" s="13" t="s">
        <v>4868</v>
      </c>
      <c r="D472" s="13" t="s">
        <v>4867</v>
      </c>
      <c r="E472" s="13" t="s">
        <v>9743</v>
      </c>
      <c r="F472" s="15"/>
      <c r="G472" s="15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22.5" customHeight="1">
      <c r="A473" s="11">
        <v>471.0</v>
      </c>
      <c r="B473" s="12">
        <v>96.0</v>
      </c>
      <c r="C473" s="13" t="s">
        <v>4481</v>
      </c>
      <c r="D473" s="13" t="s">
        <v>4480</v>
      </c>
      <c r="E473" s="13" t="s">
        <v>9744</v>
      </c>
      <c r="F473" s="15"/>
      <c r="G473" s="15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22.5" customHeight="1">
      <c r="A474" s="17">
        <v>472.0</v>
      </c>
      <c r="B474" s="12">
        <v>96.0</v>
      </c>
      <c r="C474" s="13" t="s">
        <v>9745</v>
      </c>
      <c r="D474" s="13" t="s">
        <v>9746</v>
      </c>
      <c r="E474" s="13" t="s">
        <v>9747</v>
      </c>
      <c r="F474" s="15"/>
      <c r="G474" s="15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22.5" customHeight="1">
      <c r="A475" s="11">
        <v>473.0</v>
      </c>
      <c r="B475" s="12">
        <v>96.0</v>
      </c>
      <c r="C475" s="13" t="s">
        <v>9748</v>
      </c>
      <c r="D475" s="13" t="s">
        <v>9749</v>
      </c>
      <c r="E475" s="13" t="s">
        <v>9750</v>
      </c>
      <c r="F475" s="14" t="s">
        <v>18</v>
      </c>
      <c r="G475" s="15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22.5" customHeight="1">
      <c r="A476" s="17">
        <v>474.0</v>
      </c>
      <c r="B476" s="12">
        <v>96.0</v>
      </c>
      <c r="C476" s="13" t="s">
        <v>9751</v>
      </c>
      <c r="D476" s="13" t="s">
        <v>9752</v>
      </c>
      <c r="E476" s="13" t="s">
        <v>9753</v>
      </c>
      <c r="F476" s="15"/>
      <c r="G476" s="15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22.5" customHeight="1">
      <c r="A477" s="11">
        <v>475.0</v>
      </c>
      <c r="B477" s="12">
        <v>96.0</v>
      </c>
      <c r="C477" s="13" t="s">
        <v>9447</v>
      </c>
      <c r="D477" s="13" t="s">
        <v>9448</v>
      </c>
      <c r="E477" s="13" t="s">
        <v>9449</v>
      </c>
      <c r="F477" s="15"/>
      <c r="G477" s="15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22.5" customHeight="1">
      <c r="A478" s="17">
        <v>476.0</v>
      </c>
      <c r="B478" s="12">
        <v>96.0</v>
      </c>
      <c r="C478" s="13" t="s">
        <v>4719</v>
      </c>
      <c r="D478" s="13" t="s">
        <v>4718</v>
      </c>
      <c r="E478" s="13" t="s">
        <v>9754</v>
      </c>
      <c r="F478" s="14" t="s">
        <v>18</v>
      </c>
      <c r="G478" s="15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22.5" customHeight="1">
      <c r="A479" s="11">
        <v>477.0</v>
      </c>
      <c r="B479" s="12">
        <v>96.0</v>
      </c>
      <c r="C479" s="13" t="s">
        <v>9755</v>
      </c>
      <c r="D479" s="13" t="s">
        <v>9756</v>
      </c>
      <c r="E479" s="13" t="s">
        <v>9757</v>
      </c>
      <c r="F479" s="14" t="s">
        <v>18</v>
      </c>
      <c r="G479" s="15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22.5" customHeight="1">
      <c r="A480" s="17">
        <v>478.0</v>
      </c>
      <c r="B480" s="12">
        <v>96.0</v>
      </c>
      <c r="C480" s="13" t="s">
        <v>9758</v>
      </c>
      <c r="D480" s="13" t="s">
        <v>9759</v>
      </c>
      <c r="E480" s="13" t="s">
        <v>9760</v>
      </c>
      <c r="F480" s="14" t="s">
        <v>18</v>
      </c>
      <c r="G480" s="15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22.5" customHeight="1">
      <c r="A481" s="11">
        <v>479.0</v>
      </c>
      <c r="B481" s="12">
        <v>96.0</v>
      </c>
      <c r="C481" s="13" t="s">
        <v>4423</v>
      </c>
      <c r="D481" s="13" t="s">
        <v>4422</v>
      </c>
      <c r="E481" s="13" t="s">
        <v>9761</v>
      </c>
      <c r="F481" s="15"/>
      <c r="G481" s="15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22.5" customHeight="1">
      <c r="A482" s="17">
        <v>480.0</v>
      </c>
      <c r="B482" s="12">
        <v>96.0</v>
      </c>
      <c r="C482" s="13" t="s">
        <v>9762</v>
      </c>
      <c r="D482" s="13" t="s">
        <v>9763</v>
      </c>
      <c r="E482" s="13" t="s">
        <v>9764</v>
      </c>
      <c r="F482" s="14" t="s">
        <v>18</v>
      </c>
      <c r="G482" s="15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22.5" customHeight="1">
      <c r="A483" s="11">
        <v>481.0</v>
      </c>
      <c r="B483" s="12">
        <v>95.0</v>
      </c>
      <c r="C483" s="13" t="s">
        <v>6142</v>
      </c>
      <c r="D483" s="13" t="s">
        <v>6141</v>
      </c>
      <c r="E483" s="13" t="s">
        <v>9765</v>
      </c>
      <c r="F483" s="14" t="s">
        <v>18</v>
      </c>
      <c r="G483" s="15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22.5" customHeight="1">
      <c r="A484" s="17">
        <v>482.0</v>
      </c>
      <c r="B484" s="12">
        <v>95.0</v>
      </c>
      <c r="C484" s="13" t="s">
        <v>9766</v>
      </c>
      <c r="D484" s="13" t="s">
        <v>9767</v>
      </c>
      <c r="E484" s="13" t="s">
        <v>9768</v>
      </c>
      <c r="F484" s="14" t="s">
        <v>18</v>
      </c>
      <c r="G484" s="15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22.5" customHeight="1">
      <c r="A485" s="11">
        <v>483.0</v>
      </c>
      <c r="B485" s="12">
        <v>95.0</v>
      </c>
      <c r="C485" s="13" t="s">
        <v>9769</v>
      </c>
      <c r="D485" s="13" t="s">
        <v>9770</v>
      </c>
      <c r="E485" s="13" t="s">
        <v>9771</v>
      </c>
      <c r="F485" s="14" t="s">
        <v>18</v>
      </c>
      <c r="G485" s="15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22.5" customHeight="1">
      <c r="A486" s="17">
        <v>484.0</v>
      </c>
      <c r="B486" s="12">
        <v>95.0</v>
      </c>
      <c r="C486" s="13" t="s">
        <v>9772</v>
      </c>
      <c r="D486" s="13" t="s">
        <v>9773</v>
      </c>
      <c r="E486" s="13" t="s">
        <v>9774</v>
      </c>
      <c r="F486" s="14" t="s">
        <v>18</v>
      </c>
      <c r="G486" s="15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22.5" customHeight="1">
      <c r="A487" s="11">
        <v>485.0</v>
      </c>
      <c r="B487" s="12">
        <v>95.0</v>
      </c>
      <c r="C487" s="13" t="s">
        <v>9775</v>
      </c>
      <c r="D487" s="13" t="s">
        <v>9776</v>
      </c>
      <c r="E487" s="13" t="s">
        <v>9777</v>
      </c>
      <c r="F487" s="15"/>
      <c r="G487" s="15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22.5" customHeight="1">
      <c r="A488" s="17">
        <v>486.0</v>
      </c>
      <c r="B488" s="12">
        <v>95.0</v>
      </c>
      <c r="C488" s="13" t="s">
        <v>9778</v>
      </c>
      <c r="D488" s="13" t="s">
        <v>9779</v>
      </c>
      <c r="E488" s="13" t="s">
        <v>9780</v>
      </c>
      <c r="F488" s="14" t="s">
        <v>18</v>
      </c>
      <c r="G488" s="14" t="s">
        <v>18</v>
      </c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22.5" customHeight="1">
      <c r="A489" s="11">
        <v>487.0</v>
      </c>
      <c r="B489" s="12">
        <v>95.0</v>
      </c>
      <c r="C489" s="13" t="s">
        <v>9781</v>
      </c>
      <c r="D489" s="13" t="s">
        <v>9782</v>
      </c>
      <c r="E489" s="13" t="s">
        <v>9783</v>
      </c>
      <c r="F489" s="14" t="s">
        <v>18</v>
      </c>
      <c r="G489" s="15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22.5" customHeight="1">
      <c r="A490" s="17">
        <v>488.0</v>
      </c>
      <c r="B490" s="12">
        <v>95.0</v>
      </c>
      <c r="C490" s="13" t="s">
        <v>9784</v>
      </c>
      <c r="D490" s="13" t="s">
        <v>9785</v>
      </c>
      <c r="E490" s="13" t="s">
        <v>9786</v>
      </c>
      <c r="F490" s="14" t="s">
        <v>18</v>
      </c>
      <c r="G490" s="15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22.5" customHeight="1">
      <c r="A491" s="11">
        <v>489.0</v>
      </c>
      <c r="B491" s="12">
        <v>95.0</v>
      </c>
      <c r="C491" s="13" t="s">
        <v>9787</v>
      </c>
      <c r="D491" s="13" t="s">
        <v>9788</v>
      </c>
      <c r="E491" s="13" t="s">
        <v>9789</v>
      </c>
      <c r="F491" s="15"/>
      <c r="G491" s="15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22.5" customHeight="1">
      <c r="A492" s="17">
        <v>490.0</v>
      </c>
      <c r="B492" s="12">
        <v>95.0</v>
      </c>
      <c r="C492" s="13" t="s">
        <v>9790</v>
      </c>
      <c r="D492" s="13" t="s">
        <v>9791</v>
      </c>
      <c r="E492" s="13" t="s">
        <v>9792</v>
      </c>
      <c r="F492" s="15"/>
      <c r="G492" s="15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22.5" customHeight="1">
      <c r="A493" s="11">
        <v>491.0</v>
      </c>
      <c r="B493" s="12">
        <v>95.0</v>
      </c>
      <c r="C493" s="13" t="s">
        <v>9793</v>
      </c>
      <c r="D493" s="13" t="s">
        <v>9794</v>
      </c>
      <c r="E493" s="13" t="s">
        <v>9795</v>
      </c>
      <c r="F493" s="15"/>
      <c r="G493" s="15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22.5" customHeight="1">
      <c r="A494" s="17">
        <v>492.0</v>
      </c>
      <c r="B494" s="12">
        <v>95.0</v>
      </c>
      <c r="C494" s="13" t="s">
        <v>9796</v>
      </c>
      <c r="D494" s="13" t="s">
        <v>9797</v>
      </c>
      <c r="E494" s="13" t="s">
        <v>9798</v>
      </c>
      <c r="F494" s="14" t="s">
        <v>18</v>
      </c>
      <c r="G494" s="15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22.5" customHeight="1">
      <c r="A495" s="11">
        <v>493.0</v>
      </c>
      <c r="B495" s="12">
        <v>95.0</v>
      </c>
      <c r="C495" s="13" t="s">
        <v>9799</v>
      </c>
      <c r="D495" s="13" t="s">
        <v>9800</v>
      </c>
      <c r="E495" s="13" t="s">
        <v>9801</v>
      </c>
      <c r="F495" s="14" t="s">
        <v>18</v>
      </c>
      <c r="G495" s="15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22.5" customHeight="1">
      <c r="A496" s="17">
        <v>494.0</v>
      </c>
      <c r="B496" s="12">
        <v>95.0</v>
      </c>
      <c r="C496" s="13" t="s">
        <v>9802</v>
      </c>
      <c r="D496" s="13" t="s">
        <v>9803</v>
      </c>
      <c r="E496" s="13" t="s">
        <v>9804</v>
      </c>
      <c r="F496" s="14" t="s">
        <v>18</v>
      </c>
      <c r="G496" s="15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22.5" customHeight="1">
      <c r="A497" s="11">
        <v>495.0</v>
      </c>
      <c r="B497" s="12">
        <v>95.0</v>
      </c>
      <c r="C497" s="13" t="s">
        <v>9805</v>
      </c>
      <c r="D497" s="13" t="s">
        <v>9806</v>
      </c>
      <c r="E497" s="13" t="s">
        <v>9807</v>
      </c>
      <c r="F497" s="15"/>
      <c r="G497" s="15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22.5" customHeight="1">
      <c r="A498" s="17">
        <v>496.0</v>
      </c>
      <c r="B498" s="12">
        <v>95.0</v>
      </c>
      <c r="C498" s="13" t="s">
        <v>9808</v>
      </c>
      <c r="D498" s="13" t="s">
        <v>9809</v>
      </c>
      <c r="E498" s="13" t="s">
        <v>9810</v>
      </c>
      <c r="F498" s="14" t="s">
        <v>18</v>
      </c>
      <c r="G498" s="15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22.5" customHeight="1">
      <c r="A499" s="11">
        <v>497.0</v>
      </c>
      <c r="B499" s="12">
        <v>95.0</v>
      </c>
      <c r="C499" s="13" t="s">
        <v>9811</v>
      </c>
      <c r="D499" s="13" t="s">
        <v>9812</v>
      </c>
      <c r="E499" s="13" t="s">
        <v>9813</v>
      </c>
      <c r="F499" s="15"/>
      <c r="G499" s="15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22.5" customHeight="1">
      <c r="A500" s="17">
        <v>498.0</v>
      </c>
      <c r="B500" s="12">
        <v>95.0</v>
      </c>
      <c r="C500" s="13" t="s">
        <v>9814</v>
      </c>
      <c r="D500" s="13" t="s">
        <v>9815</v>
      </c>
      <c r="E500" s="13" t="s">
        <v>9816</v>
      </c>
      <c r="F500" s="15"/>
      <c r="G500" s="15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22.5" customHeight="1">
      <c r="A501" s="11">
        <v>499.0</v>
      </c>
      <c r="B501" s="12">
        <v>95.0</v>
      </c>
      <c r="C501" s="13" t="s">
        <v>9817</v>
      </c>
      <c r="D501" s="13" t="s">
        <v>9818</v>
      </c>
      <c r="E501" s="13" t="s">
        <v>9819</v>
      </c>
      <c r="F501" s="15"/>
      <c r="G501" s="15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22.5" customHeight="1">
      <c r="A502" s="17">
        <v>500.0</v>
      </c>
      <c r="B502" s="12">
        <v>95.0</v>
      </c>
      <c r="C502" s="13" t="s">
        <v>9085</v>
      </c>
      <c r="D502" s="13" t="s">
        <v>9086</v>
      </c>
      <c r="E502" s="13" t="s">
        <v>9087</v>
      </c>
      <c r="F502" s="15"/>
      <c r="G502" s="15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22.5" customHeight="1">
      <c r="A503" s="11">
        <v>501.0</v>
      </c>
      <c r="B503" s="12">
        <v>95.0</v>
      </c>
      <c r="C503" s="13" t="s">
        <v>9820</v>
      </c>
      <c r="D503" s="13" t="s">
        <v>9821</v>
      </c>
      <c r="E503" s="13" t="s">
        <v>9822</v>
      </c>
      <c r="F503" s="14" t="s">
        <v>18</v>
      </c>
      <c r="G503" s="15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22.5" customHeight="1">
      <c r="A504" s="17">
        <v>502.0</v>
      </c>
      <c r="B504" s="12">
        <v>95.0</v>
      </c>
      <c r="C504" s="13" t="s">
        <v>9823</v>
      </c>
      <c r="D504" s="13" t="s">
        <v>9824</v>
      </c>
      <c r="E504" s="13" t="s">
        <v>9825</v>
      </c>
      <c r="F504" s="14" t="s">
        <v>18</v>
      </c>
      <c r="G504" s="15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22.5" customHeight="1">
      <c r="A505" s="11">
        <v>503.0</v>
      </c>
      <c r="B505" s="12">
        <v>95.0</v>
      </c>
      <c r="C505" s="13" t="s">
        <v>9826</v>
      </c>
      <c r="D505" s="13" t="s">
        <v>9827</v>
      </c>
      <c r="E505" s="13" t="s">
        <v>9828</v>
      </c>
      <c r="F505" s="15"/>
      <c r="G505" s="15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22.5" customHeight="1">
      <c r="A506" s="17">
        <v>504.0</v>
      </c>
      <c r="B506" s="12">
        <v>95.0</v>
      </c>
      <c r="C506" s="13" t="s">
        <v>9829</v>
      </c>
      <c r="D506" s="13" t="s">
        <v>9830</v>
      </c>
      <c r="E506" s="13" t="s">
        <v>9831</v>
      </c>
      <c r="F506" s="14" t="s">
        <v>18</v>
      </c>
      <c r="G506" s="15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22.5" customHeight="1">
      <c r="A507" s="11">
        <v>505.0</v>
      </c>
      <c r="B507" s="12">
        <v>95.0</v>
      </c>
      <c r="C507" s="13" t="s">
        <v>9832</v>
      </c>
      <c r="D507" s="13" t="s">
        <v>9833</v>
      </c>
      <c r="E507" s="13" t="s">
        <v>9834</v>
      </c>
      <c r="F507" s="14" t="s">
        <v>18</v>
      </c>
      <c r="G507" s="15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22.5" customHeight="1">
      <c r="A508" s="17">
        <v>506.0</v>
      </c>
      <c r="B508" s="12">
        <v>95.0</v>
      </c>
      <c r="C508" s="13" t="s">
        <v>9835</v>
      </c>
      <c r="D508" s="13" t="s">
        <v>9836</v>
      </c>
      <c r="E508" s="13" t="s">
        <v>9837</v>
      </c>
      <c r="F508" s="14" t="s">
        <v>18</v>
      </c>
      <c r="G508" s="15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22.5" customHeight="1">
      <c r="A509" s="11">
        <v>507.0</v>
      </c>
      <c r="B509" s="12">
        <v>95.0</v>
      </c>
      <c r="C509" s="13" t="s">
        <v>6010</v>
      </c>
      <c r="D509" s="13" t="s">
        <v>9838</v>
      </c>
      <c r="E509" s="13" t="s">
        <v>9839</v>
      </c>
      <c r="F509" s="14" t="s">
        <v>18</v>
      </c>
      <c r="G509" s="15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22.5" customHeight="1">
      <c r="A510" s="17">
        <v>508.0</v>
      </c>
      <c r="B510" s="12">
        <v>95.0</v>
      </c>
      <c r="C510" s="13" t="s">
        <v>9146</v>
      </c>
      <c r="D510" s="13" t="s">
        <v>9147</v>
      </c>
      <c r="E510" s="13" t="s">
        <v>9148</v>
      </c>
      <c r="F510" s="14" t="s">
        <v>18</v>
      </c>
      <c r="G510" s="15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22.5" customHeight="1">
      <c r="A511" s="11">
        <v>509.0</v>
      </c>
      <c r="B511" s="12">
        <v>95.0</v>
      </c>
      <c r="C511" s="13" t="s">
        <v>9840</v>
      </c>
      <c r="D511" s="13" t="s">
        <v>9841</v>
      </c>
      <c r="E511" s="13" t="s">
        <v>9842</v>
      </c>
      <c r="F511" s="14" t="s">
        <v>18</v>
      </c>
      <c r="G511" s="15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22.5" customHeight="1">
      <c r="A512" s="17">
        <v>510.0</v>
      </c>
      <c r="B512" s="12">
        <v>95.0</v>
      </c>
      <c r="C512" s="13" t="s">
        <v>9559</v>
      </c>
      <c r="D512" s="13" t="s">
        <v>9560</v>
      </c>
      <c r="E512" s="13" t="s">
        <v>9561</v>
      </c>
      <c r="F512" s="14" t="s">
        <v>18</v>
      </c>
      <c r="G512" s="14" t="s">
        <v>18</v>
      </c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22.5" customHeight="1">
      <c r="A513" s="11">
        <v>511.0</v>
      </c>
      <c r="B513" s="12">
        <v>94.0</v>
      </c>
      <c r="C513" s="13" t="s">
        <v>9843</v>
      </c>
      <c r="D513" s="13" t="s">
        <v>9844</v>
      </c>
      <c r="E513" s="13" t="s">
        <v>9845</v>
      </c>
      <c r="F513" s="15"/>
      <c r="G513" s="15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22.5" customHeight="1">
      <c r="A514" s="17">
        <v>512.0</v>
      </c>
      <c r="B514" s="12">
        <v>94.0</v>
      </c>
      <c r="C514" s="13" t="s">
        <v>9846</v>
      </c>
      <c r="D514" s="13" t="s">
        <v>9847</v>
      </c>
      <c r="E514" s="13" t="s">
        <v>9848</v>
      </c>
      <c r="F514" s="15"/>
      <c r="G514" s="15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22.5" customHeight="1">
      <c r="A515" s="11">
        <v>513.0</v>
      </c>
      <c r="B515" s="12">
        <v>94.0</v>
      </c>
      <c r="C515" s="13" t="s">
        <v>9574</v>
      </c>
      <c r="D515" s="13" t="s">
        <v>9575</v>
      </c>
      <c r="E515" s="13" t="s">
        <v>9576</v>
      </c>
      <c r="F515" s="15"/>
      <c r="G515" s="15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22.5" customHeight="1">
      <c r="A516" s="17">
        <v>514.0</v>
      </c>
      <c r="B516" s="12">
        <v>94.0</v>
      </c>
      <c r="C516" s="13" t="s">
        <v>9849</v>
      </c>
      <c r="D516" s="13" t="s">
        <v>9850</v>
      </c>
      <c r="E516" s="13" t="s">
        <v>9851</v>
      </c>
      <c r="F516" s="15"/>
      <c r="G516" s="15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22.5" customHeight="1">
      <c r="A517" s="11">
        <v>515.0</v>
      </c>
      <c r="B517" s="12">
        <v>94.0</v>
      </c>
      <c r="C517" s="13" t="s">
        <v>2021</v>
      </c>
      <c r="D517" s="13" t="s">
        <v>4792</v>
      </c>
      <c r="E517" s="13" t="s">
        <v>9852</v>
      </c>
      <c r="F517" s="15"/>
      <c r="G517" s="15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22.5" customHeight="1">
      <c r="A518" s="17">
        <v>516.0</v>
      </c>
      <c r="B518" s="12">
        <v>94.0</v>
      </c>
      <c r="C518" s="13" t="s">
        <v>9853</v>
      </c>
      <c r="D518" s="13" t="s">
        <v>9854</v>
      </c>
      <c r="E518" s="13" t="s">
        <v>9855</v>
      </c>
      <c r="F518" s="14" t="s">
        <v>18</v>
      </c>
      <c r="G518" s="15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22.5" customHeight="1">
      <c r="A519" s="11">
        <v>517.0</v>
      </c>
      <c r="B519" s="12">
        <v>94.0</v>
      </c>
      <c r="C519" s="13" t="s">
        <v>9856</v>
      </c>
      <c r="D519" s="13" t="s">
        <v>9857</v>
      </c>
      <c r="E519" s="13" t="s">
        <v>9858</v>
      </c>
      <c r="F519" s="15"/>
      <c r="G519" s="15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22.5" customHeight="1">
      <c r="A520" s="17">
        <v>518.0</v>
      </c>
      <c r="B520" s="12">
        <v>94.0</v>
      </c>
      <c r="C520" s="13" t="s">
        <v>9859</v>
      </c>
      <c r="D520" s="13" t="s">
        <v>9860</v>
      </c>
      <c r="E520" s="13" t="s">
        <v>9861</v>
      </c>
      <c r="F520" s="14" t="s">
        <v>18</v>
      </c>
      <c r="G520" s="15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22.5" customHeight="1">
      <c r="A521" s="11">
        <v>519.0</v>
      </c>
      <c r="B521" s="12">
        <v>94.0</v>
      </c>
      <c r="C521" s="13" t="s">
        <v>9862</v>
      </c>
      <c r="D521" s="13" t="s">
        <v>9863</v>
      </c>
      <c r="E521" s="13" t="s">
        <v>9864</v>
      </c>
      <c r="F521" s="15"/>
      <c r="G521" s="15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22.5" customHeight="1">
      <c r="A522" s="17">
        <v>520.0</v>
      </c>
      <c r="B522" s="12">
        <v>94.0</v>
      </c>
      <c r="C522" s="13" t="s">
        <v>9598</v>
      </c>
      <c r="D522" s="13" t="s">
        <v>9599</v>
      </c>
      <c r="E522" s="13" t="s">
        <v>9600</v>
      </c>
      <c r="F522" s="15"/>
      <c r="G522" s="15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22.5" customHeight="1">
      <c r="A523" s="11">
        <v>521.0</v>
      </c>
      <c r="B523" s="12">
        <v>94.0</v>
      </c>
      <c r="C523" s="13" t="s">
        <v>9865</v>
      </c>
      <c r="D523" s="13" t="s">
        <v>9866</v>
      </c>
      <c r="E523" s="13" t="s">
        <v>9867</v>
      </c>
      <c r="F523" s="14" t="s">
        <v>18</v>
      </c>
      <c r="G523" s="15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22.5" customHeight="1">
      <c r="A524" s="17">
        <v>522.0</v>
      </c>
      <c r="B524" s="12">
        <v>94.0</v>
      </c>
      <c r="C524" s="13" t="s">
        <v>8895</v>
      </c>
      <c r="D524" s="13" t="s">
        <v>8896</v>
      </c>
      <c r="E524" s="13" t="s">
        <v>8897</v>
      </c>
      <c r="F524" s="15"/>
      <c r="G524" s="15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22.5" customHeight="1">
      <c r="A525" s="11">
        <v>523.0</v>
      </c>
      <c r="B525" s="12">
        <v>94.0</v>
      </c>
      <c r="C525" s="13" t="s">
        <v>9868</v>
      </c>
      <c r="D525" s="13" t="s">
        <v>9869</v>
      </c>
      <c r="E525" s="13" t="s">
        <v>9870</v>
      </c>
      <c r="F525" s="14" t="s">
        <v>18</v>
      </c>
      <c r="G525" s="15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22.5" customHeight="1">
      <c r="A526" s="17">
        <v>524.0</v>
      </c>
      <c r="B526" s="12">
        <v>94.0</v>
      </c>
      <c r="C526" s="13" t="s">
        <v>9871</v>
      </c>
      <c r="D526" s="13" t="s">
        <v>9872</v>
      </c>
      <c r="E526" s="13" t="s">
        <v>9873</v>
      </c>
      <c r="F526" s="15"/>
      <c r="G526" s="15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22.5" customHeight="1">
      <c r="A527" s="11">
        <v>525.0</v>
      </c>
      <c r="B527" s="12">
        <v>94.0</v>
      </c>
      <c r="C527" s="13" t="s">
        <v>9874</v>
      </c>
      <c r="D527" s="13" t="s">
        <v>9875</v>
      </c>
      <c r="E527" s="13" t="s">
        <v>9876</v>
      </c>
      <c r="F527" s="15"/>
      <c r="G527" s="15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22.5" customHeight="1">
      <c r="A528" s="17">
        <v>526.0</v>
      </c>
      <c r="B528" s="12">
        <v>94.0</v>
      </c>
      <c r="C528" s="13" t="s">
        <v>6090</v>
      </c>
      <c r="D528" s="13" t="s">
        <v>6089</v>
      </c>
      <c r="E528" s="13" t="s">
        <v>9877</v>
      </c>
      <c r="F528" s="14" t="s">
        <v>18</v>
      </c>
      <c r="G528" s="15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22.5" customHeight="1">
      <c r="A529" s="11">
        <v>527.0</v>
      </c>
      <c r="B529" s="12">
        <v>94.0</v>
      </c>
      <c r="C529" s="13" t="s">
        <v>9878</v>
      </c>
      <c r="D529" s="13" t="s">
        <v>9879</v>
      </c>
      <c r="E529" s="13" t="s">
        <v>9880</v>
      </c>
      <c r="F529" s="14" t="s">
        <v>18</v>
      </c>
      <c r="G529" s="15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22.5" customHeight="1">
      <c r="A530" s="17">
        <v>528.0</v>
      </c>
      <c r="B530" s="12">
        <v>94.0</v>
      </c>
      <c r="C530" s="13" t="s">
        <v>9881</v>
      </c>
      <c r="D530" s="13" t="s">
        <v>9882</v>
      </c>
      <c r="E530" s="13" t="s">
        <v>9883</v>
      </c>
      <c r="F530" s="15"/>
      <c r="G530" s="15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22.5" customHeight="1">
      <c r="A531" s="11">
        <v>529.0</v>
      </c>
      <c r="B531" s="12">
        <v>94.0</v>
      </c>
      <c r="C531" s="13" t="s">
        <v>9884</v>
      </c>
      <c r="D531" s="13" t="s">
        <v>9885</v>
      </c>
      <c r="E531" s="13" t="s">
        <v>9886</v>
      </c>
      <c r="F531" s="14" t="s">
        <v>18</v>
      </c>
      <c r="G531" s="15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22.5" customHeight="1">
      <c r="A532" s="17">
        <v>530.0</v>
      </c>
      <c r="B532" s="12">
        <v>94.0</v>
      </c>
      <c r="C532" s="13" t="s">
        <v>9887</v>
      </c>
      <c r="D532" s="13" t="s">
        <v>9888</v>
      </c>
      <c r="E532" s="13" t="s">
        <v>9889</v>
      </c>
      <c r="F532" s="14" t="s">
        <v>18</v>
      </c>
      <c r="G532" s="15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22.5" customHeight="1">
      <c r="A533" s="11">
        <v>531.0</v>
      </c>
      <c r="B533" s="12">
        <v>94.0</v>
      </c>
      <c r="C533" s="13" t="s">
        <v>9890</v>
      </c>
      <c r="D533" s="13" t="s">
        <v>9891</v>
      </c>
      <c r="E533" s="13" t="s">
        <v>9892</v>
      </c>
      <c r="F533" s="15"/>
      <c r="G533" s="15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22.5" customHeight="1">
      <c r="A534" s="17">
        <v>532.0</v>
      </c>
      <c r="B534" s="12">
        <v>94.0</v>
      </c>
      <c r="C534" s="13" t="s">
        <v>9893</v>
      </c>
      <c r="D534" s="13" t="s">
        <v>9894</v>
      </c>
      <c r="E534" s="13" t="s">
        <v>9895</v>
      </c>
      <c r="F534" s="14" t="s">
        <v>18</v>
      </c>
      <c r="G534" s="15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22.5" customHeight="1">
      <c r="A535" s="11">
        <v>533.0</v>
      </c>
      <c r="B535" s="12">
        <v>94.0</v>
      </c>
      <c r="C535" s="13" t="s">
        <v>6474</v>
      </c>
      <c r="D535" s="13" t="s">
        <v>6473</v>
      </c>
      <c r="E535" s="13" t="s">
        <v>9896</v>
      </c>
      <c r="F535" s="15"/>
      <c r="G535" s="15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22.5" customHeight="1">
      <c r="A536" s="17">
        <v>534.0</v>
      </c>
      <c r="B536" s="12">
        <v>94.0</v>
      </c>
      <c r="C536" s="13" t="s">
        <v>9577</v>
      </c>
      <c r="D536" s="13" t="s">
        <v>9578</v>
      </c>
      <c r="E536" s="13" t="s">
        <v>9579</v>
      </c>
      <c r="F536" s="15"/>
      <c r="G536" s="15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22.5" customHeight="1">
      <c r="A537" s="11">
        <v>535.0</v>
      </c>
      <c r="B537" s="12">
        <v>94.0</v>
      </c>
      <c r="C537" s="13" t="s">
        <v>8944</v>
      </c>
      <c r="D537" s="13" t="s">
        <v>8945</v>
      </c>
      <c r="E537" s="13" t="s">
        <v>8946</v>
      </c>
      <c r="F537" s="14" t="s">
        <v>18</v>
      </c>
      <c r="G537" s="15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22.5" customHeight="1">
      <c r="A538" s="17">
        <v>536.0</v>
      </c>
      <c r="B538" s="12">
        <v>94.0</v>
      </c>
      <c r="C538" s="13" t="s">
        <v>9617</v>
      </c>
      <c r="D538" s="13" t="s">
        <v>9618</v>
      </c>
      <c r="E538" s="13" t="s">
        <v>9619</v>
      </c>
      <c r="F538" s="14" t="s">
        <v>18</v>
      </c>
      <c r="G538" s="15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22.5" customHeight="1">
      <c r="A539" s="11">
        <v>537.0</v>
      </c>
      <c r="B539" s="12">
        <v>94.0</v>
      </c>
      <c r="C539" s="13" t="s">
        <v>5939</v>
      </c>
      <c r="D539" s="13" t="s">
        <v>2200</v>
      </c>
      <c r="E539" s="13" t="s">
        <v>2201</v>
      </c>
      <c r="F539" s="15"/>
      <c r="G539" s="15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22.5" customHeight="1">
      <c r="A540" s="17">
        <v>538.0</v>
      </c>
      <c r="B540" s="12">
        <v>94.0</v>
      </c>
      <c r="C540" s="13" t="s">
        <v>9897</v>
      </c>
      <c r="D540" s="13" t="s">
        <v>9898</v>
      </c>
      <c r="E540" s="13" t="s">
        <v>9899</v>
      </c>
      <c r="F540" s="14" t="s">
        <v>18</v>
      </c>
      <c r="G540" s="15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22.5" customHeight="1">
      <c r="A541" s="11">
        <v>539.0</v>
      </c>
      <c r="B541" s="12">
        <v>94.0</v>
      </c>
      <c r="C541" s="13" t="s">
        <v>4023</v>
      </c>
      <c r="D541" s="13" t="s">
        <v>8812</v>
      </c>
      <c r="E541" s="13" t="s">
        <v>8813</v>
      </c>
      <c r="F541" s="15"/>
      <c r="G541" s="15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22.5" customHeight="1">
      <c r="A542" s="17">
        <v>540.0</v>
      </c>
      <c r="B542" s="12">
        <v>94.0</v>
      </c>
      <c r="C542" s="13" t="s">
        <v>9900</v>
      </c>
      <c r="D542" s="13" t="s">
        <v>9901</v>
      </c>
      <c r="E542" s="13" t="s">
        <v>9902</v>
      </c>
      <c r="F542" s="15"/>
      <c r="G542" s="15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22.5" customHeight="1">
      <c r="A543" s="11">
        <v>541.0</v>
      </c>
      <c r="B543" s="20">
        <v>93.0</v>
      </c>
      <c r="C543" s="13" t="s">
        <v>9903</v>
      </c>
      <c r="D543" s="13" t="s">
        <v>9904</v>
      </c>
      <c r="E543" s="13" t="s">
        <v>9905</v>
      </c>
      <c r="F543" s="14" t="s">
        <v>18</v>
      </c>
      <c r="G543" s="15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22.5" customHeight="1">
      <c r="A544" s="17">
        <v>542.0</v>
      </c>
      <c r="B544" s="20">
        <v>93.0</v>
      </c>
      <c r="C544" s="13" t="s">
        <v>9906</v>
      </c>
      <c r="D544" s="13" t="s">
        <v>9907</v>
      </c>
      <c r="E544" s="13" t="s">
        <v>9908</v>
      </c>
      <c r="F544" s="14" t="s">
        <v>18</v>
      </c>
      <c r="G544" s="15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22.5" customHeight="1">
      <c r="A545" s="11">
        <v>543.0</v>
      </c>
      <c r="B545" s="20">
        <v>93.0</v>
      </c>
      <c r="C545" s="13" t="s">
        <v>9909</v>
      </c>
      <c r="D545" s="13" t="s">
        <v>9910</v>
      </c>
      <c r="E545" s="13" t="s">
        <v>9911</v>
      </c>
      <c r="F545" s="15"/>
      <c r="G545" s="15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22.5" customHeight="1">
      <c r="A546" s="17">
        <v>544.0</v>
      </c>
      <c r="B546" s="20">
        <v>93.0</v>
      </c>
      <c r="C546" s="13" t="s">
        <v>9912</v>
      </c>
      <c r="D546" s="13" t="s">
        <v>9913</v>
      </c>
      <c r="E546" s="13" t="s">
        <v>9914</v>
      </c>
      <c r="F546" s="14" t="s">
        <v>18</v>
      </c>
      <c r="G546" s="15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22.5" customHeight="1">
      <c r="A547" s="11">
        <v>545.0</v>
      </c>
      <c r="B547" s="20">
        <v>93.0</v>
      </c>
      <c r="C547" s="13" t="s">
        <v>9915</v>
      </c>
      <c r="D547" s="13" t="s">
        <v>9916</v>
      </c>
      <c r="E547" s="13" t="s">
        <v>9917</v>
      </c>
      <c r="F547" s="15"/>
      <c r="G547" s="15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22.5" customHeight="1">
      <c r="A548" s="17">
        <v>546.0</v>
      </c>
      <c r="B548" s="20">
        <v>93.0</v>
      </c>
      <c r="C548" s="13" t="s">
        <v>6142</v>
      </c>
      <c r="D548" s="13" t="s">
        <v>6141</v>
      </c>
      <c r="E548" s="13" t="s">
        <v>9765</v>
      </c>
      <c r="F548" s="15"/>
      <c r="G548" s="15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22.5" customHeight="1">
      <c r="A549" s="11">
        <v>547.0</v>
      </c>
      <c r="B549" s="20">
        <v>93.0</v>
      </c>
      <c r="C549" s="13" t="s">
        <v>9766</v>
      </c>
      <c r="D549" s="13" t="s">
        <v>9767</v>
      </c>
      <c r="E549" s="13" t="s">
        <v>9768</v>
      </c>
      <c r="F549" s="15"/>
      <c r="G549" s="15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22.5" customHeight="1">
      <c r="A550" s="17">
        <v>548.0</v>
      </c>
      <c r="B550" s="20">
        <v>93.0</v>
      </c>
      <c r="C550" s="13" t="s">
        <v>9918</v>
      </c>
      <c r="D550" s="13" t="s">
        <v>9919</v>
      </c>
      <c r="E550" s="13" t="s">
        <v>9920</v>
      </c>
      <c r="F550" s="14" t="s">
        <v>18</v>
      </c>
      <c r="G550" s="15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22.5" customHeight="1">
      <c r="A551" s="11">
        <v>549.0</v>
      </c>
      <c r="B551" s="20">
        <v>93.0</v>
      </c>
      <c r="C551" s="13" t="s">
        <v>9721</v>
      </c>
      <c r="D551" s="13" t="s">
        <v>9722</v>
      </c>
      <c r="E551" s="13" t="s">
        <v>9723</v>
      </c>
      <c r="F551" s="14" t="s">
        <v>18</v>
      </c>
      <c r="G551" s="15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22.5" customHeight="1">
      <c r="A552" s="17">
        <v>550.0</v>
      </c>
      <c r="B552" s="20">
        <v>93.0</v>
      </c>
      <c r="C552" s="13" t="s">
        <v>9921</v>
      </c>
      <c r="D552" s="13" t="s">
        <v>9922</v>
      </c>
      <c r="E552" s="13" t="s">
        <v>9923</v>
      </c>
      <c r="F552" s="14" t="s">
        <v>18</v>
      </c>
      <c r="G552" s="15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22.5" customHeight="1">
      <c r="A553" s="11">
        <v>551.0</v>
      </c>
      <c r="B553" s="20">
        <v>93.0</v>
      </c>
      <c r="C553" s="13" t="s">
        <v>9924</v>
      </c>
      <c r="D553" s="13" t="s">
        <v>9925</v>
      </c>
      <c r="E553" s="13" t="s">
        <v>9926</v>
      </c>
      <c r="F553" s="15"/>
      <c r="G553" s="15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22.5" customHeight="1">
      <c r="A554" s="17">
        <v>552.0</v>
      </c>
      <c r="B554" s="20">
        <v>93.0</v>
      </c>
      <c r="C554" s="13" t="s">
        <v>4317</v>
      </c>
      <c r="D554" s="13" t="s">
        <v>9927</v>
      </c>
      <c r="E554" s="13" t="s">
        <v>9928</v>
      </c>
      <c r="F554" s="15"/>
      <c r="G554" s="15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22.5" customHeight="1">
      <c r="A555" s="11">
        <v>553.0</v>
      </c>
      <c r="B555" s="20">
        <v>93.0</v>
      </c>
      <c r="C555" s="13" t="s">
        <v>8774</v>
      </c>
      <c r="D555" s="13" t="s">
        <v>8775</v>
      </c>
      <c r="E555" s="13" t="s">
        <v>9383</v>
      </c>
      <c r="F555" s="15"/>
      <c r="G555" s="15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22.5" customHeight="1">
      <c r="A556" s="17">
        <v>554.0</v>
      </c>
      <c r="B556" s="20">
        <v>93.0</v>
      </c>
      <c r="C556" s="13" t="s">
        <v>9929</v>
      </c>
      <c r="D556" s="13" t="s">
        <v>9930</v>
      </c>
      <c r="E556" s="13" t="s">
        <v>9931</v>
      </c>
      <c r="F556" s="14" t="s">
        <v>18</v>
      </c>
      <c r="G556" s="15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22.5" customHeight="1">
      <c r="A557" s="11">
        <v>555.0</v>
      </c>
      <c r="B557" s="20">
        <v>93.0</v>
      </c>
      <c r="C557" s="13" t="s">
        <v>9932</v>
      </c>
      <c r="D557" s="13" t="s">
        <v>9933</v>
      </c>
      <c r="E557" s="13" t="s">
        <v>9934</v>
      </c>
      <c r="F557" s="15"/>
      <c r="G557" s="15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22.5" customHeight="1">
      <c r="A558" s="17">
        <v>556.0</v>
      </c>
      <c r="B558" s="20">
        <v>93.0</v>
      </c>
      <c r="C558" s="13" t="s">
        <v>9935</v>
      </c>
      <c r="D558" s="13" t="s">
        <v>9936</v>
      </c>
      <c r="E558" s="13" t="s">
        <v>9937</v>
      </c>
      <c r="F558" s="14" t="s">
        <v>18</v>
      </c>
      <c r="G558" s="15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22.5" customHeight="1">
      <c r="A559" s="11">
        <v>557.0</v>
      </c>
      <c r="B559" s="20">
        <v>93.0</v>
      </c>
      <c r="C559" s="13" t="s">
        <v>9938</v>
      </c>
      <c r="D559" s="13" t="s">
        <v>9939</v>
      </c>
      <c r="E559" s="13" t="s">
        <v>9940</v>
      </c>
      <c r="F559" s="15"/>
      <c r="G559" s="15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22.5" customHeight="1">
      <c r="A560" s="17">
        <v>558.0</v>
      </c>
      <c r="B560" s="20">
        <v>93.0</v>
      </c>
      <c r="C560" s="13" t="s">
        <v>9941</v>
      </c>
      <c r="D560" s="13" t="s">
        <v>9942</v>
      </c>
      <c r="E560" s="13" t="s">
        <v>9943</v>
      </c>
      <c r="F560" s="14" t="s">
        <v>18</v>
      </c>
      <c r="G560" s="15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22.5" customHeight="1">
      <c r="A561" s="11">
        <v>559.0</v>
      </c>
      <c r="B561" s="20">
        <v>93.0</v>
      </c>
      <c r="C561" s="13" t="s">
        <v>9944</v>
      </c>
      <c r="D561" s="13" t="s">
        <v>9945</v>
      </c>
      <c r="E561" s="13" t="s">
        <v>9946</v>
      </c>
      <c r="F561" s="15"/>
      <c r="G561" s="15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22.5" customHeight="1">
      <c r="A562" s="17">
        <v>560.0</v>
      </c>
      <c r="B562" s="20">
        <v>93.0</v>
      </c>
      <c r="C562" s="13" t="s">
        <v>9947</v>
      </c>
      <c r="D562" s="13" t="s">
        <v>9948</v>
      </c>
      <c r="E562" s="13" t="s">
        <v>9949</v>
      </c>
      <c r="F562" s="14" t="s">
        <v>18</v>
      </c>
      <c r="G562" s="15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22.5" customHeight="1">
      <c r="A563" s="11">
        <v>561.0</v>
      </c>
      <c r="B563" s="20">
        <v>93.0</v>
      </c>
      <c r="C563" s="13" t="s">
        <v>9950</v>
      </c>
      <c r="D563" s="13" t="s">
        <v>9951</v>
      </c>
      <c r="E563" s="13" t="s">
        <v>9952</v>
      </c>
      <c r="F563" s="14" t="s">
        <v>18</v>
      </c>
      <c r="G563" s="15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22.5" customHeight="1">
      <c r="A564" s="17">
        <v>562.0</v>
      </c>
      <c r="B564" s="20">
        <v>93.0</v>
      </c>
      <c r="C564" s="13" t="s">
        <v>9953</v>
      </c>
      <c r="D564" s="13" t="s">
        <v>9954</v>
      </c>
      <c r="E564" s="13" t="s">
        <v>9955</v>
      </c>
      <c r="F564" s="14" t="s">
        <v>18</v>
      </c>
      <c r="G564" s="15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22.5" customHeight="1">
      <c r="A565" s="11">
        <v>563.0</v>
      </c>
      <c r="B565" s="20">
        <v>93.0</v>
      </c>
      <c r="C565" s="13" t="s">
        <v>9956</v>
      </c>
      <c r="D565" s="13" t="s">
        <v>9957</v>
      </c>
      <c r="E565" s="13" t="s">
        <v>9958</v>
      </c>
      <c r="F565" s="14" t="s">
        <v>18</v>
      </c>
      <c r="G565" s="15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22.5" customHeight="1">
      <c r="A566" s="17">
        <v>564.0</v>
      </c>
      <c r="B566" s="20">
        <v>93.0</v>
      </c>
      <c r="C566" s="13" t="s">
        <v>6312</v>
      </c>
      <c r="D566" s="13" t="s">
        <v>9959</v>
      </c>
      <c r="E566" s="13" t="s">
        <v>9960</v>
      </c>
      <c r="F566" s="14" t="s">
        <v>18</v>
      </c>
      <c r="G566" s="15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22.5" customHeight="1">
      <c r="A567" s="11">
        <v>565.0</v>
      </c>
      <c r="B567" s="20">
        <v>93.0</v>
      </c>
      <c r="C567" s="13" t="s">
        <v>9961</v>
      </c>
      <c r="D567" s="13" t="s">
        <v>9962</v>
      </c>
      <c r="E567" s="13" t="s">
        <v>9963</v>
      </c>
      <c r="F567" s="14" t="s">
        <v>18</v>
      </c>
      <c r="G567" s="15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22.5" customHeight="1">
      <c r="A568" s="17">
        <v>566.0</v>
      </c>
      <c r="B568" s="20">
        <v>93.0</v>
      </c>
      <c r="C568" s="13" t="s">
        <v>9964</v>
      </c>
      <c r="D568" s="13" t="s">
        <v>9965</v>
      </c>
      <c r="E568" s="13" t="s">
        <v>9966</v>
      </c>
      <c r="F568" s="15"/>
      <c r="G568" s="15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22.5" customHeight="1">
      <c r="A569" s="11">
        <v>567.0</v>
      </c>
      <c r="B569" s="20">
        <v>93.0</v>
      </c>
      <c r="C569" s="13" t="s">
        <v>9967</v>
      </c>
      <c r="D569" s="13" t="s">
        <v>9968</v>
      </c>
      <c r="E569" s="13" t="s">
        <v>9969</v>
      </c>
      <c r="F569" s="14" t="s">
        <v>18</v>
      </c>
      <c r="G569" s="14" t="s">
        <v>18</v>
      </c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22.5" customHeight="1">
      <c r="A570" s="17">
        <v>568.0</v>
      </c>
      <c r="B570" s="20">
        <v>93.0</v>
      </c>
      <c r="C570" s="13" t="s">
        <v>9970</v>
      </c>
      <c r="D570" s="13" t="s">
        <v>9971</v>
      </c>
      <c r="E570" s="13" t="s">
        <v>9972</v>
      </c>
      <c r="F570" s="14" t="s">
        <v>18</v>
      </c>
      <c r="G570" s="15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22.5" customHeight="1">
      <c r="A571" s="11">
        <v>569.0</v>
      </c>
      <c r="B571" s="20">
        <v>93.0</v>
      </c>
      <c r="C571" s="13" t="s">
        <v>9973</v>
      </c>
      <c r="D571" s="13" t="s">
        <v>9974</v>
      </c>
      <c r="E571" s="13" t="s">
        <v>9975</v>
      </c>
      <c r="F571" s="14" t="s">
        <v>18</v>
      </c>
      <c r="G571" s="15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22.5" customHeight="1">
      <c r="A572" s="17">
        <v>570.0</v>
      </c>
      <c r="B572" s="20">
        <v>93.0</v>
      </c>
      <c r="C572" s="13" t="s">
        <v>9976</v>
      </c>
      <c r="D572" s="13" t="s">
        <v>9977</v>
      </c>
      <c r="E572" s="13" t="s">
        <v>9978</v>
      </c>
      <c r="F572" s="14" t="s">
        <v>18</v>
      </c>
      <c r="G572" s="15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22.5" customHeight="1">
      <c r="A573" s="11">
        <v>571.0</v>
      </c>
      <c r="B573" s="20">
        <v>92.0</v>
      </c>
      <c r="C573" s="13" t="s">
        <v>9979</v>
      </c>
      <c r="D573" s="13" t="s">
        <v>9980</v>
      </c>
      <c r="E573" s="13" t="s">
        <v>9981</v>
      </c>
      <c r="F573" s="14" t="s">
        <v>18</v>
      </c>
      <c r="G573" s="15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22.5" customHeight="1">
      <c r="A574" s="17">
        <v>572.0</v>
      </c>
      <c r="B574" s="20">
        <v>92.0</v>
      </c>
      <c r="C574" s="13" t="s">
        <v>9982</v>
      </c>
      <c r="D574" s="13" t="s">
        <v>9983</v>
      </c>
      <c r="E574" s="13" t="s">
        <v>9984</v>
      </c>
      <c r="F574" s="15"/>
      <c r="G574" s="15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22.5" customHeight="1">
      <c r="A575" s="11">
        <v>573.0</v>
      </c>
      <c r="B575" s="20">
        <v>92.0</v>
      </c>
      <c r="C575" s="13" t="s">
        <v>9985</v>
      </c>
      <c r="D575" s="13" t="s">
        <v>9986</v>
      </c>
      <c r="E575" s="13" t="s">
        <v>9987</v>
      </c>
      <c r="F575" s="15"/>
      <c r="G575" s="15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22.5" customHeight="1">
      <c r="A576" s="17">
        <v>574.0</v>
      </c>
      <c r="B576" s="20">
        <v>92.0</v>
      </c>
      <c r="C576" s="13" t="s">
        <v>9988</v>
      </c>
      <c r="D576" s="13" t="s">
        <v>9989</v>
      </c>
      <c r="E576" s="13" t="s">
        <v>9990</v>
      </c>
      <c r="F576" s="15"/>
      <c r="G576" s="15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22.5" customHeight="1">
      <c r="A577" s="11">
        <v>575.0</v>
      </c>
      <c r="B577" s="20">
        <v>92.0</v>
      </c>
      <c r="C577" s="13" t="s">
        <v>9991</v>
      </c>
      <c r="D577" s="13" t="s">
        <v>9992</v>
      </c>
      <c r="E577" s="13" t="s">
        <v>9993</v>
      </c>
      <c r="F577" s="14" t="s">
        <v>18</v>
      </c>
      <c r="G577" s="15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22.5" customHeight="1">
      <c r="A578" s="17">
        <v>576.0</v>
      </c>
      <c r="B578" s="20">
        <v>92.0</v>
      </c>
      <c r="C578" s="13" t="s">
        <v>9994</v>
      </c>
      <c r="D578" s="13" t="s">
        <v>9995</v>
      </c>
      <c r="E578" s="13" t="s">
        <v>9996</v>
      </c>
      <c r="F578" s="14" t="s">
        <v>18</v>
      </c>
      <c r="G578" s="15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22.5" customHeight="1">
      <c r="A579" s="11">
        <v>577.0</v>
      </c>
      <c r="B579" s="20">
        <v>92.0</v>
      </c>
      <c r="C579" s="13" t="s">
        <v>9997</v>
      </c>
      <c r="D579" s="13" t="s">
        <v>9998</v>
      </c>
      <c r="E579" s="13" t="s">
        <v>9999</v>
      </c>
      <c r="F579" s="15"/>
      <c r="G579" s="15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22.5" customHeight="1">
      <c r="A580" s="17">
        <v>578.0</v>
      </c>
      <c r="B580" s="20">
        <v>92.0</v>
      </c>
      <c r="C580" s="13" t="s">
        <v>10000</v>
      </c>
      <c r="D580" s="13" t="s">
        <v>10001</v>
      </c>
      <c r="E580" s="13" t="s">
        <v>10002</v>
      </c>
      <c r="F580" s="14" t="s">
        <v>18</v>
      </c>
      <c r="G580" s="15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22.5" customHeight="1">
      <c r="A581" s="11">
        <v>579.0</v>
      </c>
      <c r="B581" s="20">
        <v>92.0</v>
      </c>
      <c r="C581" s="13" t="s">
        <v>9802</v>
      </c>
      <c r="D581" s="13" t="s">
        <v>9803</v>
      </c>
      <c r="E581" s="13" t="s">
        <v>10003</v>
      </c>
      <c r="F581" s="15"/>
      <c r="G581" s="15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22.5" customHeight="1">
      <c r="A582" s="17">
        <v>580.0</v>
      </c>
      <c r="B582" s="20">
        <v>92.0</v>
      </c>
      <c r="C582" s="13" t="s">
        <v>9890</v>
      </c>
      <c r="D582" s="13" t="s">
        <v>9891</v>
      </c>
      <c r="E582" s="13" t="s">
        <v>9892</v>
      </c>
      <c r="F582" s="15"/>
      <c r="G582" s="15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22.5" customHeight="1">
      <c r="A583" s="11">
        <v>581.0</v>
      </c>
      <c r="B583" s="20">
        <v>92.0</v>
      </c>
      <c r="C583" s="13" t="s">
        <v>9259</v>
      </c>
      <c r="D583" s="13" t="s">
        <v>9260</v>
      </c>
      <c r="E583" s="13" t="s">
        <v>9261</v>
      </c>
      <c r="F583" s="15"/>
      <c r="G583" s="15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22.5" customHeight="1">
      <c r="A584" s="17">
        <v>582.0</v>
      </c>
      <c r="B584" s="20">
        <v>92.0</v>
      </c>
      <c r="C584" s="13" t="s">
        <v>10004</v>
      </c>
      <c r="D584" s="13" t="s">
        <v>10005</v>
      </c>
      <c r="E584" s="13" t="s">
        <v>10006</v>
      </c>
      <c r="F584" s="15"/>
      <c r="G584" s="15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22.5" customHeight="1">
      <c r="A585" s="11">
        <v>583.0</v>
      </c>
      <c r="B585" s="20">
        <v>92.0</v>
      </c>
      <c r="C585" s="13" t="s">
        <v>10007</v>
      </c>
      <c r="D585" s="13" t="s">
        <v>10008</v>
      </c>
      <c r="E585" s="13" t="s">
        <v>10009</v>
      </c>
      <c r="F585" s="14" t="s">
        <v>18</v>
      </c>
      <c r="G585" s="14" t="s">
        <v>18</v>
      </c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22.5" customHeight="1">
      <c r="A586" s="17">
        <v>584.0</v>
      </c>
      <c r="B586" s="20">
        <v>92.0</v>
      </c>
      <c r="C586" s="13" t="s">
        <v>10010</v>
      </c>
      <c r="D586" s="13" t="s">
        <v>10011</v>
      </c>
      <c r="E586" s="13" t="s">
        <v>10012</v>
      </c>
      <c r="F586" s="14" t="s">
        <v>18</v>
      </c>
      <c r="G586" s="15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22.5" customHeight="1">
      <c r="A587" s="11">
        <v>585.0</v>
      </c>
      <c r="B587" s="20">
        <v>92.0</v>
      </c>
      <c r="C587" s="13" t="s">
        <v>10013</v>
      </c>
      <c r="D587" s="13" t="s">
        <v>10014</v>
      </c>
      <c r="E587" s="13" t="s">
        <v>10015</v>
      </c>
      <c r="F587" s="15"/>
      <c r="G587" s="15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22.5" customHeight="1">
      <c r="A588" s="17">
        <v>586.0</v>
      </c>
      <c r="B588" s="20">
        <v>92.0</v>
      </c>
      <c r="C588" s="13" t="s">
        <v>10016</v>
      </c>
      <c r="D588" s="13" t="s">
        <v>10017</v>
      </c>
      <c r="E588" s="13" t="s">
        <v>10018</v>
      </c>
      <c r="F588" s="15"/>
      <c r="G588" s="15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22.5" customHeight="1">
      <c r="A589" s="11">
        <v>587.0</v>
      </c>
      <c r="B589" s="20">
        <v>92.0</v>
      </c>
      <c r="C589" s="13" t="s">
        <v>10019</v>
      </c>
      <c r="D589" s="13" t="s">
        <v>10020</v>
      </c>
      <c r="E589" s="13" t="s">
        <v>10021</v>
      </c>
      <c r="F589" s="14" t="s">
        <v>18</v>
      </c>
      <c r="G589" s="15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22.5" customHeight="1">
      <c r="A590" s="17">
        <v>588.0</v>
      </c>
      <c r="B590" s="20">
        <v>92.0</v>
      </c>
      <c r="C590" s="13" t="s">
        <v>10022</v>
      </c>
      <c r="D590" s="13" t="s">
        <v>10023</v>
      </c>
      <c r="E590" s="13" t="s">
        <v>10024</v>
      </c>
      <c r="F590" s="14" t="s">
        <v>18</v>
      </c>
      <c r="G590" s="15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22.5" customHeight="1">
      <c r="A591" s="11">
        <v>589.0</v>
      </c>
      <c r="B591" s="20">
        <v>92.0</v>
      </c>
      <c r="C591" s="13" t="s">
        <v>10025</v>
      </c>
      <c r="D591" s="13" t="s">
        <v>2423</v>
      </c>
      <c r="E591" s="13" t="s">
        <v>2424</v>
      </c>
      <c r="F591" s="15"/>
      <c r="G591" s="15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22.5" customHeight="1">
      <c r="A592" s="17">
        <v>590.0</v>
      </c>
      <c r="B592" s="20">
        <v>92.0</v>
      </c>
      <c r="C592" s="13" t="s">
        <v>10026</v>
      </c>
      <c r="D592" s="13" t="s">
        <v>10027</v>
      </c>
      <c r="E592" s="13" t="s">
        <v>10028</v>
      </c>
      <c r="F592" s="14" t="s">
        <v>18</v>
      </c>
      <c r="G592" s="15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22.5" customHeight="1">
      <c r="A593" s="11">
        <v>591.0</v>
      </c>
      <c r="B593" s="20">
        <v>92.0</v>
      </c>
      <c r="C593" s="13" t="s">
        <v>10029</v>
      </c>
      <c r="D593" s="13" t="s">
        <v>10030</v>
      </c>
      <c r="E593" s="13" t="s">
        <v>10031</v>
      </c>
      <c r="F593" s="15"/>
      <c r="G593" s="15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22.5" customHeight="1">
      <c r="A594" s="17">
        <v>592.0</v>
      </c>
      <c r="B594" s="20">
        <v>92.0</v>
      </c>
      <c r="C594" s="13" t="s">
        <v>9887</v>
      </c>
      <c r="D594" s="13" t="s">
        <v>9888</v>
      </c>
      <c r="E594" s="13" t="s">
        <v>9889</v>
      </c>
      <c r="F594" s="15"/>
      <c r="G594" s="15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22.5" customHeight="1">
      <c r="A595" s="11">
        <v>593.0</v>
      </c>
      <c r="B595" s="20">
        <v>92.0</v>
      </c>
      <c r="C595" s="13" t="s">
        <v>5784</v>
      </c>
      <c r="D595" s="13" t="s">
        <v>5783</v>
      </c>
      <c r="E595" s="13" t="s">
        <v>9292</v>
      </c>
      <c r="F595" s="14" t="s">
        <v>18</v>
      </c>
      <c r="G595" s="14" t="s">
        <v>18</v>
      </c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22.5" customHeight="1">
      <c r="A596" s="17">
        <v>594.0</v>
      </c>
      <c r="B596" s="20">
        <v>92.0</v>
      </c>
      <c r="C596" s="13" t="s">
        <v>10032</v>
      </c>
      <c r="D596" s="13" t="s">
        <v>10033</v>
      </c>
      <c r="E596" s="13" t="s">
        <v>10034</v>
      </c>
      <c r="F596" s="15"/>
      <c r="G596" s="15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22.5" customHeight="1">
      <c r="A597" s="11">
        <v>595.0</v>
      </c>
      <c r="B597" s="20">
        <v>92.0</v>
      </c>
      <c r="C597" s="13" t="s">
        <v>10035</v>
      </c>
      <c r="D597" s="13" t="s">
        <v>10036</v>
      </c>
      <c r="E597" s="13" t="s">
        <v>10037</v>
      </c>
      <c r="F597" s="15"/>
      <c r="G597" s="15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22.5" customHeight="1">
      <c r="A598" s="17">
        <v>596.0</v>
      </c>
      <c r="B598" s="20">
        <v>92.0</v>
      </c>
      <c r="C598" s="13" t="s">
        <v>10038</v>
      </c>
      <c r="D598" s="13" t="s">
        <v>10039</v>
      </c>
      <c r="E598" s="13" t="s">
        <v>10040</v>
      </c>
      <c r="F598" s="15"/>
      <c r="G598" s="15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22.5" customHeight="1">
      <c r="A599" s="11">
        <v>597.0</v>
      </c>
      <c r="B599" s="20">
        <v>92.0</v>
      </c>
      <c r="C599" s="13" t="s">
        <v>9512</v>
      </c>
      <c r="D599" s="13" t="s">
        <v>9513</v>
      </c>
      <c r="E599" s="13" t="s">
        <v>9514</v>
      </c>
      <c r="F599" s="15"/>
      <c r="G599" s="15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22.5" customHeight="1">
      <c r="A600" s="17">
        <v>598.0</v>
      </c>
      <c r="B600" s="20">
        <v>92.0</v>
      </c>
      <c r="C600" s="13" t="s">
        <v>10041</v>
      </c>
      <c r="D600" s="13" t="s">
        <v>10042</v>
      </c>
      <c r="E600" s="13" t="s">
        <v>10043</v>
      </c>
      <c r="F600" s="14" t="s">
        <v>18</v>
      </c>
      <c r="G600" s="15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22.5" customHeight="1">
      <c r="A601" s="11">
        <v>599.0</v>
      </c>
      <c r="B601" s="20">
        <v>92.0</v>
      </c>
      <c r="C601" s="13" t="s">
        <v>9210</v>
      </c>
      <c r="D601" s="13" t="s">
        <v>9211</v>
      </c>
      <c r="E601" s="13" t="s">
        <v>9212</v>
      </c>
      <c r="F601" s="15"/>
      <c r="G601" s="15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22.5" customHeight="1">
      <c r="A602" s="17">
        <v>600.0</v>
      </c>
      <c r="B602" s="20">
        <v>92.0</v>
      </c>
      <c r="C602" s="13" t="s">
        <v>9811</v>
      </c>
      <c r="D602" s="13" t="s">
        <v>9812</v>
      </c>
      <c r="E602" s="13" t="s">
        <v>10044</v>
      </c>
      <c r="F602" s="14" t="s">
        <v>18</v>
      </c>
      <c r="G602" s="15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22.5" customHeight="1">
      <c r="A603" s="11">
        <v>601.0</v>
      </c>
      <c r="B603" s="20">
        <v>91.0</v>
      </c>
      <c r="C603" s="13" t="s">
        <v>10045</v>
      </c>
      <c r="D603" s="13" t="s">
        <v>10046</v>
      </c>
      <c r="E603" s="13" t="s">
        <v>10047</v>
      </c>
      <c r="F603" s="15"/>
      <c r="G603" s="15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22.5" customHeight="1">
      <c r="A604" s="17">
        <v>602.0</v>
      </c>
      <c r="B604" s="20">
        <v>91.0</v>
      </c>
      <c r="C604" s="13" t="s">
        <v>10048</v>
      </c>
      <c r="D604" s="13" t="s">
        <v>10049</v>
      </c>
      <c r="E604" s="13" t="s">
        <v>10050</v>
      </c>
      <c r="F604" s="14" t="s">
        <v>18</v>
      </c>
      <c r="G604" s="15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22.5" customHeight="1">
      <c r="A605" s="11">
        <v>603.0</v>
      </c>
      <c r="B605" s="20">
        <v>91.0</v>
      </c>
      <c r="C605" s="13" t="s">
        <v>6178</v>
      </c>
      <c r="D605" s="13" t="s">
        <v>6177</v>
      </c>
      <c r="E605" s="13" t="s">
        <v>10051</v>
      </c>
      <c r="F605" s="14" t="s">
        <v>18</v>
      </c>
      <c r="G605" s="14" t="s">
        <v>18</v>
      </c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22.5" customHeight="1">
      <c r="A606" s="17">
        <v>604.0</v>
      </c>
      <c r="B606" s="20">
        <v>91.0</v>
      </c>
      <c r="C606" s="13" t="s">
        <v>10052</v>
      </c>
      <c r="D606" s="13" t="s">
        <v>10053</v>
      </c>
      <c r="E606" s="13" t="s">
        <v>10054</v>
      </c>
      <c r="F606" s="14" t="s">
        <v>18</v>
      </c>
      <c r="G606" s="14" t="s">
        <v>18</v>
      </c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22.5" customHeight="1">
      <c r="A607" s="11">
        <v>605.0</v>
      </c>
      <c r="B607" s="20">
        <v>91.0</v>
      </c>
      <c r="C607" s="13" t="s">
        <v>10055</v>
      </c>
      <c r="D607" s="13" t="s">
        <v>10056</v>
      </c>
      <c r="E607" s="13" t="s">
        <v>10057</v>
      </c>
      <c r="F607" s="14" t="s">
        <v>18</v>
      </c>
      <c r="G607" s="15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22.5" customHeight="1">
      <c r="A608" s="17">
        <v>606.0</v>
      </c>
      <c r="B608" s="20">
        <v>91.0</v>
      </c>
      <c r="C608" s="13" t="s">
        <v>10058</v>
      </c>
      <c r="D608" s="13" t="s">
        <v>10059</v>
      </c>
      <c r="E608" s="13" t="s">
        <v>10060</v>
      </c>
      <c r="F608" s="15"/>
      <c r="G608" s="15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22.5" customHeight="1">
      <c r="A609" s="11">
        <v>607.0</v>
      </c>
      <c r="B609" s="20">
        <v>91.0</v>
      </c>
      <c r="C609" s="13" t="s">
        <v>9357</v>
      </c>
      <c r="D609" s="13" t="s">
        <v>9358</v>
      </c>
      <c r="E609" s="13" t="s">
        <v>9359</v>
      </c>
      <c r="F609" s="14" t="s">
        <v>18</v>
      </c>
      <c r="G609" s="14" t="s">
        <v>18</v>
      </c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22.5" customHeight="1">
      <c r="A610" s="17">
        <v>608.0</v>
      </c>
      <c r="B610" s="20">
        <v>91.0</v>
      </c>
      <c r="C610" s="13" t="s">
        <v>10061</v>
      </c>
      <c r="D610" s="13" t="s">
        <v>10062</v>
      </c>
      <c r="E610" s="13" t="s">
        <v>10063</v>
      </c>
      <c r="F610" s="14" t="s">
        <v>18</v>
      </c>
      <c r="G610" s="15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22.5" customHeight="1">
      <c r="A611" s="11">
        <v>609.0</v>
      </c>
      <c r="B611" s="20">
        <v>91.0</v>
      </c>
      <c r="C611" s="13" t="s">
        <v>10064</v>
      </c>
      <c r="D611" s="13" t="s">
        <v>10065</v>
      </c>
      <c r="E611" s="13" t="s">
        <v>10066</v>
      </c>
      <c r="F611" s="15"/>
      <c r="G611" s="15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22.5" customHeight="1">
      <c r="A612" s="17">
        <v>610.0</v>
      </c>
      <c r="B612" s="20">
        <v>91.0</v>
      </c>
      <c r="C612" s="13" t="s">
        <v>10067</v>
      </c>
      <c r="D612" s="13" t="s">
        <v>10068</v>
      </c>
      <c r="E612" s="13" t="s">
        <v>10069</v>
      </c>
      <c r="F612" s="14" t="s">
        <v>18</v>
      </c>
      <c r="G612" s="15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22.5" customHeight="1">
      <c r="A613" s="11">
        <v>611.0</v>
      </c>
      <c r="B613" s="20">
        <v>91.0</v>
      </c>
      <c r="C613" s="13" t="s">
        <v>10070</v>
      </c>
      <c r="D613" s="13" t="s">
        <v>10071</v>
      </c>
      <c r="E613" s="13" t="s">
        <v>10072</v>
      </c>
      <c r="F613" s="14" t="s">
        <v>18</v>
      </c>
      <c r="G613" s="15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22.5" customHeight="1">
      <c r="A614" s="17">
        <v>612.0</v>
      </c>
      <c r="B614" s="20">
        <v>91.0</v>
      </c>
      <c r="C614" s="13" t="s">
        <v>10073</v>
      </c>
      <c r="D614" s="13" t="s">
        <v>10074</v>
      </c>
      <c r="E614" s="13" t="s">
        <v>10075</v>
      </c>
      <c r="F614" s="14" t="s">
        <v>18</v>
      </c>
      <c r="G614" s="15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22.5" customHeight="1">
      <c r="A615" s="11">
        <v>613.0</v>
      </c>
      <c r="B615" s="20">
        <v>91.0</v>
      </c>
      <c r="C615" s="13" t="s">
        <v>10076</v>
      </c>
      <c r="D615" s="13" t="s">
        <v>10077</v>
      </c>
      <c r="E615" s="13" t="s">
        <v>10078</v>
      </c>
      <c r="F615" s="15"/>
      <c r="G615" s="15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22.5" customHeight="1">
      <c r="A616" s="17">
        <v>614.0</v>
      </c>
      <c r="B616" s="20">
        <v>91.0</v>
      </c>
      <c r="C616" s="13" t="s">
        <v>10079</v>
      </c>
      <c r="D616" s="13" t="s">
        <v>10080</v>
      </c>
      <c r="E616" s="13" t="s">
        <v>10081</v>
      </c>
      <c r="F616" s="14" t="s">
        <v>18</v>
      </c>
      <c r="G616" s="15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22.5" customHeight="1">
      <c r="A617" s="11">
        <v>615.0</v>
      </c>
      <c r="B617" s="20">
        <v>91.0</v>
      </c>
      <c r="C617" s="13" t="s">
        <v>10082</v>
      </c>
      <c r="D617" s="13" t="s">
        <v>10083</v>
      </c>
      <c r="E617" s="13" t="s">
        <v>10084</v>
      </c>
      <c r="F617" s="14" t="s">
        <v>18</v>
      </c>
      <c r="G617" s="15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22.5" customHeight="1">
      <c r="A618" s="17">
        <v>616.0</v>
      </c>
      <c r="B618" s="20">
        <v>91.0</v>
      </c>
      <c r="C618" s="13" t="s">
        <v>10085</v>
      </c>
      <c r="D618" s="13" t="s">
        <v>10086</v>
      </c>
      <c r="E618" s="13" t="s">
        <v>10087</v>
      </c>
      <c r="F618" s="15"/>
      <c r="G618" s="15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22.5" customHeight="1">
      <c r="A619" s="11">
        <v>617.0</v>
      </c>
      <c r="B619" s="20">
        <v>91.0</v>
      </c>
      <c r="C619" s="13" t="s">
        <v>10088</v>
      </c>
      <c r="D619" s="13" t="s">
        <v>10089</v>
      </c>
      <c r="E619" s="13" t="s">
        <v>10090</v>
      </c>
      <c r="F619" s="15"/>
      <c r="G619" s="15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22.5" customHeight="1">
      <c r="A620" s="17">
        <v>618.0</v>
      </c>
      <c r="B620" s="20">
        <v>91.0</v>
      </c>
      <c r="C620" s="13" t="s">
        <v>10091</v>
      </c>
      <c r="D620" s="13" t="s">
        <v>10092</v>
      </c>
      <c r="E620" s="13" t="s">
        <v>10093</v>
      </c>
      <c r="F620" s="14" t="s">
        <v>18</v>
      </c>
      <c r="G620" s="15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22.5" customHeight="1">
      <c r="A621" s="11">
        <v>619.0</v>
      </c>
      <c r="B621" s="20">
        <v>91.0</v>
      </c>
      <c r="C621" s="13" t="s">
        <v>10094</v>
      </c>
      <c r="D621" s="13" t="s">
        <v>10095</v>
      </c>
      <c r="E621" s="13" t="s">
        <v>10096</v>
      </c>
      <c r="F621" s="14" t="s">
        <v>18</v>
      </c>
      <c r="G621" s="15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22.5" customHeight="1">
      <c r="A622" s="17">
        <v>620.0</v>
      </c>
      <c r="B622" s="20">
        <v>91.0</v>
      </c>
      <c r="C622" s="13" t="s">
        <v>10097</v>
      </c>
      <c r="D622" s="13" t="s">
        <v>10098</v>
      </c>
      <c r="E622" s="13" t="s">
        <v>10099</v>
      </c>
      <c r="F622" s="14" t="s">
        <v>18</v>
      </c>
      <c r="G622" s="15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22.5" customHeight="1">
      <c r="A623" s="11">
        <v>621.0</v>
      </c>
      <c r="B623" s="20">
        <v>91.0</v>
      </c>
      <c r="C623" s="13" t="s">
        <v>10100</v>
      </c>
      <c r="D623" s="13" t="s">
        <v>10101</v>
      </c>
      <c r="E623" s="13" t="s">
        <v>10102</v>
      </c>
      <c r="F623" s="15"/>
      <c r="G623" s="15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22.5" customHeight="1">
      <c r="A624" s="17">
        <v>622.0</v>
      </c>
      <c r="B624" s="20">
        <v>91.0</v>
      </c>
      <c r="C624" s="13" t="s">
        <v>10103</v>
      </c>
      <c r="D624" s="13" t="s">
        <v>10104</v>
      </c>
      <c r="E624" s="13" t="s">
        <v>10105</v>
      </c>
      <c r="F624" s="14" t="s">
        <v>18</v>
      </c>
      <c r="G624" s="15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22.5" customHeight="1">
      <c r="A625" s="11">
        <v>623.0</v>
      </c>
      <c r="B625" s="20">
        <v>91.0</v>
      </c>
      <c r="C625" s="13" t="s">
        <v>10106</v>
      </c>
      <c r="D625" s="13" t="s">
        <v>10107</v>
      </c>
      <c r="E625" s="13" t="s">
        <v>10108</v>
      </c>
      <c r="F625" s="15"/>
      <c r="G625" s="15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22.5" customHeight="1">
      <c r="A626" s="17">
        <v>624.0</v>
      </c>
      <c r="B626" s="20">
        <v>91.0</v>
      </c>
      <c r="C626" s="13" t="s">
        <v>6095</v>
      </c>
      <c r="D626" s="13" t="s">
        <v>10109</v>
      </c>
      <c r="E626" s="13" t="s">
        <v>10110</v>
      </c>
      <c r="F626" s="15"/>
      <c r="G626" s="15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22.5" customHeight="1">
      <c r="A627" s="11">
        <v>625.0</v>
      </c>
      <c r="B627" s="20">
        <v>91.0</v>
      </c>
      <c r="C627" s="13" t="s">
        <v>10111</v>
      </c>
      <c r="D627" s="13" t="s">
        <v>10112</v>
      </c>
      <c r="E627" s="13" t="s">
        <v>10113</v>
      </c>
      <c r="F627" s="14" t="s">
        <v>18</v>
      </c>
      <c r="G627" s="14" t="s">
        <v>18</v>
      </c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22.5" customHeight="1">
      <c r="A628" s="17">
        <v>626.0</v>
      </c>
      <c r="B628" s="20">
        <v>91.0</v>
      </c>
      <c r="C628" s="13" t="s">
        <v>6010</v>
      </c>
      <c r="D628" s="13" t="s">
        <v>9838</v>
      </c>
      <c r="E628" s="13" t="s">
        <v>9839</v>
      </c>
      <c r="F628" s="15"/>
      <c r="G628" s="15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22.5" customHeight="1">
      <c r="A629" s="11">
        <v>627.0</v>
      </c>
      <c r="B629" s="20">
        <v>91.0</v>
      </c>
      <c r="C629" s="13" t="s">
        <v>10114</v>
      </c>
      <c r="D629" s="13" t="s">
        <v>10115</v>
      </c>
      <c r="E629" s="13" t="s">
        <v>10116</v>
      </c>
      <c r="F629" s="14" t="s">
        <v>18</v>
      </c>
      <c r="G629" s="15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22.5" customHeight="1">
      <c r="A630" s="17">
        <v>628.0</v>
      </c>
      <c r="B630" s="20">
        <v>91.0</v>
      </c>
      <c r="C630" s="13" t="s">
        <v>10117</v>
      </c>
      <c r="D630" s="13" t="s">
        <v>10118</v>
      </c>
      <c r="E630" s="13" t="s">
        <v>10119</v>
      </c>
      <c r="F630" s="15"/>
      <c r="G630" s="15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22.5" customHeight="1">
      <c r="A631" s="11">
        <v>629.0</v>
      </c>
      <c r="B631" s="20">
        <v>91.0</v>
      </c>
      <c r="C631" s="13" t="s">
        <v>9805</v>
      </c>
      <c r="D631" s="13" t="s">
        <v>9806</v>
      </c>
      <c r="E631" s="13" t="s">
        <v>9807</v>
      </c>
      <c r="F631" s="14" t="s">
        <v>18</v>
      </c>
      <c r="G631" s="15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22.5" customHeight="1">
      <c r="A632" s="17">
        <v>630.0</v>
      </c>
      <c r="B632" s="20">
        <v>91.0</v>
      </c>
      <c r="C632" s="13" t="s">
        <v>10120</v>
      </c>
      <c r="D632" s="13" t="s">
        <v>10121</v>
      </c>
      <c r="E632" s="13" t="s">
        <v>10122</v>
      </c>
      <c r="F632" s="14" t="s">
        <v>18</v>
      </c>
      <c r="G632" s="15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22.5" customHeight="1">
      <c r="A633" s="11">
        <v>631.0</v>
      </c>
      <c r="B633" s="20">
        <v>90.0</v>
      </c>
      <c r="C633" s="13" t="s">
        <v>5792</v>
      </c>
      <c r="D633" s="13" t="s">
        <v>5791</v>
      </c>
      <c r="E633" s="13" t="s">
        <v>9088</v>
      </c>
      <c r="F633" s="15"/>
      <c r="G633" s="15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22.5" customHeight="1">
      <c r="A634" s="17">
        <v>632.0</v>
      </c>
      <c r="B634" s="20">
        <v>90.0</v>
      </c>
      <c r="C634" s="13" t="s">
        <v>10123</v>
      </c>
      <c r="D634" s="13" t="s">
        <v>10124</v>
      </c>
      <c r="E634" s="13" t="s">
        <v>10125</v>
      </c>
      <c r="F634" s="15"/>
      <c r="G634" s="15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22.5" customHeight="1">
      <c r="A635" s="11">
        <v>633.0</v>
      </c>
      <c r="B635" s="20">
        <v>90.0</v>
      </c>
      <c r="C635" s="13" t="s">
        <v>5316</v>
      </c>
      <c r="D635" s="13" t="s">
        <v>5315</v>
      </c>
      <c r="E635" s="13" t="s">
        <v>10126</v>
      </c>
      <c r="F635" s="14" t="s">
        <v>18</v>
      </c>
      <c r="G635" s="15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22.5" customHeight="1">
      <c r="A636" s="17">
        <v>634.0</v>
      </c>
      <c r="B636" s="20">
        <v>90.0</v>
      </c>
      <c r="C636" s="13" t="s">
        <v>5174</v>
      </c>
      <c r="D636" s="13" t="s">
        <v>5173</v>
      </c>
      <c r="E636" s="13" t="s">
        <v>10127</v>
      </c>
      <c r="F636" s="15"/>
      <c r="G636" s="15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22.5" customHeight="1">
      <c r="A637" s="11">
        <v>635.0</v>
      </c>
      <c r="B637" s="20">
        <v>90.0</v>
      </c>
      <c r="C637" s="13" t="s">
        <v>8920</v>
      </c>
      <c r="D637" s="13" t="s">
        <v>1675</v>
      </c>
      <c r="E637" s="13" t="s">
        <v>10128</v>
      </c>
      <c r="F637" s="14" t="s">
        <v>18</v>
      </c>
      <c r="G637" s="14" t="s">
        <v>18</v>
      </c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22.5" customHeight="1">
      <c r="A638" s="17">
        <v>636.0</v>
      </c>
      <c r="B638" s="20">
        <v>90.0</v>
      </c>
      <c r="C638" s="13" t="s">
        <v>9440</v>
      </c>
      <c r="D638" s="13" t="s">
        <v>3681</v>
      </c>
      <c r="E638" s="13" t="s">
        <v>9441</v>
      </c>
      <c r="F638" s="14" t="s">
        <v>18</v>
      </c>
      <c r="G638" s="15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22.5" customHeight="1">
      <c r="A639" s="11">
        <v>637.0</v>
      </c>
      <c r="B639" s="20">
        <v>90.0</v>
      </c>
      <c r="C639" s="13" t="s">
        <v>5574</v>
      </c>
      <c r="D639" s="13" t="s">
        <v>5573</v>
      </c>
      <c r="E639" s="13" t="s">
        <v>10129</v>
      </c>
      <c r="F639" s="15"/>
      <c r="G639" s="15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22.5" customHeight="1">
      <c r="A640" s="17">
        <v>638.0</v>
      </c>
      <c r="B640" s="20">
        <v>90.0</v>
      </c>
      <c r="C640" s="13" t="s">
        <v>5595</v>
      </c>
      <c r="D640" s="13" t="s">
        <v>5594</v>
      </c>
      <c r="E640" s="13" t="s">
        <v>9739</v>
      </c>
      <c r="F640" s="15"/>
      <c r="G640" s="15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22.5" customHeight="1">
      <c r="A641" s="11">
        <v>639.0</v>
      </c>
      <c r="B641" s="20">
        <v>90.0</v>
      </c>
      <c r="C641" s="13" t="s">
        <v>5500</v>
      </c>
      <c r="D641" s="13" t="s">
        <v>10130</v>
      </c>
      <c r="E641" s="13" t="s">
        <v>10131</v>
      </c>
      <c r="F641" s="15"/>
      <c r="G641" s="15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22.5" customHeight="1">
      <c r="A642" s="17">
        <v>640.0</v>
      </c>
      <c r="B642" s="20">
        <v>90.0</v>
      </c>
      <c r="C642" s="13" t="s">
        <v>6223</v>
      </c>
      <c r="D642" s="13" t="s">
        <v>6222</v>
      </c>
      <c r="E642" s="13" t="s">
        <v>10132</v>
      </c>
      <c r="F642" s="14" t="s">
        <v>18</v>
      </c>
      <c r="G642" s="15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22.5" customHeight="1">
      <c r="A643" s="11">
        <v>641.0</v>
      </c>
      <c r="B643" s="20">
        <v>90.0</v>
      </c>
      <c r="C643" s="13" t="s">
        <v>9638</v>
      </c>
      <c r="D643" s="13" t="s">
        <v>9639</v>
      </c>
      <c r="E643" s="13" t="s">
        <v>9640</v>
      </c>
      <c r="F643" s="15"/>
      <c r="G643" s="15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22.5" customHeight="1">
      <c r="A644" s="17">
        <v>642.0</v>
      </c>
      <c r="B644" s="20">
        <v>90.0</v>
      </c>
      <c r="C644" s="13" t="s">
        <v>10133</v>
      </c>
      <c r="D644" s="13" t="s">
        <v>10134</v>
      </c>
      <c r="E644" s="13" t="s">
        <v>10135</v>
      </c>
      <c r="F644" s="14" t="s">
        <v>18</v>
      </c>
      <c r="G644" s="15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22.5" customHeight="1">
      <c r="A645" s="11">
        <v>643.0</v>
      </c>
      <c r="B645" s="20">
        <v>90.0</v>
      </c>
      <c r="C645" s="13" t="s">
        <v>10136</v>
      </c>
      <c r="D645" s="13" t="s">
        <v>10137</v>
      </c>
      <c r="E645" s="13" t="s">
        <v>10138</v>
      </c>
      <c r="F645" s="15"/>
      <c r="G645" s="15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22.5" customHeight="1">
      <c r="A646" s="17">
        <v>644.0</v>
      </c>
      <c r="B646" s="20">
        <v>90.0</v>
      </c>
      <c r="C646" s="13" t="s">
        <v>10139</v>
      </c>
      <c r="D646" s="13" t="s">
        <v>10140</v>
      </c>
      <c r="E646" s="13" t="s">
        <v>10141</v>
      </c>
      <c r="F646" s="15"/>
      <c r="G646" s="15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22.5" customHeight="1">
      <c r="A647" s="11">
        <v>645.0</v>
      </c>
      <c r="B647" s="20">
        <v>90.0</v>
      </c>
      <c r="C647" s="13" t="s">
        <v>9814</v>
      </c>
      <c r="D647" s="13" t="s">
        <v>9815</v>
      </c>
      <c r="E647" s="13" t="s">
        <v>9816</v>
      </c>
      <c r="F647" s="15"/>
      <c r="G647" s="15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22.5" customHeight="1">
      <c r="A648" s="17">
        <v>646.0</v>
      </c>
      <c r="B648" s="20">
        <v>90.0</v>
      </c>
      <c r="C648" s="13" t="s">
        <v>10142</v>
      </c>
      <c r="D648" s="13" t="s">
        <v>10143</v>
      </c>
      <c r="E648" s="13" t="s">
        <v>10144</v>
      </c>
      <c r="F648" s="14" t="s">
        <v>18</v>
      </c>
      <c r="G648" s="15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22.5" customHeight="1">
      <c r="A649" s="11">
        <v>647.0</v>
      </c>
      <c r="B649" s="20">
        <v>90.0</v>
      </c>
      <c r="C649" s="13" t="s">
        <v>10145</v>
      </c>
      <c r="D649" s="13" t="s">
        <v>10146</v>
      </c>
      <c r="E649" s="13" t="s">
        <v>10147</v>
      </c>
      <c r="F649" s="15"/>
      <c r="G649" s="15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22.5" customHeight="1">
      <c r="A650" s="17">
        <v>648.0</v>
      </c>
      <c r="B650" s="20">
        <v>90.0</v>
      </c>
      <c r="C650" s="13" t="s">
        <v>10148</v>
      </c>
      <c r="D650" s="13" t="s">
        <v>1486</v>
      </c>
      <c r="E650" s="13" t="s">
        <v>2812</v>
      </c>
      <c r="F650" s="14" t="s">
        <v>18</v>
      </c>
      <c r="G650" s="15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22.5" customHeight="1">
      <c r="A651" s="11">
        <v>649.0</v>
      </c>
      <c r="B651" s="20">
        <v>90.0</v>
      </c>
      <c r="C651" s="13" t="s">
        <v>10149</v>
      </c>
      <c r="D651" s="13" t="s">
        <v>10150</v>
      </c>
      <c r="E651" s="13" t="s">
        <v>10151</v>
      </c>
      <c r="F651" s="14" t="s">
        <v>18</v>
      </c>
      <c r="G651" s="15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22.5" customHeight="1">
      <c r="A652" s="17">
        <v>650.0</v>
      </c>
      <c r="B652" s="20">
        <v>90.0</v>
      </c>
      <c r="C652" s="13" t="s">
        <v>10152</v>
      </c>
      <c r="D652" s="13" t="s">
        <v>10153</v>
      </c>
      <c r="E652" s="13" t="s">
        <v>10154</v>
      </c>
      <c r="F652" s="14" t="s">
        <v>18</v>
      </c>
      <c r="G652" s="15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22.5" customHeight="1">
      <c r="A653" s="11">
        <v>651.0</v>
      </c>
      <c r="B653" s="20">
        <v>90.0</v>
      </c>
      <c r="C653" s="13" t="s">
        <v>4714</v>
      </c>
      <c r="D653" s="13" t="s">
        <v>9051</v>
      </c>
      <c r="E653" s="13" t="s">
        <v>9697</v>
      </c>
      <c r="F653" s="14" t="s">
        <v>18</v>
      </c>
      <c r="G653" s="15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22.5" customHeight="1">
      <c r="A654" s="17">
        <v>652.0</v>
      </c>
      <c r="B654" s="20">
        <v>90.0</v>
      </c>
      <c r="C654" s="13" t="s">
        <v>8895</v>
      </c>
      <c r="D654" s="13" t="s">
        <v>8896</v>
      </c>
      <c r="E654" s="13" t="s">
        <v>8897</v>
      </c>
      <c r="F654" s="14" t="s">
        <v>18</v>
      </c>
      <c r="G654" s="15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22.5" customHeight="1">
      <c r="A655" s="11">
        <v>653.0</v>
      </c>
      <c r="B655" s="20">
        <v>90.0</v>
      </c>
      <c r="C655" s="13" t="s">
        <v>10155</v>
      </c>
      <c r="D655" s="13" t="s">
        <v>10156</v>
      </c>
      <c r="E655" s="13" t="s">
        <v>10157</v>
      </c>
      <c r="F655" s="14" t="s">
        <v>18</v>
      </c>
      <c r="G655" s="15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22.5" customHeight="1">
      <c r="A656" s="17">
        <v>654.0</v>
      </c>
      <c r="B656" s="20">
        <v>90.0</v>
      </c>
      <c r="C656" s="13" t="s">
        <v>10158</v>
      </c>
      <c r="D656" s="13" t="s">
        <v>10159</v>
      </c>
      <c r="E656" s="13" t="s">
        <v>10160</v>
      </c>
      <c r="F656" s="14" t="s">
        <v>18</v>
      </c>
      <c r="G656" s="15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22.5" customHeight="1">
      <c r="A657" s="11">
        <v>655.0</v>
      </c>
      <c r="B657" s="20">
        <v>90.0</v>
      </c>
      <c r="C657" s="13" t="s">
        <v>10161</v>
      </c>
      <c r="D657" s="13" t="s">
        <v>10162</v>
      </c>
      <c r="E657" s="13" t="s">
        <v>10163</v>
      </c>
      <c r="F657" s="14" t="s">
        <v>18</v>
      </c>
      <c r="G657" s="15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22.5" customHeight="1">
      <c r="A658" s="17">
        <v>656.0</v>
      </c>
      <c r="B658" s="20">
        <v>90.0</v>
      </c>
      <c r="C658" s="13" t="s">
        <v>10164</v>
      </c>
      <c r="D658" s="13" t="s">
        <v>10165</v>
      </c>
      <c r="E658" s="13" t="s">
        <v>10166</v>
      </c>
      <c r="F658" s="15"/>
      <c r="G658" s="15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22.5" customHeight="1">
      <c r="A659" s="11">
        <v>657.0</v>
      </c>
      <c r="B659" s="20">
        <v>90.0</v>
      </c>
      <c r="C659" s="13" t="s">
        <v>9536</v>
      </c>
      <c r="D659" s="13" t="s">
        <v>9537</v>
      </c>
      <c r="E659" s="13" t="s">
        <v>10167</v>
      </c>
      <c r="F659" s="15"/>
      <c r="G659" s="15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22.5" customHeight="1">
      <c r="A660" s="17">
        <v>658.0</v>
      </c>
      <c r="B660" s="20">
        <v>90.0</v>
      </c>
      <c r="C660" s="13" t="s">
        <v>5094</v>
      </c>
      <c r="D660" s="13" t="s">
        <v>3486</v>
      </c>
      <c r="E660" s="13" t="s">
        <v>10168</v>
      </c>
      <c r="F660" s="14" t="s">
        <v>18</v>
      </c>
      <c r="G660" s="15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22.5" customHeight="1">
      <c r="A661" s="11">
        <v>659.0</v>
      </c>
      <c r="B661" s="20">
        <v>90.0</v>
      </c>
      <c r="C661" s="13" t="s">
        <v>10169</v>
      </c>
      <c r="D661" s="13" t="s">
        <v>10170</v>
      </c>
      <c r="E661" s="13" t="s">
        <v>10171</v>
      </c>
      <c r="F661" s="15"/>
      <c r="G661" s="15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22.5" customHeight="1">
      <c r="A662" s="17">
        <v>660.0</v>
      </c>
      <c r="B662" s="20">
        <v>90.0</v>
      </c>
      <c r="C662" s="13" t="s">
        <v>10172</v>
      </c>
      <c r="D662" s="13" t="s">
        <v>2671</v>
      </c>
      <c r="E662" s="13" t="s">
        <v>2672</v>
      </c>
      <c r="F662" s="14" t="s">
        <v>18</v>
      </c>
      <c r="G662" s="15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22.5" customHeight="1">
      <c r="A663" s="11">
        <v>661.0</v>
      </c>
      <c r="B663" s="20">
        <v>87.0</v>
      </c>
      <c r="C663" s="13" t="s">
        <v>10055</v>
      </c>
      <c r="D663" s="13" t="s">
        <v>10056</v>
      </c>
      <c r="E663" s="13" t="s">
        <v>10057</v>
      </c>
      <c r="F663" s="15"/>
      <c r="G663" s="15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22.5" customHeight="1">
      <c r="A664" s="17">
        <v>662.0</v>
      </c>
      <c r="B664" s="20">
        <v>87.0</v>
      </c>
      <c r="C664" s="13" t="s">
        <v>10173</v>
      </c>
      <c r="D664" s="13" t="s">
        <v>3055</v>
      </c>
      <c r="E664" s="13" t="s">
        <v>10174</v>
      </c>
      <c r="F664" s="15"/>
      <c r="G664" s="15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22.5" customHeight="1">
      <c r="A665" s="11">
        <v>663.0</v>
      </c>
      <c r="B665" s="20">
        <v>87.0</v>
      </c>
      <c r="C665" s="13" t="s">
        <v>10175</v>
      </c>
      <c r="D665" s="13" t="s">
        <v>10176</v>
      </c>
      <c r="E665" s="13" t="s">
        <v>10177</v>
      </c>
      <c r="F665" s="15"/>
      <c r="G665" s="15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22.5" customHeight="1">
      <c r="A666" s="17">
        <v>664.0</v>
      </c>
      <c r="B666" s="20">
        <v>87.0</v>
      </c>
      <c r="C666" s="13" t="s">
        <v>10178</v>
      </c>
      <c r="D666" s="13" t="s">
        <v>10179</v>
      </c>
      <c r="E666" s="13" t="s">
        <v>10180</v>
      </c>
      <c r="F666" s="14" t="s">
        <v>18</v>
      </c>
      <c r="G666" s="15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22.5" customHeight="1">
      <c r="A667" s="11">
        <v>665.0</v>
      </c>
      <c r="B667" s="20">
        <v>87.0</v>
      </c>
      <c r="C667" s="13" t="s">
        <v>10181</v>
      </c>
      <c r="D667" s="13" t="s">
        <v>10182</v>
      </c>
      <c r="E667" s="13" t="s">
        <v>10183</v>
      </c>
      <c r="F667" s="14" t="s">
        <v>18</v>
      </c>
      <c r="G667" s="15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22.5" customHeight="1">
      <c r="A668" s="17">
        <v>666.0</v>
      </c>
      <c r="B668" s="20">
        <v>87.0</v>
      </c>
      <c r="C668" s="13" t="s">
        <v>10184</v>
      </c>
      <c r="D668" s="13" t="s">
        <v>10185</v>
      </c>
      <c r="E668" s="13" t="s">
        <v>10186</v>
      </c>
      <c r="F668" s="14" t="s">
        <v>18</v>
      </c>
      <c r="G668" s="15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22.5" customHeight="1">
      <c r="A669" s="11">
        <v>667.0</v>
      </c>
      <c r="B669" s="20">
        <v>87.0</v>
      </c>
      <c r="C669" s="13" t="s">
        <v>10187</v>
      </c>
      <c r="D669" s="13" t="s">
        <v>10188</v>
      </c>
      <c r="E669" s="13" t="s">
        <v>10189</v>
      </c>
      <c r="F669" s="14" t="s">
        <v>18</v>
      </c>
      <c r="G669" s="15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22.5" customHeight="1">
      <c r="A670" s="17">
        <v>668.0</v>
      </c>
      <c r="B670" s="20">
        <v>87.0</v>
      </c>
      <c r="C670" s="13" t="s">
        <v>10190</v>
      </c>
      <c r="D670" s="13" t="s">
        <v>10191</v>
      </c>
      <c r="E670" s="13" t="s">
        <v>10192</v>
      </c>
      <c r="F670" s="14" t="s">
        <v>18</v>
      </c>
      <c r="G670" s="15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22.5" customHeight="1">
      <c r="A671" s="11">
        <v>669.0</v>
      </c>
      <c r="B671" s="20">
        <v>87.0</v>
      </c>
      <c r="C671" s="13" t="s">
        <v>10193</v>
      </c>
      <c r="D671" s="13" t="s">
        <v>10194</v>
      </c>
      <c r="E671" s="13" t="s">
        <v>10195</v>
      </c>
      <c r="F671" s="14" t="s">
        <v>18</v>
      </c>
      <c r="G671" s="15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22.5" customHeight="1">
      <c r="A672" s="17">
        <v>670.0</v>
      </c>
      <c r="B672" s="20">
        <v>87.0</v>
      </c>
      <c r="C672" s="13" t="s">
        <v>10196</v>
      </c>
      <c r="D672" s="13" t="s">
        <v>10197</v>
      </c>
      <c r="E672" s="13" t="s">
        <v>10198</v>
      </c>
      <c r="F672" s="15"/>
      <c r="G672" s="15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22.5" customHeight="1">
      <c r="A673" s="11">
        <v>671.0</v>
      </c>
      <c r="B673" s="20">
        <v>87.0</v>
      </c>
      <c r="C673" s="13" t="s">
        <v>10199</v>
      </c>
      <c r="D673" s="13" t="s">
        <v>10200</v>
      </c>
      <c r="E673" s="13" t="s">
        <v>10201</v>
      </c>
      <c r="F673" s="14" t="s">
        <v>18</v>
      </c>
      <c r="G673" s="15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22.5" customHeight="1">
      <c r="A674" s="17">
        <v>672.0</v>
      </c>
      <c r="B674" s="20">
        <v>87.0</v>
      </c>
      <c r="C674" s="13" t="s">
        <v>10202</v>
      </c>
      <c r="D674" s="13" t="s">
        <v>10203</v>
      </c>
      <c r="E674" s="13" t="s">
        <v>10204</v>
      </c>
      <c r="F674" s="15"/>
      <c r="G674" s="15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22.5" customHeight="1">
      <c r="A675" s="11">
        <v>673.0</v>
      </c>
      <c r="B675" s="20">
        <v>87.0</v>
      </c>
      <c r="C675" s="13" t="s">
        <v>10205</v>
      </c>
      <c r="D675" s="13" t="s">
        <v>10206</v>
      </c>
      <c r="E675" s="13" t="s">
        <v>10207</v>
      </c>
      <c r="F675" s="14" t="s">
        <v>18</v>
      </c>
      <c r="G675" s="15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22.5" customHeight="1">
      <c r="A676" s="17">
        <v>674.0</v>
      </c>
      <c r="B676" s="20">
        <v>87.0</v>
      </c>
      <c r="C676" s="13" t="s">
        <v>10208</v>
      </c>
      <c r="D676" s="13" t="s">
        <v>10209</v>
      </c>
      <c r="E676" s="13" t="s">
        <v>10210</v>
      </c>
      <c r="F676" s="15"/>
      <c r="G676" s="15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22.5" customHeight="1">
      <c r="A677" s="11">
        <v>675.0</v>
      </c>
      <c r="B677" s="20">
        <v>87.0</v>
      </c>
      <c r="C677" s="13" t="s">
        <v>5057</v>
      </c>
      <c r="D677" s="13" t="s">
        <v>1643</v>
      </c>
      <c r="E677" s="13" t="s">
        <v>3364</v>
      </c>
      <c r="F677" s="14" t="s">
        <v>18</v>
      </c>
      <c r="G677" s="15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22.5" customHeight="1">
      <c r="A678" s="17">
        <v>676.0</v>
      </c>
      <c r="B678" s="20">
        <v>87.0</v>
      </c>
      <c r="C678" s="13" t="s">
        <v>10211</v>
      </c>
      <c r="D678" s="13" t="s">
        <v>10212</v>
      </c>
      <c r="E678" s="13" t="s">
        <v>10213</v>
      </c>
      <c r="F678" s="14" t="s">
        <v>18</v>
      </c>
      <c r="G678" s="15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22.5" customHeight="1">
      <c r="A679" s="11">
        <v>677.0</v>
      </c>
      <c r="B679" s="20">
        <v>87.0</v>
      </c>
      <c r="C679" s="13" t="s">
        <v>10214</v>
      </c>
      <c r="D679" s="13" t="s">
        <v>10215</v>
      </c>
      <c r="E679" s="13" t="s">
        <v>10216</v>
      </c>
      <c r="F679" s="14" t="s">
        <v>18</v>
      </c>
      <c r="G679" s="15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22.5" customHeight="1">
      <c r="A680" s="17">
        <v>678.0</v>
      </c>
      <c r="B680" s="20">
        <v>87.0</v>
      </c>
      <c r="C680" s="13" t="s">
        <v>10217</v>
      </c>
      <c r="D680" s="13" t="s">
        <v>10218</v>
      </c>
      <c r="E680" s="13" t="s">
        <v>10219</v>
      </c>
      <c r="F680" s="14" t="s">
        <v>18</v>
      </c>
      <c r="G680" s="15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22.5" customHeight="1">
      <c r="A681" s="11">
        <v>679.0</v>
      </c>
      <c r="B681" s="20">
        <v>87.0</v>
      </c>
      <c r="C681" s="13" t="s">
        <v>10220</v>
      </c>
      <c r="D681" s="13" t="s">
        <v>10221</v>
      </c>
      <c r="E681" s="13" t="s">
        <v>10222</v>
      </c>
      <c r="F681" s="14" t="s">
        <v>18</v>
      </c>
      <c r="G681" s="15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22.5" customHeight="1">
      <c r="A682" s="17">
        <v>680.0</v>
      </c>
      <c r="B682" s="20">
        <v>87.0</v>
      </c>
      <c r="C682" s="13" t="s">
        <v>10223</v>
      </c>
      <c r="D682" s="13" t="s">
        <v>10224</v>
      </c>
      <c r="E682" s="13" t="s">
        <v>10225</v>
      </c>
      <c r="F682" s="15"/>
      <c r="G682" s="15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22.5" customHeight="1">
      <c r="A683" s="11">
        <v>681.0</v>
      </c>
      <c r="B683" s="20">
        <v>87.0</v>
      </c>
      <c r="C683" s="13" t="s">
        <v>9718</v>
      </c>
      <c r="D683" s="13" t="s">
        <v>9719</v>
      </c>
      <c r="E683" s="13" t="s">
        <v>9720</v>
      </c>
      <c r="F683" s="15"/>
      <c r="G683" s="15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22.5" customHeight="1">
      <c r="A684" s="17">
        <v>682.0</v>
      </c>
      <c r="B684" s="20">
        <v>87.0</v>
      </c>
      <c r="C684" s="13" t="s">
        <v>10226</v>
      </c>
      <c r="D684" s="13" t="s">
        <v>10227</v>
      </c>
      <c r="E684" s="13" t="s">
        <v>10228</v>
      </c>
      <c r="F684" s="14" t="s">
        <v>18</v>
      </c>
      <c r="G684" s="15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22.5" customHeight="1">
      <c r="A685" s="11">
        <v>683.0</v>
      </c>
      <c r="B685" s="20">
        <v>87.0</v>
      </c>
      <c r="C685" s="13" t="s">
        <v>10229</v>
      </c>
      <c r="D685" s="13" t="s">
        <v>10230</v>
      </c>
      <c r="E685" s="13" t="s">
        <v>10231</v>
      </c>
      <c r="F685" s="15"/>
      <c r="G685" s="15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22.5" customHeight="1">
      <c r="A686" s="17">
        <v>684.0</v>
      </c>
      <c r="B686" s="20">
        <v>87.0</v>
      </c>
      <c r="C686" s="13" t="s">
        <v>10232</v>
      </c>
      <c r="D686" s="13" t="s">
        <v>10233</v>
      </c>
      <c r="E686" s="13" t="s">
        <v>10234</v>
      </c>
      <c r="F686" s="15"/>
      <c r="G686" s="15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22.5" customHeight="1">
      <c r="A687" s="11">
        <v>685.0</v>
      </c>
      <c r="B687" s="20">
        <v>87.0</v>
      </c>
      <c r="C687" s="13" t="s">
        <v>10235</v>
      </c>
      <c r="D687" s="13" t="s">
        <v>10236</v>
      </c>
      <c r="E687" s="13" t="s">
        <v>10237</v>
      </c>
      <c r="F687" s="15"/>
      <c r="G687" s="15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22.5" customHeight="1">
      <c r="A688" s="17">
        <v>686.0</v>
      </c>
      <c r="B688" s="20">
        <v>87.0</v>
      </c>
      <c r="C688" s="13" t="s">
        <v>10238</v>
      </c>
      <c r="D688" s="13" t="s">
        <v>10239</v>
      </c>
      <c r="E688" s="13" t="s">
        <v>10240</v>
      </c>
      <c r="F688" s="14" t="s">
        <v>18</v>
      </c>
      <c r="G688" s="15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22.5" customHeight="1">
      <c r="A689" s="11">
        <v>687.0</v>
      </c>
      <c r="B689" s="20">
        <v>87.0</v>
      </c>
      <c r="C689" s="13" t="s">
        <v>10241</v>
      </c>
      <c r="D689" s="13" t="s">
        <v>10242</v>
      </c>
      <c r="E689" s="13" t="s">
        <v>10243</v>
      </c>
      <c r="F689" s="14" t="s">
        <v>18</v>
      </c>
      <c r="G689" s="15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22.5" customHeight="1">
      <c r="A690" s="17">
        <v>688.0</v>
      </c>
      <c r="B690" s="20">
        <v>87.0</v>
      </c>
      <c r="C690" s="13" t="s">
        <v>10244</v>
      </c>
      <c r="D690" s="13" t="s">
        <v>10245</v>
      </c>
      <c r="E690" s="13" t="s">
        <v>10246</v>
      </c>
      <c r="F690" s="14" t="s">
        <v>18</v>
      </c>
      <c r="G690" s="15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22.5" customHeight="1">
      <c r="A691" s="11">
        <v>689.0</v>
      </c>
      <c r="B691" s="20">
        <v>87.0</v>
      </c>
      <c r="C691" s="13" t="s">
        <v>6</v>
      </c>
      <c r="D691" s="13" t="s">
        <v>10247</v>
      </c>
      <c r="E691" s="13" t="s">
        <v>10248</v>
      </c>
      <c r="F691" s="14" t="s">
        <v>18</v>
      </c>
      <c r="G691" s="15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22.5" customHeight="1">
      <c r="A692" s="17">
        <v>690.0</v>
      </c>
      <c r="B692" s="20">
        <v>87.0</v>
      </c>
      <c r="C692" s="13" t="s">
        <v>10249</v>
      </c>
      <c r="D692" s="13" t="s">
        <v>10250</v>
      </c>
      <c r="E692" s="13" t="s">
        <v>10251</v>
      </c>
      <c r="F692" s="14" t="s">
        <v>18</v>
      </c>
      <c r="G692" s="15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22.5" customHeight="1">
      <c r="A693" s="11">
        <v>691.0</v>
      </c>
      <c r="B693" s="20">
        <v>86.0</v>
      </c>
      <c r="C693" s="13" t="s">
        <v>10252</v>
      </c>
      <c r="D693" s="13" t="s">
        <v>10253</v>
      </c>
      <c r="E693" s="13" t="s">
        <v>10254</v>
      </c>
      <c r="F693" s="15"/>
      <c r="G693" s="15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22.5" customHeight="1">
      <c r="A694" s="17">
        <v>692.0</v>
      </c>
      <c r="B694" s="20">
        <v>86.0</v>
      </c>
      <c r="C694" s="13" t="s">
        <v>5667</v>
      </c>
      <c r="D694" s="13" t="s">
        <v>5666</v>
      </c>
      <c r="E694" s="13" t="s">
        <v>9704</v>
      </c>
      <c r="F694" s="15"/>
      <c r="G694" s="15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22.5" customHeight="1">
      <c r="A695" s="11">
        <v>693.0</v>
      </c>
      <c r="B695" s="20">
        <v>86.0</v>
      </c>
      <c r="C695" s="13" t="s">
        <v>5847</v>
      </c>
      <c r="D695" s="13" t="s">
        <v>5846</v>
      </c>
      <c r="E695" s="13" t="s">
        <v>10255</v>
      </c>
      <c r="F695" s="15"/>
      <c r="G695" s="15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22.5" customHeight="1">
      <c r="A696" s="17">
        <v>694.0</v>
      </c>
      <c r="B696" s="20">
        <v>86.0</v>
      </c>
      <c r="C696" s="13" t="s">
        <v>5620</v>
      </c>
      <c r="D696" s="13" t="s">
        <v>5619</v>
      </c>
      <c r="E696" s="13" t="s">
        <v>9714</v>
      </c>
      <c r="F696" s="15"/>
      <c r="G696" s="15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22.5" customHeight="1">
      <c r="A697" s="11">
        <v>695.0</v>
      </c>
      <c r="B697" s="20">
        <v>86.0</v>
      </c>
      <c r="C697" s="13" t="s">
        <v>10256</v>
      </c>
      <c r="D697" s="13" t="s">
        <v>10257</v>
      </c>
      <c r="E697" s="13" t="s">
        <v>10258</v>
      </c>
      <c r="F697" s="14" t="s">
        <v>18</v>
      </c>
      <c r="G697" s="15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22.5" customHeight="1">
      <c r="A698" s="17">
        <v>696.0</v>
      </c>
      <c r="B698" s="20">
        <v>86.0</v>
      </c>
      <c r="C698" s="13" t="s">
        <v>10259</v>
      </c>
      <c r="D698" s="13" t="s">
        <v>10260</v>
      </c>
      <c r="E698" s="13" t="s">
        <v>10261</v>
      </c>
      <c r="F698" s="14" t="s">
        <v>18</v>
      </c>
      <c r="G698" s="15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22.5" customHeight="1">
      <c r="A699" s="11">
        <v>697.0</v>
      </c>
      <c r="B699" s="20">
        <v>86.0</v>
      </c>
      <c r="C699" s="13" t="s">
        <v>6217</v>
      </c>
      <c r="D699" s="13" t="s">
        <v>6216</v>
      </c>
      <c r="E699" s="13" t="s">
        <v>10262</v>
      </c>
      <c r="F699" s="14" t="s">
        <v>18</v>
      </c>
      <c r="G699" s="15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22.5" customHeight="1">
      <c r="A700" s="17">
        <v>698.0</v>
      </c>
      <c r="B700" s="20">
        <v>86.0</v>
      </c>
      <c r="C700" s="13" t="s">
        <v>10263</v>
      </c>
      <c r="D700" s="13" t="s">
        <v>10264</v>
      </c>
      <c r="E700" s="13" t="s">
        <v>10265</v>
      </c>
      <c r="F700" s="15"/>
      <c r="G700" s="15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22.5" customHeight="1">
      <c r="A701" s="11">
        <v>699.0</v>
      </c>
      <c r="B701" s="20">
        <v>86.0</v>
      </c>
      <c r="C701" s="13" t="s">
        <v>10266</v>
      </c>
      <c r="D701" s="13" t="s">
        <v>10267</v>
      </c>
      <c r="E701" s="13" t="s">
        <v>10268</v>
      </c>
      <c r="F701" s="15"/>
      <c r="G701" s="15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22.5" customHeight="1">
      <c r="A702" s="17">
        <v>700.0</v>
      </c>
      <c r="B702" s="20">
        <v>86.0</v>
      </c>
      <c r="C702" s="13" t="s">
        <v>10269</v>
      </c>
      <c r="D702" s="13" t="s">
        <v>10270</v>
      </c>
      <c r="E702" s="13" t="s">
        <v>10271</v>
      </c>
      <c r="F702" s="14" t="s">
        <v>18</v>
      </c>
      <c r="G702" s="15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22.5" customHeight="1">
      <c r="A703" s="11">
        <v>701.0</v>
      </c>
      <c r="B703" s="20">
        <v>86.0</v>
      </c>
      <c r="C703" s="13" t="s">
        <v>9849</v>
      </c>
      <c r="D703" s="13" t="s">
        <v>9850</v>
      </c>
      <c r="E703" s="13" t="s">
        <v>9851</v>
      </c>
      <c r="F703" s="14" t="s">
        <v>18</v>
      </c>
      <c r="G703" s="15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22.5" customHeight="1">
      <c r="A704" s="17">
        <v>702.0</v>
      </c>
      <c r="B704" s="20">
        <v>86.0</v>
      </c>
      <c r="C704" s="13" t="s">
        <v>10272</v>
      </c>
      <c r="D704" s="13" t="s">
        <v>10273</v>
      </c>
      <c r="E704" s="13" t="s">
        <v>10274</v>
      </c>
      <c r="F704" s="14" t="s">
        <v>18</v>
      </c>
      <c r="G704" s="15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22.5" customHeight="1">
      <c r="A705" s="11">
        <v>703.0</v>
      </c>
      <c r="B705" s="20">
        <v>86.0</v>
      </c>
      <c r="C705" s="13" t="s">
        <v>10275</v>
      </c>
      <c r="D705" s="13" t="s">
        <v>10276</v>
      </c>
      <c r="E705" s="13" t="s">
        <v>10277</v>
      </c>
      <c r="F705" s="14" t="s">
        <v>18</v>
      </c>
      <c r="G705" s="15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22.5" customHeight="1">
      <c r="A706" s="17">
        <v>704.0</v>
      </c>
      <c r="B706" s="20">
        <v>86.0</v>
      </c>
      <c r="C706" s="13" t="s">
        <v>10278</v>
      </c>
      <c r="D706" s="13" t="s">
        <v>10279</v>
      </c>
      <c r="E706" s="13" t="s">
        <v>10280</v>
      </c>
      <c r="F706" s="14" t="s">
        <v>18</v>
      </c>
      <c r="G706" s="15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22.5" customHeight="1">
      <c r="A707" s="11">
        <v>705.0</v>
      </c>
      <c r="B707" s="20">
        <v>86.0</v>
      </c>
      <c r="C707" s="13" t="s">
        <v>4475</v>
      </c>
      <c r="D707" s="13" t="s">
        <v>4474</v>
      </c>
      <c r="E707" s="13" t="s">
        <v>10281</v>
      </c>
      <c r="F707" s="15"/>
      <c r="G707" s="15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22.5" customHeight="1">
      <c r="A708" s="17">
        <v>706.0</v>
      </c>
      <c r="B708" s="20">
        <v>86.0</v>
      </c>
      <c r="C708" s="13" t="s">
        <v>10282</v>
      </c>
      <c r="D708" s="13" t="s">
        <v>10283</v>
      </c>
      <c r="E708" s="13" t="s">
        <v>10284</v>
      </c>
      <c r="F708" s="14" t="s">
        <v>18</v>
      </c>
      <c r="G708" s="15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22.5" customHeight="1">
      <c r="A709" s="11">
        <v>707.0</v>
      </c>
      <c r="B709" s="20">
        <v>86.0</v>
      </c>
      <c r="C709" s="13" t="s">
        <v>10285</v>
      </c>
      <c r="D709" s="13" t="s">
        <v>10286</v>
      </c>
      <c r="E709" s="13" t="s">
        <v>10287</v>
      </c>
      <c r="F709" s="14" t="s">
        <v>18</v>
      </c>
      <c r="G709" s="15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22.5" customHeight="1">
      <c r="A710" s="17">
        <v>708.0</v>
      </c>
      <c r="B710" s="20">
        <v>86.0</v>
      </c>
      <c r="C710" s="13" t="s">
        <v>10288</v>
      </c>
      <c r="D710" s="13" t="s">
        <v>10289</v>
      </c>
      <c r="E710" s="13" t="s">
        <v>10290</v>
      </c>
      <c r="F710" s="15"/>
      <c r="G710" s="15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22.5" customHeight="1">
      <c r="A711" s="11">
        <v>709.0</v>
      </c>
      <c r="B711" s="20">
        <v>86.0</v>
      </c>
      <c r="C711" s="13" t="s">
        <v>10291</v>
      </c>
      <c r="D711" s="13" t="s">
        <v>10292</v>
      </c>
      <c r="E711" s="13" t="s">
        <v>10293</v>
      </c>
      <c r="F711" s="14" t="s">
        <v>18</v>
      </c>
      <c r="G711" s="15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22.5" customHeight="1">
      <c r="A712" s="17">
        <v>710.0</v>
      </c>
      <c r="B712" s="20">
        <v>86.0</v>
      </c>
      <c r="C712" s="13" t="s">
        <v>4563</v>
      </c>
      <c r="D712" s="13" t="s">
        <v>4562</v>
      </c>
      <c r="E712" s="13" t="s">
        <v>9387</v>
      </c>
      <c r="F712" s="14" t="s">
        <v>18</v>
      </c>
      <c r="G712" s="15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22.5" customHeight="1">
      <c r="A713" s="11">
        <v>711.0</v>
      </c>
      <c r="B713" s="20">
        <v>86.0</v>
      </c>
      <c r="C713" s="13" t="s">
        <v>5985</v>
      </c>
      <c r="D713" s="13" t="s">
        <v>1849</v>
      </c>
      <c r="E713" s="13" t="s">
        <v>2011</v>
      </c>
      <c r="F713" s="15"/>
      <c r="G713" s="15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22.5" customHeight="1">
      <c r="A714" s="17">
        <v>712.0</v>
      </c>
      <c r="B714" s="20">
        <v>86.0</v>
      </c>
      <c r="C714" s="13" t="s">
        <v>10294</v>
      </c>
      <c r="D714" s="13" t="s">
        <v>10295</v>
      </c>
      <c r="E714" s="13" t="s">
        <v>10296</v>
      </c>
      <c r="F714" s="15"/>
      <c r="G714" s="15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22.5" customHeight="1">
      <c r="A715" s="11">
        <v>713.0</v>
      </c>
      <c r="B715" s="20">
        <v>86.0</v>
      </c>
      <c r="C715" s="13" t="s">
        <v>10297</v>
      </c>
      <c r="D715" s="13" t="s">
        <v>10298</v>
      </c>
      <c r="E715" s="13" t="s">
        <v>10299</v>
      </c>
      <c r="F715" s="14" t="s">
        <v>18</v>
      </c>
      <c r="G715" s="15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22.5" customHeight="1">
      <c r="A716" s="17">
        <v>714.0</v>
      </c>
      <c r="B716" s="20">
        <v>86.0</v>
      </c>
      <c r="C716" s="13" t="s">
        <v>10300</v>
      </c>
      <c r="D716" s="13" t="s">
        <v>10301</v>
      </c>
      <c r="E716" s="13" t="s">
        <v>10302</v>
      </c>
      <c r="F716" s="14" t="s">
        <v>18</v>
      </c>
      <c r="G716" s="15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22.5" customHeight="1">
      <c r="A717" s="11">
        <v>715.0</v>
      </c>
      <c r="B717" s="20">
        <v>86.0</v>
      </c>
      <c r="C717" s="13" t="s">
        <v>10303</v>
      </c>
      <c r="D717" s="13" t="s">
        <v>10304</v>
      </c>
      <c r="E717" s="13" t="s">
        <v>10305</v>
      </c>
      <c r="F717" s="15"/>
      <c r="G717" s="15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22.5" customHeight="1">
      <c r="A718" s="17">
        <v>716.0</v>
      </c>
      <c r="B718" s="20">
        <v>86.0</v>
      </c>
      <c r="C718" s="13" t="s">
        <v>10306</v>
      </c>
      <c r="D718" s="13" t="s">
        <v>10307</v>
      </c>
      <c r="E718" s="13" t="s">
        <v>10308</v>
      </c>
      <c r="F718" s="15"/>
      <c r="G718" s="15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22.5" customHeight="1">
      <c r="A719" s="11">
        <v>717.0</v>
      </c>
      <c r="B719" s="20">
        <v>86.0</v>
      </c>
      <c r="C719" s="13" t="s">
        <v>10309</v>
      </c>
      <c r="D719" s="13" t="s">
        <v>10310</v>
      </c>
      <c r="E719" s="13" t="s">
        <v>10311</v>
      </c>
      <c r="F719" s="15"/>
      <c r="G719" s="15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22.5" customHeight="1">
      <c r="A720" s="17">
        <v>718.0</v>
      </c>
      <c r="B720" s="20">
        <v>86.0</v>
      </c>
      <c r="C720" s="13" t="s">
        <v>10312</v>
      </c>
      <c r="D720" s="13" t="s">
        <v>10313</v>
      </c>
      <c r="E720" s="13" t="s">
        <v>10314</v>
      </c>
      <c r="F720" s="14" t="s">
        <v>18</v>
      </c>
      <c r="G720" s="15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22.5" customHeight="1">
      <c r="A721" s="11">
        <v>719.0</v>
      </c>
      <c r="B721" s="20">
        <v>86.0</v>
      </c>
      <c r="C721" s="13" t="s">
        <v>10315</v>
      </c>
      <c r="D721" s="13" t="s">
        <v>10316</v>
      </c>
      <c r="E721" s="13" t="s">
        <v>10317</v>
      </c>
      <c r="F721" s="14" t="s">
        <v>18</v>
      </c>
      <c r="G721" s="15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22.5" customHeight="1">
      <c r="A722" s="17">
        <v>720.0</v>
      </c>
      <c r="B722" s="20">
        <v>86.0</v>
      </c>
      <c r="C722" s="13" t="s">
        <v>10318</v>
      </c>
      <c r="D722" s="13" t="s">
        <v>10319</v>
      </c>
      <c r="E722" s="13" t="s">
        <v>10320</v>
      </c>
      <c r="F722" s="15"/>
      <c r="G722" s="15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22.5" customHeight="1">
      <c r="A723" s="11">
        <v>721.0</v>
      </c>
      <c r="B723" s="20">
        <v>85.0</v>
      </c>
      <c r="C723" s="13" t="s">
        <v>10321</v>
      </c>
      <c r="D723" s="13" t="s">
        <v>10322</v>
      </c>
      <c r="E723" s="13" t="s">
        <v>10323</v>
      </c>
      <c r="F723" s="14" t="s">
        <v>18</v>
      </c>
      <c r="G723" s="15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22.5" customHeight="1">
      <c r="A724" s="17">
        <v>722.0</v>
      </c>
      <c r="B724" s="20">
        <v>85.0</v>
      </c>
      <c r="C724" s="13" t="s">
        <v>9915</v>
      </c>
      <c r="D724" s="13" t="s">
        <v>10324</v>
      </c>
      <c r="E724" s="13" t="s">
        <v>9917</v>
      </c>
      <c r="F724" s="15"/>
      <c r="G724" s="15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22.5" customHeight="1">
      <c r="A725" s="11">
        <v>723.0</v>
      </c>
      <c r="B725" s="20">
        <v>85.0</v>
      </c>
      <c r="C725" s="13" t="s">
        <v>10325</v>
      </c>
      <c r="D725" s="13" t="s">
        <v>10326</v>
      </c>
      <c r="E725" s="13" t="s">
        <v>10327</v>
      </c>
      <c r="F725" s="14" t="s">
        <v>18</v>
      </c>
      <c r="G725" s="15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22.5" customHeight="1">
      <c r="A726" s="17">
        <v>724.0</v>
      </c>
      <c r="B726" s="20">
        <v>85.0</v>
      </c>
      <c r="C726" s="13" t="s">
        <v>10328</v>
      </c>
      <c r="D726" s="13" t="s">
        <v>10329</v>
      </c>
      <c r="E726" s="13" t="s">
        <v>10330</v>
      </c>
      <c r="F726" s="15"/>
      <c r="G726" s="15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22.5" customHeight="1">
      <c r="A727" s="11">
        <v>725.0</v>
      </c>
      <c r="B727" s="20">
        <v>85.0</v>
      </c>
      <c r="C727" s="13" t="s">
        <v>6122</v>
      </c>
      <c r="D727" s="13" t="s">
        <v>6121</v>
      </c>
      <c r="E727" s="13" t="s">
        <v>10331</v>
      </c>
      <c r="F727" s="14" t="s">
        <v>18</v>
      </c>
      <c r="G727" s="15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22.5" customHeight="1">
      <c r="A728" s="17">
        <v>726.0</v>
      </c>
      <c r="B728" s="20">
        <v>85.0</v>
      </c>
      <c r="C728" s="13" t="s">
        <v>10332</v>
      </c>
      <c r="D728" s="13" t="s">
        <v>10333</v>
      </c>
      <c r="E728" s="13" t="s">
        <v>10334</v>
      </c>
      <c r="F728" s="15"/>
      <c r="G728" s="15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22.5" customHeight="1">
      <c r="A729" s="11">
        <v>727.0</v>
      </c>
      <c r="B729" s="20">
        <v>85.0</v>
      </c>
      <c r="C729" s="13" t="s">
        <v>10335</v>
      </c>
      <c r="D729" s="13" t="s">
        <v>1511</v>
      </c>
      <c r="E729" s="13" t="s">
        <v>10336</v>
      </c>
      <c r="F729" s="15"/>
      <c r="G729" s="15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22.5" customHeight="1">
      <c r="A730" s="17">
        <v>728.0</v>
      </c>
      <c r="B730" s="20">
        <v>85.0</v>
      </c>
      <c r="C730" s="13" t="s">
        <v>10337</v>
      </c>
      <c r="D730" s="13" t="s">
        <v>10338</v>
      </c>
      <c r="E730" s="13" t="s">
        <v>10339</v>
      </c>
      <c r="F730" s="14" t="s">
        <v>18</v>
      </c>
      <c r="G730" s="15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22.5" customHeight="1">
      <c r="A731" s="11">
        <v>729.0</v>
      </c>
      <c r="B731" s="20">
        <v>85.0</v>
      </c>
      <c r="C731" s="13" t="s">
        <v>10340</v>
      </c>
      <c r="D731" s="13" t="s">
        <v>10341</v>
      </c>
      <c r="E731" s="13" t="s">
        <v>10342</v>
      </c>
      <c r="F731" s="14" t="s">
        <v>18</v>
      </c>
      <c r="G731" s="15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22.5" customHeight="1">
      <c r="A732" s="17">
        <v>730.0</v>
      </c>
      <c r="B732" s="20">
        <v>85.0</v>
      </c>
      <c r="C732" s="13" t="s">
        <v>10343</v>
      </c>
      <c r="D732" s="13" t="s">
        <v>10344</v>
      </c>
      <c r="E732" s="13" t="s">
        <v>10345</v>
      </c>
      <c r="F732" s="14" t="s">
        <v>18</v>
      </c>
      <c r="G732" s="15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22.5" customHeight="1">
      <c r="A733" s="11">
        <v>731.0</v>
      </c>
      <c r="B733" s="20">
        <v>85.0</v>
      </c>
      <c r="C733" s="13" t="s">
        <v>10346</v>
      </c>
      <c r="D733" s="13" t="s">
        <v>1539</v>
      </c>
      <c r="E733" s="13" t="s">
        <v>2354</v>
      </c>
      <c r="F733" s="14" t="s">
        <v>18</v>
      </c>
      <c r="G733" s="15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22.5" customHeight="1">
      <c r="A734" s="17">
        <v>732.0</v>
      </c>
      <c r="B734" s="20">
        <v>85.0</v>
      </c>
      <c r="C734" s="13" t="s">
        <v>8774</v>
      </c>
      <c r="D734" s="13" t="s">
        <v>8775</v>
      </c>
      <c r="E734" s="13" t="s">
        <v>9383</v>
      </c>
      <c r="F734" s="15"/>
      <c r="G734" s="15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22.5" customHeight="1">
      <c r="A735" s="11">
        <v>733.0</v>
      </c>
      <c r="B735" s="20">
        <v>85.0</v>
      </c>
      <c r="C735" s="13" t="s">
        <v>10347</v>
      </c>
      <c r="D735" s="13" t="s">
        <v>10348</v>
      </c>
      <c r="E735" s="13" t="s">
        <v>10349</v>
      </c>
      <c r="F735" s="15"/>
      <c r="G735" s="15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22.5" customHeight="1">
      <c r="A736" s="17">
        <v>734.0</v>
      </c>
      <c r="B736" s="20">
        <v>85.0</v>
      </c>
      <c r="C736" s="13" t="s">
        <v>10350</v>
      </c>
      <c r="D736" s="13" t="s">
        <v>10351</v>
      </c>
      <c r="E736" s="13" t="s">
        <v>10352</v>
      </c>
      <c r="F736" s="14" t="s">
        <v>18</v>
      </c>
      <c r="G736" s="15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22.5" customHeight="1">
      <c r="A737" s="11">
        <v>735.0</v>
      </c>
      <c r="B737" s="20">
        <v>85.0</v>
      </c>
      <c r="C737" s="13" t="s">
        <v>10353</v>
      </c>
      <c r="D737" s="13" t="s">
        <v>10354</v>
      </c>
      <c r="E737" s="13" t="s">
        <v>10355</v>
      </c>
      <c r="F737" s="14" t="s">
        <v>18</v>
      </c>
      <c r="G737" s="15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22.5" customHeight="1">
      <c r="A738" s="17">
        <v>736.0</v>
      </c>
      <c r="B738" s="20">
        <v>85.0</v>
      </c>
      <c r="C738" s="13" t="s">
        <v>10356</v>
      </c>
      <c r="D738" s="13" t="s">
        <v>10357</v>
      </c>
      <c r="E738" s="13" t="s">
        <v>10358</v>
      </c>
      <c r="F738" s="15"/>
      <c r="G738" s="15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22.5" customHeight="1">
      <c r="A739" s="11">
        <v>737.0</v>
      </c>
      <c r="B739" s="20">
        <v>85.0</v>
      </c>
      <c r="C739" s="13" t="s">
        <v>5500</v>
      </c>
      <c r="D739" s="13" t="s">
        <v>5499</v>
      </c>
      <c r="E739" s="13" t="s">
        <v>9037</v>
      </c>
      <c r="F739" s="15"/>
      <c r="G739" s="15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22.5" customHeight="1">
      <c r="A740" s="17">
        <v>738.0</v>
      </c>
      <c r="B740" s="20">
        <v>85.0</v>
      </c>
      <c r="C740" s="13" t="s">
        <v>8762</v>
      </c>
      <c r="D740" s="13" t="s">
        <v>8763</v>
      </c>
      <c r="E740" s="13" t="s">
        <v>8764</v>
      </c>
      <c r="F740" s="15"/>
      <c r="G740" s="15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22.5" customHeight="1">
      <c r="A741" s="11">
        <v>739.0</v>
      </c>
      <c r="B741" s="20">
        <v>85.0</v>
      </c>
      <c r="C741" s="13" t="s">
        <v>5518</v>
      </c>
      <c r="D741" s="13" t="s">
        <v>2094</v>
      </c>
      <c r="E741" s="13" t="s">
        <v>2095</v>
      </c>
      <c r="F741" s="15"/>
      <c r="G741" s="15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22.5" customHeight="1">
      <c r="A742" s="17">
        <v>740.0</v>
      </c>
      <c r="B742" s="20">
        <v>85.0</v>
      </c>
      <c r="C742" s="13" t="s">
        <v>9012</v>
      </c>
      <c r="D742" s="13" t="s">
        <v>3296</v>
      </c>
      <c r="E742" s="13" t="s">
        <v>3297</v>
      </c>
      <c r="F742" s="14" t="s">
        <v>18</v>
      </c>
      <c r="G742" s="15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22.5" customHeight="1">
      <c r="A743" s="11">
        <v>741.0</v>
      </c>
      <c r="B743" s="20">
        <v>85.0</v>
      </c>
      <c r="C743" s="13" t="s">
        <v>10111</v>
      </c>
      <c r="D743" s="13" t="s">
        <v>10359</v>
      </c>
      <c r="E743" s="13" t="s">
        <v>10113</v>
      </c>
      <c r="F743" s="15"/>
      <c r="G743" s="15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22.5" customHeight="1">
      <c r="A744" s="17">
        <v>742.0</v>
      </c>
      <c r="B744" s="20">
        <v>85.0</v>
      </c>
      <c r="C744" s="13" t="s">
        <v>9024</v>
      </c>
      <c r="D744" s="13" t="s">
        <v>9025</v>
      </c>
      <c r="E744" s="13" t="s">
        <v>9026</v>
      </c>
      <c r="F744" s="15"/>
      <c r="G744" s="15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22.5" customHeight="1">
      <c r="A745" s="11">
        <v>743.0</v>
      </c>
      <c r="B745" s="20">
        <v>85.0</v>
      </c>
      <c r="C745" s="13" t="s">
        <v>10360</v>
      </c>
      <c r="D745" s="13" t="s">
        <v>10361</v>
      </c>
      <c r="E745" s="13" t="s">
        <v>10362</v>
      </c>
      <c r="F745" s="14" t="s">
        <v>18</v>
      </c>
      <c r="G745" s="15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22.5" customHeight="1">
      <c r="A746" s="17">
        <v>744.0</v>
      </c>
      <c r="B746" s="20">
        <v>85.0</v>
      </c>
      <c r="C746" s="13" t="s">
        <v>10363</v>
      </c>
      <c r="D746" s="13" t="s">
        <v>10364</v>
      </c>
      <c r="E746" s="13" t="s">
        <v>10365</v>
      </c>
      <c r="F746" s="15"/>
      <c r="G746" s="15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22.5" customHeight="1">
      <c r="A747" s="11">
        <v>745.0</v>
      </c>
      <c r="B747" s="20">
        <v>85.0</v>
      </c>
      <c r="C747" s="13" t="s">
        <v>10366</v>
      </c>
      <c r="D747" s="13" t="s">
        <v>10367</v>
      </c>
      <c r="E747" s="13" t="s">
        <v>10368</v>
      </c>
      <c r="F747" s="14" t="s">
        <v>18</v>
      </c>
      <c r="G747" s="15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22.5" customHeight="1">
      <c r="A748" s="17">
        <v>746.0</v>
      </c>
      <c r="B748" s="20">
        <v>85.0</v>
      </c>
      <c r="C748" s="13" t="s">
        <v>10369</v>
      </c>
      <c r="D748" s="13" t="s">
        <v>10370</v>
      </c>
      <c r="E748" s="13" t="s">
        <v>10371</v>
      </c>
      <c r="F748" s="14" t="s">
        <v>18</v>
      </c>
      <c r="G748" s="15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22.5" customHeight="1">
      <c r="A749" s="11">
        <v>747.0</v>
      </c>
      <c r="B749" s="20">
        <v>85.0</v>
      </c>
      <c r="C749" s="13" t="s">
        <v>10372</v>
      </c>
      <c r="D749" s="13" t="s">
        <v>10373</v>
      </c>
      <c r="E749" s="13" t="s">
        <v>10374</v>
      </c>
      <c r="F749" s="14" t="s">
        <v>18</v>
      </c>
      <c r="G749" s="15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22.5" customHeight="1">
      <c r="A750" s="17">
        <v>748.0</v>
      </c>
      <c r="B750" s="20">
        <v>85.0</v>
      </c>
      <c r="C750" s="13" t="s">
        <v>10375</v>
      </c>
      <c r="D750" s="13" t="s">
        <v>10376</v>
      </c>
      <c r="E750" s="13" t="s">
        <v>10377</v>
      </c>
      <c r="F750" s="14" t="s">
        <v>18</v>
      </c>
      <c r="G750" s="15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22.5" customHeight="1">
      <c r="A751" s="11">
        <v>749.0</v>
      </c>
      <c r="B751" s="20">
        <v>85.0</v>
      </c>
      <c r="C751" s="13" t="s">
        <v>10378</v>
      </c>
      <c r="D751" s="13" t="s">
        <v>10379</v>
      </c>
      <c r="E751" s="13" t="s">
        <v>10380</v>
      </c>
      <c r="F751" s="14" t="s">
        <v>18</v>
      </c>
      <c r="G751" s="15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22.5" customHeight="1">
      <c r="A752" s="17">
        <v>750.0</v>
      </c>
      <c r="B752" s="20">
        <v>85.0</v>
      </c>
      <c r="C752" s="13" t="s">
        <v>8990</v>
      </c>
      <c r="D752" s="13" t="s">
        <v>8991</v>
      </c>
      <c r="E752" s="13" t="s">
        <v>8992</v>
      </c>
      <c r="F752" s="15"/>
      <c r="G752" s="15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22.5" customHeight="1">
      <c r="A753" s="11">
        <v>751.0</v>
      </c>
      <c r="B753" s="20">
        <v>84.0</v>
      </c>
      <c r="C753" s="13" t="s">
        <v>10381</v>
      </c>
      <c r="D753" s="13" t="s">
        <v>10382</v>
      </c>
      <c r="E753" s="13" t="s">
        <v>10383</v>
      </c>
      <c r="F753" s="14" t="s">
        <v>18</v>
      </c>
      <c r="G753" s="15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22.5" customHeight="1">
      <c r="A754" s="17">
        <v>752.0</v>
      </c>
      <c r="B754" s="20">
        <v>84.0</v>
      </c>
      <c r="C754" s="13" t="s">
        <v>10384</v>
      </c>
      <c r="D754" s="13" t="s">
        <v>10385</v>
      </c>
      <c r="E754" s="13" t="s">
        <v>10386</v>
      </c>
      <c r="F754" s="14" t="s">
        <v>18</v>
      </c>
      <c r="G754" s="15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22.5" customHeight="1">
      <c r="A755" s="11">
        <v>753.0</v>
      </c>
      <c r="B755" s="20">
        <v>84.0</v>
      </c>
      <c r="C755" s="13" t="s">
        <v>9589</v>
      </c>
      <c r="D755" s="13" t="s">
        <v>10387</v>
      </c>
      <c r="E755" s="13" t="s">
        <v>10388</v>
      </c>
      <c r="F755" s="15"/>
      <c r="G755" s="15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22.5" customHeight="1">
      <c r="A756" s="17">
        <v>754.0</v>
      </c>
      <c r="B756" s="20">
        <v>84.0</v>
      </c>
      <c r="C756" s="13" t="s">
        <v>10389</v>
      </c>
      <c r="D756" s="13" t="s">
        <v>10390</v>
      </c>
      <c r="E756" s="13" t="s">
        <v>10391</v>
      </c>
      <c r="F756" s="15"/>
      <c r="G756" s="15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22.5" customHeight="1">
      <c r="A757" s="11">
        <v>755.0</v>
      </c>
      <c r="B757" s="20">
        <v>84.0</v>
      </c>
      <c r="C757" s="13" t="s">
        <v>10392</v>
      </c>
      <c r="D757" s="13" t="s">
        <v>10393</v>
      </c>
      <c r="E757" s="13" t="s">
        <v>10394</v>
      </c>
      <c r="F757" s="14" t="s">
        <v>18</v>
      </c>
      <c r="G757" s="15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22.5" customHeight="1">
      <c r="A758" s="17">
        <v>756.0</v>
      </c>
      <c r="B758" s="20">
        <v>84.0</v>
      </c>
      <c r="C758" s="13" t="s">
        <v>10199</v>
      </c>
      <c r="D758" s="13" t="s">
        <v>10200</v>
      </c>
      <c r="E758" s="13" t="s">
        <v>10395</v>
      </c>
      <c r="F758" s="15"/>
      <c r="G758" s="15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22.5" customHeight="1">
      <c r="A759" s="11">
        <v>757.0</v>
      </c>
      <c r="B759" s="20">
        <v>84.0</v>
      </c>
      <c r="C759" s="13" t="s">
        <v>10396</v>
      </c>
      <c r="D759" s="13" t="s">
        <v>10397</v>
      </c>
      <c r="E759" s="13" t="s">
        <v>10398</v>
      </c>
      <c r="F759" s="15"/>
      <c r="G759" s="15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22.5" customHeight="1">
      <c r="A760" s="17">
        <v>758.0</v>
      </c>
      <c r="B760" s="20">
        <v>84.0</v>
      </c>
      <c r="C760" s="13" t="s">
        <v>9915</v>
      </c>
      <c r="D760" s="13" t="s">
        <v>10324</v>
      </c>
      <c r="E760" s="13" t="s">
        <v>10399</v>
      </c>
      <c r="F760" s="14" t="s">
        <v>18</v>
      </c>
      <c r="G760" s="15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22.5" customHeight="1">
      <c r="A761" s="11">
        <v>759.0</v>
      </c>
      <c r="B761" s="20">
        <v>84.0</v>
      </c>
      <c r="C761" s="13" t="s">
        <v>10400</v>
      </c>
      <c r="D761" s="13" t="s">
        <v>10401</v>
      </c>
      <c r="E761" s="13" t="s">
        <v>10402</v>
      </c>
      <c r="F761" s="15"/>
      <c r="G761" s="15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22.5" customHeight="1">
      <c r="A762" s="17">
        <v>760.0</v>
      </c>
      <c r="B762" s="20">
        <v>84.0</v>
      </c>
      <c r="C762" s="13" t="s">
        <v>10403</v>
      </c>
      <c r="D762" s="13" t="s">
        <v>10404</v>
      </c>
      <c r="E762" s="13" t="s">
        <v>10405</v>
      </c>
      <c r="F762" s="14" t="s">
        <v>18</v>
      </c>
      <c r="G762" s="15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22.5" customHeight="1">
      <c r="A763" s="11">
        <v>761.0</v>
      </c>
      <c r="B763" s="20">
        <v>84.0</v>
      </c>
      <c r="C763" s="13" t="s">
        <v>10406</v>
      </c>
      <c r="D763" s="13" t="s">
        <v>10407</v>
      </c>
      <c r="E763" s="13" t="s">
        <v>10408</v>
      </c>
      <c r="F763" s="15"/>
      <c r="G763" s="15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22.5" customHeight="1">
      <c r="A764" s="17">
        <v>762.0</v>
      </c>
      <c r="B764" s="20">
        <v>84.0</v>
      </c>
      <c r="C764" s="13" t="s">
        <v>10409</v>
      </c>
      <c r="D764" s="13" t="s">
        <v>10410</v>
      </c>
      <c r="E764" s="13" t="s">
        <v>10411</v>
      </c>
      <c r="F764" s="15"/>
      <c r="G764" s="15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22.5" customHeight="1">
      <c r="A765" s="11">
        <v>763.0</v>
      </c>
      <c r="B765" s="20">
        <v>84.0</v>
      </c>
      <c r="C765" s="13" t="s">
        <v>10412</v>
      </c>
      <c r="D765" s="13" t="s">
        <v>10413</v>
      </c>
      <c r="E765" s="13" t="s">
        <v>10414</v>
      </c>
      <c r="F765" s="14" t="s">
        <v>18</v>
      </c>
      <c r="G765" s="15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22.5" customHeight="1">
      <c r="A766" s="17">
        <v>764.0</v>
      </c>
      <c r="B766" s="20">
        <v>84.0</v>
      </c>
      <c r="C766" s="13" t="s">
        <v>10415</v>
      </c>
      <c r="D766" s="13" t="s">
        <v>10416</v>
      </c>
      <c r="E766" s="13" t="s">
        <v>10417</v>
      </c>
      <c r="F766" s="14" t="s">
        <v>18</v>
      </c>
      <c r="G766" s="15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22.5" customHeight="1">
      <c r="A767" s="11">
        <v>765.0</v>
      </c>
      <c r="B767" s="20">
        <v>84.0</v>
      </c>
      <c r="C767" s="13" t="s">
        <v>10418</v>
      </c>
      <c r="D767" s="13" t="s">
        <v>10419</v>
      </c>
      <c r="E767" s="13" t="s">
        <v>10420</v>
      </c>
      <c r="F767" s="15"/>
      <c r="G767" s="15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22.5" customHeight="1">
      <c r="A768" s="17">
        <v>766.0</v>
      </c>
      <c r="B768" s="20">
        <v>84.0</v>
      </c>
      <c r="C768" s="13" t="s">
        <v>5388</v>
      </c>
      <c r="D768" s="13" t="s">
        <v>2616</v>
      </c>
      <c r="E768" s="13" t="s">
        <v>10421</v>
      </c>
      <c r="F768" s="14" t="s">
        <v>18</v>
      </c>
      <c r="G768" s="15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22.5" customHeight="1">
      <c r="A769" s="11">
        <v>767.0</v>
      </c>
      <c r="B769" s="20">
        <v>84.0</v>
      </c>
      <c r="C769" s="13" t="s">
        <v>10422</v>
      </c>
      <c r="D769" s="13" t="s">
        <v>10423</v>
      </c>
      <c r="E769" s="13" t="s">
        <v>10424</v>
      </c>
      <c r="F769" s="14" t="s">
        <v>18</v>
      </c>
      <c r="G769" s="14" t="s">
        <v>18</v>
      </c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22.5" customHeight="1">
      <c r="A770" s="17">
        <v>768.0</v>
      </c>
      <c r="B770" s="20">
        <v>84.0</v>
      </c>
      <c r="C770" s="13" t="s">
        <v>9444</v>
      </c>
      <c r="D770" s="13" t="s">
        <v>9445</v>
      </c>
      <c r="E770" s="13" t="s">
        <v>9446</v>
      </c>
      <c r="F770" s="15"/>
      <c r="G770" s="15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22.5" customHeight="1">
      <c r="A771" s="11">
        <v>769.0</v>
      </c>
      <c r="B771" s="20">
        <v>84.0</v>
      </c>
      <c r="C771" s="13" t="s">
        <v>10025</v>
      </c>
      <c r="D771" s="13" t="s">
        <v>2423</v>
      </c>
      <c r="E771" s="13" t="s">
        <v>3558</v>
      </c>
      <c r="F771" s="15"/>
      <c r="G771" s="15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22.5" customHeight="1">
      <c r="A772" s="17">
        <v>770.0</v>
      </c>
      <c r="B772" s="20">
        <v>84.0</v>
      </c>
      <c r="C772" s="13" t="s">
        <v>10425</v>
      </c>
      <c r="D772" s="13" t="s">
        <v>10426</v>
      </c>
      <c r="E772" s="13" t="s">
        <v>10427</v>
      </c>
      <c r="F772" s="14" t="s">
        <v>18</v>
      </c>
      <c r="G772" s="15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22.5" customHeight="1">
      <c r="A773" s="11">
        <v>771.0</v>
      </c>
      <c r="B773" s="20">
        <v>84.0</v>
      </c>
      <c r="C773" s="13" t="s">
        <v>10428</v>
      </c>
      <c r="D773" s="13" t="s">
        <v>10429</v>
      </c>
      <c r="E773" s="13" t="s">
        <v>10430</v>
      </c>
      <c r="F773" s="14" t="s">
        <v>18</v>
      </c>
      <c r="G773" s="15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22.5" customHeight="1">
      <c r="A774" s="17">
        <v>772.0</v>
      </c>
      <c r="B774" s="20">
        <v>84.0</v>
      </c>
      <c r="C774" s="13" t="s">
        <v>10106</v>
      </c>
      <c r="D774" s="13" t="s">
        <v>10107</v>
      </c>
      <c r="E774" s="13" t="s">
        <v>10108</v>
      </c>
      <c r="F774" s="14" t="s">
        <v>18</v>
      </c>
      <c r="G774" s="14" t="s">
        <v>18</v>
      </c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22.5" customHeight="1">
      <c r="A775" s="11">
        <v>773.0</v>
      </c>
      <c r="B775" s="20">
        <v>84.0</v>
      </c>
      <c r="C775" s="13" t="s">
        <v>10431</v>
      </c>
      <c r="D775" s="13" t="s">
        <v>10432</v>
      </c>
      <c r="E775" s="13" t="s">
        <v>10433</v>
      </c>
      <c r="F775" s="15"/>
      <c r="G775" s="15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22.5" customHeight="1">
      <c r="A776" s="17">
        <v>774.0</v>
      </c>
      <c r="B776" s="20">
        <v>84.0</v>
      </c>
      <c r="C776" s="13" t="s">
        <v>4728</v>
      </c>
      <c r="D776" s="13" t="s">
        <v>10434</v>
      </c>
      <c r="E776" s="13" t="s">
        <v>10435</v>
      </c>
      <c r="F776" s="14" t="s">
        <v>18</v>
      </c>
      <c r="G776" s="15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22.5" customHeight="1">
      <c r="A777" s="11">
        <v>775.0</v>
      </c>
      <c r="B777" s="20">
        <v>84.0</v>
      </c>
      <c r="C777" s="13" t="s">
        <v>10436</v>
      </c>
      <c r="D777" s="13" t="s">
        <v>10437</v>
      </c>
      <c r="E777" s="13" t="s">
        <v>10438</v>
      </c>
      <c r="F777" s="14" t="s">
        <v>18</v>
      </c>
      <c r="G777" s="15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22.5" customHeight="1">
      <c r="A778" s="17">
        <v>776.0</v>
      </c>
      <c r="B778" s="20">
        <v>84.0</v>
      </c>
      <c r="C778" s="13" t="s">
        <v>10439</v>
      </c>
      <c r="D778" s="13" t="s">
        <v>10440</v>
      </c>
      <c r="E778" s="13" t="s">
        <v>10441</v>
      </c>
      <c r="F778" s="15"/>
      <c r="G778" s="15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22.5" customHeight="1">
      <c r="A779" s="11">
        <v>777.0</v>
      </c>
      <c r="B779" s="20">
        <v>84.0</v>
      </c>
      <c r="C779" s="13" t="s">
        <v>10442</v>
      </c>
      <c r="D779" s="13" t="s">
        <v>10443</v>
      </c>
      <c r="E779" s="13" t="s">
        <v>10444</v>
      </c>
      <c r="F779" s="15"/>
      <c r="G779" s="15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22.5" customHeight="1">
      <c r="A780" s="17">
        <v>778.0</v>
      </c>
      <c r="B780" s="20">
        <v>84.0</v>
      </c>
      <c r="C780" s="13" t="s">
        <v>10445</v>
      </c>
      <c r="D780" s="13" t="s">
        <v>10446</v>
      </c>
      <c r="E780" s="13" t="s">
        <v>10447</v>
      </c>
      <c r="F780" s="14" t="s">
        <v>18</v>
      </c>
      <c r="G780" s="15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22.5" customHeight="1">
      <c r="A781" s="11">
        <v>779.0</v>
      </c>
      <c r="B781" s="20">
        <v>84.0</v>
      </c>
      <c r="C781" s="13" t="s">
        <v>10208</v>
      </c>
      <c r="D781" s="13" t="s">
        <v>10209</v>
      </c>
      <c r="E781" s="13" t="s">
        <v>10210</v>
      </c>
      <c r="F781" s="15"/>
      <c r="G781" s="15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22.5" customHeight="1">
      <c r="A782" s="17">
        <v>780.0</v>
      </c>
      <c r="B782" s="20">
        <v>84.0</v>
      </c>
      <c r="C782" s="13" t="s">
        <v>10448</v>
      </c>
      <c r="D782" s="13" t="s">
        <v>10449</v>
      </c>
      <c r="E782" s="13" t="s">
        <v>10450</v>
      </c>
      <c r="F782" s="14" t="s">
        <v>18</v>
      </c>
      <c r="G782" s="15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22.5" customHeight="1">
      <c r="A783" s="11">
        <v>781.0</v>
      </c>
      <c r="B783" s="20">
        <v>83.0</v>
      </c>
      <c r="C783" s="13" t="s">
        <v>10451</v>
      </c>
      <c r="D783" s="13" t="s">
        <v>10452</v>
      </c>
      <c r="E783" s="13" t="s">
        <v>10453</v>
      </c>
      <c r="F783" s="14" t="s">
        <v>18</v>
      </c>
      <c r="G783" s="15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22.5" customHeight="1">
      <c r="A784" s="17">
        <v>782.0</v>
      </c>
      <c r="B784" s="20">
        <v>83.0</v>
      </c>
      <c r="C784" s="13" t="s">
        <v>10454</v>
      </c>
      <c r="D784" s="13" t="s">
        <v>10455</v>
      </c>
      <c r="E784" s="13" t="s">
        <v>10456</v>
      </c>
      <c r="F784" s="15"/>
      <c r="G784" s="15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22.5" customHeight="1">
      <c r="A785" s="11">
        <v>783.0</v>
      </c>
      <c r="B785" s="20">
        <v>83.0</v>
      </c>
      <c r="C785" s="13" t="s">
        <v>10457</v>
      </c>
      <c r="D785" s="13" t="s">
        <v>10458</v>
      </c>
      <c r="E785" s="13" t="s">
        <v>10459</v>
      </c>
      <c r="F785" s="14" t="s">
        <v>18</v>
      </c>
      <c r="G785" s="15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22.5" customHeight="1">
      <c r="A786" s="17">
        <v>784.0</v>
      </c>
      <c r="B786" s="20">
        <v>83.0</v>
      </c>
      <c r="C786" s="13" t="s">
        <v>10460</v>
      </c>
      <c r="D786" s="13" t="s">
        <v>10461</v>
      </c>
      <c r="E786" s="13" t="s">
        <v>10462</v>
      </c>
      <c r="F786" s="14" t="s">
        <v>18</v>
      </c>
      <c r="G786" s="15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22.5" customHeight="1">
      <c r="A787" s="11">
        <v>785.0</v>
      </c>
      <c r="B787" s="20">
        <v>83.0</v>
      </c>
      <c r="C787" s="13" t="s">
        <v>10463</v>
      </c>
      <c r="D787" s="13" t="s">
        <v>10464</v>
      </c>
      <c r="E787" s="13" t="s">
        <v>10465</v>
      </c>
      <c r="F787" s="14" t="s">
        <v>18</v>
      </c>
      <c r="G787" s="15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22.5" customHeight="1">
      <c r="A788" s="17">
        <v>786.0</v>
      </c>
      <c r="B788" s="20">
        <v>83.0</v>
      </c>
      <c r="C788" s="13" t="s">
        <v>10466</v>
      </c>
      <c r="D788" s="13" t="s">
        <v>10467</v>
      </c>
      <c r="E788" s="13" t="s">
        <v>10468</v>
      </c>
      <c r="F788" s="15"/>
      <c r="G788" s="15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22.5" customHeight="1">
      <c r="A789" s="11">
        <v>787.0</v>
      </c>
      <c r="B789" s="20">
        <v>83.0</v>
      </c>
      <c r="C789" s="13" t="s">
        <v>10469</v>
      </c>
      <c r="D789" s="13" t="s">
        <v>10470</v>
      </c>
      <c r="E789" s="13" t="s">
        <v>10471</v>
      </c>
      <c r="F789" s="14" t="s">
        <v>18</v>
      </c>
      <c r="G789" s="15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22.5" customHeight="1">
      <c r="A790" s="17">
        <v>788.0</v>
      </c>
      <c r="B790" s="20">
        <v>83.0</v>
      </c>
      <c r="C790" s="13" t="s">
        <v>10472</v>
      </c>
      <c r="D790" s="13" t="s">
        <v>10473</v>
      </c>
      <c r="E790" s="13" t="s">
        <v>10474</v>
      </c>
      <c r="F790" s="15"/>
      <c r="G790" s="15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22.5" customHeight="1">
      <c r="A791" s="11">
        <v>789.0</v>
      </c>
      <c r="B791" s="20">
        <v>83.0</v>
      </c>
      <c r="C791" s="13" t="s">
        <v>9463</v>
      </c>
      <c r="D791" s="13" t="s">
        <v>9464</v>
      </c>
      <c r="E791" s="13" t="s">
        <v>9465</v>
      </c>
      <c r="F791" s="15"/>
      <c r="G791" s="15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22.5" customHeight="1">
      <c r="A792" s="17">
        <v>790.0</v>
      </c>
      <c r="B792" s="20">
        <v>83.0</v>
      </c>
      <c r="C792" s="13" t="s">
        <v>10475</v>
      </c>
      <c r="D792" s="13" t="s">
        <v>10476</v>
      </c>
      <c r="E792" s="13" t="s">
        <v>10477</v>
      </c>
      <c r="F792" s="14" t="s">
        <v>18</v>
      </c>
      <c r="G792" s="15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22.5" customHeight="1">
      <c r="A793" s="11">
        <v>791.0</v>
      </c>
      <c r="B793" s="20">
        <v>83.0</v>
      </c>
      <c r="C793" s="13" t="s">
        <v>10478</v>
      </c>
      <c r="D793" s="13" t="s">
        <v>10479</v>
      </c>
      <c r="E793" s="13" t="s">
        <v>10480</v>
      </c>
      <c r="F793" s="15"/>
      <c r="G793" s="15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22.5" customHeight="1">
      <c r="A794" s="17">
        <v>792.0</v>
      </c>
      <c r="B794" s="20">
        <v>83.0</v>
      </c>
      <c r="C794" s="13" t="s">
        <v>10481</v>
      </c>
      <c r="D794" s="13" t="s">
        <v>10482</v>
      </c>
      <c r="E794" s="13" t="s">
        <v>10483</v>
      </c>
      <c r="F794" s="14" t="s">
        <v>18</v>
      </c>
      <c r="G794" s="15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22.5" customHeight="1">
      <c r="A795" s="11">
        <v>793.0</v>
      </c>
      <c r="B795" s="20">
        <v>83.0</v>
      </c>
      <c r="C795" s="13" t="s">
        <v>1188</v>
      </c>
      <c r="D795" s="13" t="s">
        <v>5978</v>
      </c>
      <c r="E795" s="13" t="s">
        <v>10484</v>
      </c>
      <c r="F795" s="15"/>
      <c r="G795" s="15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22.5" customHeight="1">
      <c r="A796" s="17">
        <v>794.0</v>
      </c>
      <c r="B796" s="20">
        <v>83.0</v>
      </c>
      <c r="C796" s="13" t="s">
        <v>10485</v>
      </c>
      <c r="D796" s="13" t="s">
        <v>10486</v>
      </c>
      <c r="E796" s="13" t="s">
        <v>10487</v>
      </c>
      <c r="F796" s="14" t="s">
        <v>18</v>
      </c>
      <c r="G796" s="15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22.5" customHeight="1">
      <c r="A797" s="11">
        <v>795.0</v>
      </c>
      <c r="B797" s="20">
        <v>83.0</v>
      </c>
      <c r="C797" s="13" t="s">
        <v>9805</v>
      </c>
      <c r="D797" s="13" t="s">
        <v>9806</v>
      </c>
      <c r="E797" s="13" t="s">
        <v>9807</v>
      </c>
      <c r="F797" s="15"/>
      <c r="G797" s="15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22.5" customHeight="1">
      <c r="A798" s="17">
        <v>796.0</v>
      </c>
      <c r="B798" s="20">
        <v>83.0</v>
      </c>
      <c r="C798" s="13" t="s">
        <v>6111</v>
      </c>
      <c r="D798" s="13" t="s">
        <v>6110</v>
      </c>
      <c r="E798" s="13" t="s">
        <v>9342</v>
      </c>
      <c r="F798" s="15"/>
      <c r="G798" s="15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22.5" customHeight="1">
      <c r="A799" s="11">
        <v>797.0</v>
      </c>
      <c r="B799" s="20">
        <v>83.0</v>
      </c>
      <c r="C799" s="13" t="s">
        <v>9466</v>
      </c>
      <c r="D799" s="13" t="s">
        <v>9467</v>
      </c>
      <c r="E799" s="13" t="s">
        <v>9468</v>
      </c>
      <c r="F799" s="14" t="s">
        <v>18</v>
      </c>
      <c r="G799" s="15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22.5" customHeight="1">
      <c r="A800" s="17">
        <v>798.0</v>
      </c>
      <c r="B800" s="20">
        <v>83.0</v>
      </c>
      <c r="C800" s="13" t="s">
        <v>10488</v>
      </c>
      <c r="D800" s="13" t="s">
        <v>10489</v>
      </c>
      <c r="E800" s="13" t="s">
        <v>10490</v>
      </c>
      <c r="F800" s="15"/>
      <c r="G800" s="15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22.5" customHeight="1">
      <c r="A801" s="11">
        <v>799.0</v>
      </c>
      <c r="B801" s="20">
        <v>83.0</v>
      </c>
      <c r="C801" s="13" t="s">
        <v>10491</v>
      </c>
      <c r="D801" s="13" t="s">
        <v>10492</v>
      </c>
      <c r="E801" s="13" t="s">
        <v>10493</v>
      </c>
      <c r="F801" s="15"/>
      <c r="G801" s="15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22.5" customHeight="1">
      <c r="A802" s="17">
        <v>800.0</v>
      </c>
      <c r="B802" s="20">
        <v>83.0</v>
      </c>
      <c r="C802" s="13" t="s">
        <v>10494</v>
      </c>
      <c r="D802" s="13" t="s">
        <v>10495</v>
      </c>
      <c r="E802" s="13" t="s">
        <v>10496</v>
      </c>
      <c r="F802" s="15"/>
      <c r="G802" s="15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22.5" customHeight="1">
      <c r="A803" s="11">
        <v>801.0</v>
      </c>
      <c r="B803" s="20">
        <v>83.0</v>
      </c>
      <c r="C803" s="13" t="s">
        <v>10497</v>
      </c>
      <c r="D803" s="13" t="s">
        <v>10498</v>
      </c>
      <c r="E803" s="13" t="s">
        <v>10499</v>
      </c>
      <c r="F803" s="14" t="s">
        <v>18</v>
      </c>
      <c r="G803" s="15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22.5" customHeight="1">
      <c r="A804" s="17">
        <v>802.0</v>
      </c>
      <c r="B804" s="20">
        <v>83.0</v>
      </c>
      <c r="C804" s="13" t="s">
        <v>10500</v>
      </c>
      <c r="D804" s="13" t="s">
        <v>10501</v>
      </c>
      <c r="E804" s="13" t="s">
        <v>10502</v>
      </c>
      <c r="F804" s="14" t="s">
        <v>18</v>
      </c>
      <c r="G804" s="15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22.5" customHeight="1">
      <c r="A805" s="11">
        <v>803.0</v>
      </c>
      <c r="B805" s="20">
        <v>83.0</v>
      </c>
      <c r="C805" s="13" t="s">
        <v>10503</v>
      </c>
      <c r="D805" s="13" t="s">
        <v>10504</v>
      </c>
      <c r="E805" s="13" t="s">
        <v>10505</v>
      </c>
      <c r="F805" s="14" t="s">
        <v>18</v>
      </c>
      <c r="G805" s="15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22.5" customHeight="1">
      <c r="A806" s="17">
        <v>804.0</v>
      </c>
      <c r="B806" s="20">
        <v>83.0</v>
      </c>
      <c r="C806" s="13" t="s">
        <v>10506</v>
      </c>
      <c r="D806" s="13" t="s">
        <v>10507</v>
      </c>
      <c r="E806" s="13" t="s">
        <v>10508</v>
      </c>
      <c r="F806" s="15"/>
      <c r="G806" s="15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22.5" customHeight="1">
      <c r="A807" s="11">
        <v>805.0</v>
      </c>
      <c r="B807" s="20">
        <v>83.0</v>
      </c>
      <c r="C807" s="13" t="s">
        <v>10509</v>
      </c>
      <c r="D807" s="13" t="s">
        <v>10510</v>
      </c>
      <c r="E807" s="13" t="s">
        <v>10511</v>
      </c>
      <c r="F807" s="14" t="s">
        <v>18</v>
      </c>
      <c r="G807" s="15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22.5" customHeight="1">
      <c r="A808" s="17">
        <v>806.0</v>
      </c>
      <c r="B808" s="20">
        <v>83.0</v>
      </c>
      <c r="C808" s="13" t="s">
        <v>10512</v>
      </c>
      <c r="D808" s="13" t="s">
        <v>10513</v>
      </c>
      <c r="E808" s="13" t="s">
        <v>10514</v>
      </c>
      <c r="F808" s="14" t="s">
        <v>18</v>
      </c>
      <c r="G808" s="15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22.5" customHeight="1">
      <c r="A809" s="11">
        <v>807.0</v>
      </c>
      <c r="B809" s="20">
        <v>83.0</v>
      </c>
      <c r="C809" s="13" t="s">
        <v>10515</v>
      </c>
      <c r="D809" s="13" t="s">
        <v>10516</v>
      </c>
      <c r="E809" s="13" t="s">
        <v>10517</v>
      </c>
      <c r="F809" s="15"/>
      <c r="G809" s="15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22.5" customHeight="1">
      <c r="A810" s="17">
        <v>808.0</v>
      </c>
      <c r="B810" s="20">
        <v>83.0</v>
      </c>
      <c r="C810" s="13" t="s">
        <v>10518</v>
      </c>
      <c r="D810" s="13" t="s">
        <v>10519</v>
      </c>
      <c r="E810" s="13" t="s">
        <v>10520</v>
      </c>
      <c r="F810" s="14" t="s">
        <v>18</v>
      </c>
      <c r="G810" s="15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22.5" customHeight="1">
      <c r="A811" s="11">
        <v>809.0</v>
      </c>
      <c r="B811" s="20">
        <v>83.0</v>
      </c>
      <c r="C811" s="13" t="s">
        <v>10521</v>
      </c>
      <c r="D811" s="13" t="s">
        <v>10522</v>
      </c>
      <c r="E811" s="13" t="s">
        <v>10523</v>
      </c>
      <c r="F811" s="15"/>
      <c r="G811" s="15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22.5" customHeight="1">
      <c r="A812" s="17">
        <v>810.0</v>
      </c>
      <c r="B812" s="20">
        <v>83.0</v>
      </c>
      <c r="C812" s="13" t="s">
        <v>10524</v>
      </c>
      <c r="D812" s="13" t="s">
        <v>10525</v>
      </c>
      <c r="E812" s="13" t="s">
        <v>10526</v>
      </c>
      <c r="F812" s="15"/>
      <c r="G812" s="15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22.5" customHeight="1">
      <c r="A813" s="11">
        <v>811.0</v>
      </c>
      <c r="B813" s="20">
        <v>82.0</v>
      </c>
      <c r="C813" s="13" t="s">
        <v>10527</v>
      </c>
      <c r="D813" s="13" t="s">
        <v>10528</v>
      </c>
      <c r="E813" s="13" t="s">
        <v>10529</v>
      </c>
      <c r="F813" s="14" t="s">
        <v>18</v>
      </c>
      <c r="G813" s="15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22.5" customHeight="1">
      <c r="A814" s="17">
        <v>812.0</v>
      </c>
      <c r="B814" s="20">
        <v>82.0</v>
      </c>
      <c r="C814" s="13" t="s">
        <v>10530</v>
      </c>
      <c r="D814" s="13" t="s">
        <v>10531</v>
      </c>
      <c r="E814" s="13" t="s">
        <v>10532</v>
      </c>
      <c r="F814" s="15"/>
      <c r="G814" s="15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22.5" customHeight="1">
      <c r="A815" s="11">
        <v>813.0</v>
      </c>
      <c r="B815" s="20">
        <v>82.0</v>
      </c>
      <c r="C815" s="13" t="s">
        <v>10533</v>
      </c>
      <c r="D815" s="13" t="s">
        <v>10534</v>
      </c>
      <c r="E815" s="13" t="s">
        <v>10535</v>
      </c>
      <c r="F815" s="15"/>
      <c r="G815" s="15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22.5" customHeight="1">
      <c r="A816" s="17">
        <v>814.0</v>
      </c>
      <c r="B816" s="20">
        <v>82.0</v>
      </c>
      <c r="C816" s="13" t="s">
        <v>10536</v>
      </c>
      <c r="D816" s="13" t="s">
        <v>10537</v>
      </c>
      <c r="E816" s="13" t="s">
        <v>10538</v>
      </c>
      <c r="F816" s="14" t="s">
        <v>18</v>
      </c>
      <c r="G816" s="15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22.5" customHeight="1">
      <c r="A817" s="11">
        <v>815.0</v>
      </c>
      <c r="B817" s="20">
        <v>82.0</v>
      </c>
      <c r="C817" s="13" t="s">
        <v>10539</v>
      </c>
      <c r="D817" s="13" t="s">
        <v>10540</v>
      </c>
      <c r="E817" s="13" t="s">
        <v>10541</v>
      </c>
      <c r="F817" s="14" t="s">
        <v>18</v>
      </c>
      <c r="G817" s="14" t="s">
        <v>18</v>
      </c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22.5" customHeight="1">
      <c r="A818" s="17">
        <v>816.0</v>
      </c>
      <c r="B818" s="20">
        <v>82.0</v>
      </c>
      <c r="C818" s="13" t="s">
        <v>9598</v>
      </c>
      <c r="D818" s="13" t="s">
        <v>9599</v>
      </c>
      <c r="E818" s="13" t="s">
        <v>9600</v>
      </c>
      <c r="F818" s="15"/>
      <c r="G818" s="15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22.5" customHeight="1">
      <c r="A819" s="11">
        <v>817.0</v>
      </c>
      <c r="B819" s="20">
        <v>82.0</v>
      </c>
      <c r="C819" s="13" t="s">
        <v>9862</v>
      </c>
      <c r="D819" s="13" t="s">
        <v>9863</v>
      </c>
      <c r="E819" s="13" t="s">
        <v>9864</v>
      </c>
      <c r="F819" s="15"/>
      <c r="G819" s="15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22.5" customHeight="1">
      <c r="A820" s="17">
        <v>818.0</v>
      </c>
      <c r="B820" s="20">
        <v>82.0</v>
      </c>
      <c r="C820" s="13" t="s">
        <v>10542</v>
      </c>
      <c r="D820" s="13" t="s">
        <v>10543</v>
      </c>
      <c r="E820" s="13" t="s">
        <v>10544</v>
      </c>
      <c r="F820" s="14" t="s">
        <v>18</v>
      </c>
      <c r="G820" s="15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22.5" customHeight="1">
      <c r="A821" s="11">
        <v>819.0</v>
      </c>
      <c r="B821" s="20">
        <v>82.0</v>
      </c>
      <c r="C821" s="13" t="s">
        <v>10545</v>
      </c>
      <c r="D821" s="13" t="s">
        <v>10546</v>
      </c>
      <c r="E821" s="13" t="s">
        <v>10547</v>
      </c>
      <c r="F821" s="15"/>
      <c r="G821" s="15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22.5" customHeight="1">
      <c r="A822" s="17">
        <v>820.0</v>
      </c>
      <c r="B822" s="20">
        <v>82.0</v>
      </c>
      <c r="C822" s="13" t="s">
        <v>10548</v>
      </c>
      <c r="D822" s="13" t="s">
        <v>10549</v>
      </c>
      <c r="E822" s="13" t="s">
        <v>10550</v>
      </c>
      <c r="F822" s="15"/>
      <c r="G822" s="15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22.5" customHeight="1">
      <c r="A823" s="11">
        <v>821.0</v>
      </c>
      <c r="B823" s="20">
        <v>82.0</v>
      </c>
      <c r="C823" s="13" t="s">
        <v>10551</v>
      </c>
      <c r="D823" s="13" t="s">
        <v>10552</v>
      </c>
      <c r="E823" s="13" t="s">
        <v>10553</v>
      </c>
      <c r="F823" s="14" t="s">
        <v>18</v>
      </c>
      <c r="G823" s="15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22.5" customHeight="1">
      <c r="A824" s="17">
        <v>822.0</v>
      </c>
      <c r="B824" s="20">
        <v>82.0</v>
      </c>
      <c r="C824" s="13" t="s">
        <v>8774</v>
      </c>
      <c r="D824" s="13" t="s">
        <v>8775</v>
      </c>
      <c r="E824" s="13" t="s">
        <v>9383</v>
      </c>
      <c r="F824" s="15"/>
      <c r="G824" s="15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22.5" customHeight="1">
      <c r="A825" s="11">
        <v>823.0</v>
      </c>
      <c r="B825" s="20">
        <v>82.0</v>
      </c>
      <c r="C825" s="13" t="s">
        <v>5049</v>
      </c>
      <c r="D825" s="13" t="s">
        <v>10554</v>
      </c>
      <c r="E825" s="13" t="s">
        <v>10555</v>
      </c>
      <c r="F825" s="15"/>
      <c r="G825" s="15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22.5" customHeight="1">
      <c r="A826" s="17">
        <v>824.0</v>
      </c>
      <c r="B826" s="20">
        <v>82.0</v>
      </c>
      <c r="C826" s="13" t="s">
        <v>10556</v>
      </c>
      <c r="D826" s="13" t="s">
        <v>10557</v>
      </c>
      <c r="E826" s="13" t="s">
        <v>10558</v>
      </c>
      <c r="F826" s="14" t="s">
        <v>18</v>
      </c>
      <c r="G826" s="15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22.5" customHeight="1">
      <c r="A827" s="11">
        <v>825.0</v>
      </c>
      <c r="B827" s="20">
        <v>82.0</v>
      </c>
      <c r="C827" s="13" t="s">
        <v>10559</v>
      </c>
      <c r="D827" s="13" t="s">
        <v>10560</v>
      </c>
      <c r="E827" s="13" t="s">
        <v>10561</v>
      </c>
      <c r="F827" s="14" t="s">
        <v>18</v>
      </c>
      <c r="G827" s="15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22.5" customHeight="1">
      <c r="A828" s="17">
        <v>826.0</v>
      </c>
      <c r="B828" s="20">
        <v>82.0</v>
      </c>
      <c r="C828" s="13" t="s">
        <v>10562</v>
      </c>
      <c r="D828" s="13" t="s">
        <v>10563</v>
      </c>
      <c r="E828" s="13" t="s">
        <v>10564</v>
      </c>
      <c r="F828" s="14" t="s">
        <v>18</v>
      </c>
      <c r="G828" s="15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22.5" customHeight="1">
      <c r="A829" s="11">
        <v>827.0</v>
      </c>
      <c r="B829" s="20">
        <v>82.0</v>
      </c>
      <c r="C829" s="13" t="s">
        <v>10565</v>
      </c>
      <c r="D829" s="13" t="s">
        <v>10566</v>
      </c>
      <c r="E829" s="13" t="s">
        <v>10567</v>
      </c>
      <c r="F829" s="15"/>
      <c r="G829" s="15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22.5" customHeight="1">
      <c r="A830" s="17">
        <v>828.0</v>
      </c>
      <c r="B830" s="20">
        <v>82.0</v>
      </c>
      <c r="C830" s="13" t="s">
        <v>10568</v>
      </c>
      <c r="D830" s="13" t="s">
        <v>10569</v>
      </c>
      <c r="E830" s="13" t="s">
        <v>10570</v>
      </c>
      <c r="F830" s="14" t="s">
        <v>18</v>
      </c>
      <c r="G830" s="15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22.5" customHeight="1">
      <c r="A831" s="11">
        <v>829.0</v>
      </c>
      <c r="B831" s="20">
        <v>82.0</v>
      </c>
      <c r="C831" s="13" t="s">
        <v>10571</v>
      </c>
      <c r="D831" s="13" t="s">
        <v>10572</v>
      </c>
      <c r="E831" s="13" t="s">
        <v>10573</v>
      </c>
      <c r="F831" s="14" t="s">
        <v>18</v>
      </c>
      <c r="G831" s="15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22.5" customHeight="1">
      <c r="A832" s="17">
        <v>830.0</v>
      </c>
      <c r="B832" s="20">
        <v>82.0</v>
      </c>
      <c r="C832" s="13" t="s">
        <v>10574</v>
      </c>
      <c r="D832" s="13" t="s">
        <v>10575</v>
      </c>
      <c r="E832" s="13" t="s">
        <v>10576</v>
      </c>
      <c r="F832" s="15"/>
      <c r="G832" s="15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22.5" customHeight="1">
      <c r="A833" s="11">
        <v>831.0</v>
      </c>
      <c r="B833" s="20">
        <v>82.0</v>
      </c>
      <c r="C833" s="13" t="s">
        <v>6205</v>
      </c>
      <c r="D833" s="13" t="s">
        <v>6204</v>
      </c>
      <c r="E833" s="13" t="s">
        <v>10577</v>
      </c>
      <c r="F833" s="14" t="s">
        <v>18</v>
      </c>
      <c r="G833" s="15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22.5" customHeight="1">
      <c r="A834" s="17">
        <v>832.0</v>
      </c>
      <c r="B834" s="20">
        <v>82.0</v>
      </c>
      <c r="C834" s="13" t="s">
        <v>10578</v>
      </c>
      <c r="D834" s="13" t="s">
        <v>10579</v>
      </c>
      <c r="E834" s="13" t="s">
        <v>10580</v>
      </c>
      <c r="F834" s="14" t="s">
        <v>18</v>
      </c>
      <c r="G834" s="15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22.5" customHeight="1">
      <c r="A835" s="11">
        <v>833.0</v>
      </c>
      <c r="B835" s="20">
        <v>82.0</v>
      </c>
      <c r="C835" s="13" t="s">
        <v>9571</v>
      </c>
      <c r="D835" s="13" t="s">
        <v>9572</v>
      </c>
      <c r="E835" s="13" t="s">
        <v>9573</v>
      </c>
      <c r="F835" s="14" t="s">
        <v>18</v>
      </c>
      <c r="G835" s="15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22.5" customHeight="1">
      <c r="A836" s="17">
        <v>834.0</v>
      </c>
      <c r="B836" s="20">
        <v>82.0</v>
      </c>
      <c r="C836" s="13" t="s">
        <v>5595</v>
      </c>
      <c r="D836" s="13" t="s">
        <v>5594</v>
      </c>
      <c r="E836" s="13" t="s">
        <v>9739</v>
      </c>
      <c r="F836" s="15"/>
      <c r="G836" s="15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22.5" customHeight="1">
      <c r="A837" s="11">
        <v>835.0</v>
      </c>
      <c r="B837" s="20">
        <v>82.0</v>
      </c>
      <c r="C837" s="13" t="s">
        <v>9134</v>
      </c>
      <c r="D837" s="13" t="s">
        <v>9135</v>
      </c>
      <c r="E837" s="13" t="s">
        <v>9136</v>
      </c>
      <c r="F837" s="15"/>
      <c r="G837" s="15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22.5" customHeight="1">
      <c r="A838" s="17">
        <v>836.0</v>
      </c>
      <c r="B838" s="20">
        <v>82.0</v>
      </c>
      <c r="C838" s="13" t="s">
        <v>10282</v>
      </c>
      <c r="D838" s="13" t="s">
        <v>10283</v>
      </c>
      <c r="E838" s="13" t="s">
        <v>10284</v>
      </c>
      <c r="F838" s="15"/>
      <c r="G838" s="15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22.5" customHeight="1">
      <c r="A839" s="11">
        <v>837.0</v>
      </c>
      <c r="B839" s="20">
        <v>82.0</v>
      </c>
      <c r="C839" s="13" t="s">
        <v>10581</v>
      </c>
      <c r="D839" s="13" t="s">
        <v>10582</v>
      </c>
      <c r="E839" s="13" t="s">
        <v>10583</v>
      </c>
      <c r="F839" s="15"/>
      <c r="G839" s="15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22.5" customHeight="1">
      <c r="A840" s="17">
        <v>838.0</v>
      </c>
      <c r="B840" s="20">
        <v>82.0</v>
      </c>
      <c r="C840" s="13" t="s">
        <v>8762</v>
      </c>
      <c r="D840" s="13" t="s">
        <v>8763</v>
      </c>
      <c r="E840" s="13" t="s">
        <v>8764</v>
      </c>
      <c r="F840" s="15"/>
      <c r="G840" s="15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22.5" customHeight="1">
      <c r="A841" s="11">
        <v>839.0</v>
      </c>
      <c r="B841" s="20">
        <v>82.0</v>
      </c>
      <c r="C841" s="13" t="s">
        <v>9098</v>
      </c>
      <c r="D841" s="13" t="s">
        <v>9099</v>
      </c>
      <c r="E841" s="13" t="s">
        <v>9100</v>
      </c>
      <c r="F841" s="15"/>
      <c r="G841" s="15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22.5" customHeight="1">
      <c r="A842" s="17">
        <v>840.0</v>
      </c>
      <c r="B842" s="20">
        <v>82.0</v>
      </c>
      <c r="C842" s="13" t="s">
        <v>8913</v>
      </c>
      <c r="D842" s="13" t="s">
        <v>8914</v>
      </c>
      <c r="E842" s="13" t="s">
        <v>8915</v>
      </c>
      <c r="F842" s="15"/>
      <c r="G842" s="15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22.5" customHeight="1">
      <c r="A843" s="11">
        <v>841.0</v>
      </c>
      <c r="B843" s="20">
        <v>81.0</v>
      </c>
      <c r="C843" s="13" t="s">
        <v>10584</v>
      </c>
      <c r="D843" s="13" t="s">
        <v>10585</v>
      </c>
      <c r="E843" s="13" t="s">
        <v>10586</v>
      </c>
      <c r="F843" s="15"/>
      <c r="G843" s="15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22.5" customHeight="1">
      <c r="A844" s="17">
        <v>842.0</v>
      </c>
      <c r="B844" s="20">
        <v>81.0</v>
      </c>
      <c r="C844" s="13" t="s">
        <v>10587</v>
      </c>
      <c r="D844" s="13" t="s">
        <v>10588</v>
      </c>
      <c r="E844" s="13" t="s">
        <v>10589</v>
      </c>
      <c r="F844" s="15"/>
      <c r="G844" s="15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22.5" customHeight="1">
      <c r="A845" s="11">
        <v>843.0</v>
      </c>
      <c r="B845" s="20">
        <v>81.0</v>
      </c>
      <c r="C845" s="13" t="s">
        <v>10256</v>
      </c>
      <c r="D845" s="13" t="s">
        <v>10257</v>
      </c>
      <c r="E845" s="13" t="s">
        <v>10258</v>
      </c>
      <c r="F845" s="15"/>
      <c r="G845" s="15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22.5" customHeight="1">
      <c r="A846" s="17">
        <v>844.0</v>
      </c>
      <c r="B846" s="20">
        <v>81.0</v>
      </c>
      <c r="C846" s="13" t="s">
        <v>10590</v>
      </c>
      <c r="D846" s="13" t="s">
        <v>10591</v>
      </c>
      <c r="E846" s="13" t="s">
        <v>10592</v>
      </c>
      <c r="F846" s="14" t="s">
        <v>18</v>
      </c>
      <c r="G846" s="15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22.5" customHeight="1">
      <c r="A847" s="11">
        <v>845.0</v>
      </c>
      <c r="B847" s="20">
        <v>81.0</v>
      </c>
      <c r="C847" s="13" t="s">
        <v>10593</v>
      </c>
      <c r="D847" s="13" t="s">
        <v>10594</v>
      </c>
      <c r="E847" s="13" t="s">
        <v>10595</v>
      </c>
      <c r="F847" s="14" t="s">
        <v>18</v>
      </c>
      <c r="G847" s="15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22.5" customHeight="1">
      <c r="A848" s="17">
        <v>846.0</v>
      </c>
      <c r="B848" s="20">
        <v>81.0</v>
      </c>
      <c r="C848" s="13" t="s">
        <v>9085</v>
      </c>
      <c r="D848" s="13" t="s">
        <v>9086</v>
      </c>
      <c r="E848" s="13" t="s">
        <v>10596</v>
      </c>
      <c r="F848" s="15"/>
      <c r="G848" s="15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22.5" customHeight="1">
      <c r="A849" s="11">
        <v>847.0</v>
      </c>
      <c r="B849" s="20">
        <v>81.0</v>
      </c>
      <c r="C849" s="13" t="s">
        <v>2021</v>
      </c>
      <c r="D849" s="13" t="s">
        <v>4792</v>
      </c>
      <c r="E849" s="13" t="s">
        <v>9852</v>
      </c>
      <c r="F849" s="15"/>
      <c r="G849" s="15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22.5" customHeight="1">
      <c r="A850" s="17">
        <v>848.0</v>
      </c>
      <c r="B850" s="20">
        <v>81.0</v>
      </c>
      <c r="C850" s="13" t="s">
        <v>4924</v>
      </c>
      <c r="D850" s="13" t="s">
        <v>4923</v>
      </c>
      <c r="E850" s="13" t="s">
        <v>10597</v>
      </c>
      <c r="F850" s="14" t="s">
        <v>18</v>
      </c>
      <c r="G850" s="15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22.5" customHeight="1">
      <c r="A851" s="11">
        <v>849.0</v>
      </c>
      <c r="B851" s="20">
        <v>81.0</v>
      </c>
      <c r="C851" s="13" t="s">
        <v>10598</v>
      </c>
      <c r="D851" s="13" t="s">
        <v>10599</v>
      </c>
      <c r="E851" s="13" t="s">
        <v>10600</v>
      </c>
      <c r="F851" s="14" t="s">
        <v>18</v>
      </c>
      <c r="G851" s="15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22.5" customHeight="1">
      <c r="A852" s="17">
        <v>850.0</v>
      </c>
      <c r="B852" s="20">
        <v>81.0</v>
      </c>
      <c r="C852" s="13" t="s">
        <v>10601</v>
      </c>
      <c r="D852" s="13" t="s">
        <v>10602</v>
      </c>
      <c r="E852" s="13" t="s">
        <v>10603</v>
      </c>
      <c r="F852" s="14" t="s">
        <v>18</v>
      </c>
      <c r="G852" s="15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22.5" customHeight="1">
      <c r="A853" s="11">
        <v>851.0</v>
      </c>
      <c r="B853" s="20">
        <v>81.0</v>
      </c>
      <c r="C853" s="13" t="s">
        <v>10604</v>
      </c>
      <c r="D853" s="13" t="s">
        <v>10605</v>
      </c>
      <c r="E853" s="13" t="s">
        <v>10606</v>
      </c>
      <c r="F853" s="14" t="s">
        <v>18</v>
      </c>
      <c r="G853" s="15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22.5" customHeight="1">
      <c r="A854" s="17">
        <v>852.0</v>
      </c>
      <c r="B854" s="20">
        <v>81.0</v>
      </c>
      <c r="C854" s="13" t="s">
        <v>10607</v>
      </c>
      <c r="D854" s="13" t="s">
        <v>10608</v>
      </c>
      <c r="E854" s="13" t="s">
        <v>10609</v>
      </c>
      <c r="F854" s="15"/>
      <c r="G854" s="15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22.5" customHeight="1">
      <c r="A855" s="11">
        <v>853.0</v>
      </c>
      <c r="B855" s="20">
        <v>81.0</v>
      </c>
      <c r="C855" s="13" t="s">
        <v>9296</v>
      </c>
      <c r="D855" s="13" t="s">
        <v>10610</v>
      </c>
      <c r="E855" s="13" t="s">
        <v>10611</v>
      </c>
      <c r="F855" s="14" t="s">
        <v>18</v>
      </c>
      <c r="G855" s="15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22.5" customHeight="1">
      <c r="A856" s="17">
        <v>854.0</v>
      </c>
      <c r="B856" s="20">
        <v>81.0</v>
      </c>
      <c r="C856" s="13" t="s">
        <v>10612</v>
      </c>
      <c r="D856" s="13" t="s">
        <v>10613</v>
      </c>
      <c r="E856" s="13" t="s">
        <v>10614</v>
      </c>
      <c r="F856" s="15"/>
      <c r="G856" s="15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22.5" customHeight="1">
      <c r="A857" s="11">
        <v>855.0</v>
      </c>
      <c r="B857" s="20">
        <v>81.0</v>
      </c>
      <c r="C857" s="13" t="s">
        <v>10615</v>
      </c>
      <c r="D857" s="13" t="s">
        <v>10616</v>
      </c>
      <c r="E857" s="13" t="s">
        <v>10617</v>
      </c>
      <c r="F857" s="14" t="s">
        <v>18</v>
      </c>
      <c r="G857" s="15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22.5" customHeight="1">
      <c r="A858" s="17">
        <v>856.0</v>
      </c>
      <c r="B858" s="20">
        <v>81.0</v>
      </c>
      <c r="C858" s="13" t="s">
        <v>9271</v>
      </c>
      <c r="D858" s="13" t="s">
        <v>9272</v>
      </c>
      <c r="E858" s="13" t="s">
        <v>9273</v>
      </c>
      <c r="F858" s="15"/>
      <c r="G858" s="15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22.5" customHeight="1">
      <c r="A859" s="11">
        <v>857.0</v>
      </c>
      <c r="B859" s="20">
        <v>81.0</v>
      </c>
      <c r="C859" s="13" t="s">
        <v>10618</v>
      </c>
      <c r="D859" s="13" t="s">
        <v>10619</v>
      </c>
      <c r="E859" s="13" t="s">
        <v>10620</v>
      </c>
      <c r="F859" s="14" t="s">
        <v>18</v>
      </c>
      <c r="G859" s="15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22.5" customHeight="1">
      <c r="A860" s="17">
        <v>858.0</v>
      </c>
      <c r="B860" s="20">
        <v>81.0</v>
      </c>
      <c r="C860" s="13" t="s">
        <v>9632</v>
      </c>
      <c r="D860" s="13" t="s">
        <v>9633</v>
      </c>
      <c r="E860" s="13" t="s">
        <v>10621</v>
      </c>
      <c r="F860" s="15"/>
      <c r="G860" s="15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22.5" customHeight="1">
      <c r="A861" s="11">
        <v>859.0</v>
      </c>
      <c r="B861" s="20">
        <v>81.0</v>
      </c>
      <c r="C861" s="13" t="s">
        <v>10622</v>
      </c>
      <c r="D861" s="13" t="s">
        <v>10623</v>
      </c>
      <c r="E861" s="13" t="s">
        <v>10624</v>
      </c>
      <c r="F861" s="14" t="s">
        <v>18</v>
      </c>
      <c r="G861" s="15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22.5" customHeight="1">
      <c r="A862" s="17">
        <v>860.0</v>
      </c>
      <c r="B862" s="20">
        <v>81.0</v>
      </c>
      <c r="C862" s="13" t="s">
        <v>10625</v>
      </c>
      <c r="D862" s="13" t="s">
        <v>10626</v>
      </c>
      <c r="E862" s="13" t="s">
        <v>10627</v>
      </c>
      <c r="F862" s="14" t="s">
        <v>18</v>
      </c>
      <c r="G862" s="15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22.5" customHeight="1">
      <c r="A863" s="11">
        <v>861.0</v>
      </c>
      <c r="B863" s="20">
        <v>81.0</v>
      </c>
      <c r="C863" s="13" t="s">
        <v>10628</v>
      </c>
      <c r="D863" s="13" t="s">
        <v>10629</v>
      </c>
      <c r="E863" s="13" t="s">
        <v>10630</v>
      </c>
      <c r="F863" s="14" t="s">
        <v>18</v>
      </c>
      <c r="G863" s="15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22.5" customHeight="1">
      <c r="A864" s="17">
        <v>862.0</v>
      </c>
      <c r="B864" s="20">
        <v>81.0</v>
      </c>
      <c r="C864" s="13" t="s">
        <v>10631</v>
      </c>
      <c r="D864" s="13" t="s">
        <v>10632</v>
      </c>
      <c r="E864" s="13" t="s">
        <v>10633</v>
      </c>
      <c r="F864" s="14" t="s">
        <v>18</v>
      </c>
      <c r="G864" s="15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22.5" customHeight="1">
      <c r="A865" s="11">
        <v>863.0</v>
      </c>
      <c r="B865" s="20">
        <v>81.0</v>
      </c>
      <c r="C865" s="13" t="s">
        <v>10634</v>
      </c>
      <c r="D865" s="13" t="s">
        <v>10635</v>
      </c>
      <c r="E865" s="13" t="s">
        <v>10636</v>
      </c>
      <c r="F865" s="15"/>
      <c r="G865" s="15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22.5" customHeight="1">
      <c r="A866" s="17">
        <v>864.0</v>
      </c>
      <c r="B866" s="20">
        <v>81.0</v>
      </c>
      <c r="C866" s="13" t="s">
        <v>10637</v>
      </c>
      <c r="D866" s="13" t="s">
        <v>10638</v>
      </c>
      <c r="E866" s="13" t="s">
        <v>10639</v>
      </c>
      <c r="F866" s="14" t="s">
        <v>18</v>
      </c>
      <c r="G866" s="15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22.5" customHeight="1">
      <c r="A867" s="11">
        <v>865.0</v>
      </c>
      <c r="B867" s="20">
        <v>81.0</v>
      </c>
      <c r="C867" s="13" t="s">
        <v>5675</v>
      </c>
      <c r="D867" s="13" t="s">
        <v>5674</v>
      </c>
      <c r="E867" s="13" t="s">
        <v>9001</v>
      </c>
      <c r="F867" s="15"/>
      <c r="G867" s="15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22.5" customHeight="1">
      <c r="A868" s="17">
        <v>866.0</v>
      </c>
      <c r="B868" s="20">
        <v>81.0</v>
      </c>
      <c r="C868" s="13" t="s">
        <v>9034</v>
      </c>
      <c r="D868" s="13" t="s">
        <v>9035</v>
      </c>
      <c r="E868" s="13" t="s">
        <v>10640</v>
      </c>
      <c r="F868" s="15"/>
      <c r="G868" s="15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22.5" customHeight="1">
      <c r="A869" s="11">
        <v>867.0</v>
      </c>
      <c r="B869" s="20">
        <v>81.0</v>
      </c>
      <c r="C869" s="13" t="s">
        <v>10641</v>
      </c>
      <c r="D869" s="13" t="s">
        <v>10642</v>
      </c>
      <c r="E869" s="13" t="s">
        <v>10643</v>
      </c>
      <c r="F869" s="14" t="s">
        <v>18</v>
      </c>
      <c r="G869" s="15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22.5" customHeight="1">
      <c r="A870" s="17">
        <v>868.0</v>
      </c>
      <c r="B870" s="20">
        <v>81.0</v>
      </c>
      <c r="C870" s="13" t="s">
        <v>9518</v>
      </c>
      <c r="D870" s="13" t="s">
        <v>9519</v>
      </c>
      <c r="E870" s="13" t="s">
        <v>9520</v>
      </c>
      <c r="F870" s="14" t="s">
        <v>18</v>
      </c>
      <c r="G870" s="14" t="s">
        <v>18</v>
      </c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22.5" customHeight="1">
      <c r="A871" s="11">
        <v>869.0</v>
      </c>
      <c r="B871" s="20">
        <v>81.0</v>
      </c>
      <c r="C871" s="13" t="s">
        <v>8774</v>
      </c>
      <c r="D871" s="13" t="s">
        <v>8775</v>
      </c>
      <c r="E871" s="13" t="s">
        <v>9383</v>
      </c>
      <c r="F871" s="15"/>
      <c r="G871" s="15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22.5" customHeight="1">
      <c r="A872" s="17">
        <v>870.0</v>
      </c>
      <c r="B872" s="20">
        <v>80.0</v>
      </c>
      <c r="C872" s="13" t="s">
        <v>10644</v>
      </c>
      <c r="D872" s="13" t="s">
        <v>10645</v>
      </c>
      <c r="E872" s="13" t="s">
        <v>10646</v>
      </c>
      <c r="F872" s="15"/>
      <c r="G872" s="15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22.5" customHeight="1">
      <c r="A873" s="11">
        <v>871.0</v>
      </c>
      <c r="B873" s="20">
        <v>80.0</v>
      </c>
      <c r="C873" s="13" t="s">
        <v>8929</v>
      </c>
      <c r="D873" s="13" t="s">
        <v>8930</v>
      </c>
      <c r="E873" s="13" t="s">
        <v>8931</v>
      </c>
      <c r="F873" s="15"/>
      <c r="G873" s="15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22.5" customHeight="1">
      <c r="A874" s="17">
        <v>872.0</v>
      </c>
      <c r="B874" s="20">
        <v>80.0</v>
      </c>
      <c r="C874" s="13" t="s">
        <v>10647</v>
      </c>
      <c r="D874" s="13" t="s">
        <v>10648</v>
      </c>
      <c r="E874" s="13" t="s">
        <v>10649</v>
      </c>
      <c r="F874" s="14" t="s">
        <v>18</v>
      </c>
      <c r="G874" s="15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22.5" customHeight="1">
      <c r="A875" s="11">
        <v>873.0</v>
      </c>
      <c r="B875" s="20">
        <v>80.0</v>
      </c>
      <c r="C875" s="13" t="s">
        <v>10650</v>
      </c>
      <c r="D875" s="13" t="s">
        <v>10651</v>
      </c>
      <c r="E875" s="13" t="s">
        <v>10652</v>
      </c>
      <c r="F875" s="14" t="s">
        <v>18</v>
      </c>
      <c r="G875" s="15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22.5" customHeight="1">
      <c r="A876" s="17">
        <v>874.0</v>
      </c>
      <c r="B876" s="20">
        <v>80.0</v>
      </c>
      <c r="C876" s="13" t="s">
        <v>10653</v>
      </c>
      <c r="D876" s="13" t="s">
        <v>10654</v>
      </c>
      <c r="E876" s="13" t="s">
        <v>10655</v>
      </c>
      <c r="F876" s="15"/>
      <c r="G876" s="15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22.5" customHeight="1">
      <c r="A877" s="11">
        <v>875.0</v>
      </c>
      <c r="B877" s="20">
        <v>80.0</v>
      </c>
      <c r="C877" s="13" t="s">
        <v>9900</v>
      </c>
      <c r="D877" s="13" t="s">
        <v>9901</v>
      </c>
      <c r="E877" s="13" t="s">
        <v>9902</v>
      </c>
      <c r="F877" s="15"/>
      <c r="G877" s="15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22.5" customHeight="1">
      <c r="A878" s="17">
        <v>876.0</v>
      </c>
      <c r="B878" s="20">
        <v>80.0</v>
      </c>
      <c r="C878" s="13" t="s">
        <v>10656</v>
      </c>
      <c r="D878" s="13" t="s">
        <v>10657</v>
      </c>
      <c r="E878" s="13" t="s">
        <v>10658</v>
      </c>
      <c r="F878" s="15"/>
      <c r="G878" s="15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22.5" customHeight="1">
      <c r="A879" s="11">
        <v>877.0</v>
      </c>
      <c r="B879" s="20">
        <v>80.0</v>
      </c>
      <c r="C879" s="13" t="s">
        <v>8733</v>
      </c>
      <c r="D879" s="13" t="s">
        <v>8734</v>
      </c>
      <c r="E879" s="13" t="s">
        <v>8735</v>
      </c>
      <c r="F879" s="15"/>
      <c r="G879" s="15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22.5" customHeight="1">
      <c r="A880" s="17">
        <v>878.0</v>
      </c>
      <c r="B880" s="20">
        <v>80.0</v>
      </c>
      <c r="C880" s="13" t="s">
        <v>10659</v>
      </c>
      <c r="D880" s="13" t="s">
        <v>10660</v>
      </c>
      <c r="E880" s="13" t="s">
        <v>10661</v>
      </c>
      <c r="F880" s="15"/>
      <c r="G880" s="15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22.5" customHeight="1">
      <c r="A881" s="11">
        <v>879.0</v>
      </c>
      <c r="B881" s="20">
        <v>80.0</v>
      </c>
      <c r="C881" s="13" t="s">
        <v>4707</v>
      </c>
      <c r="D881" s="13" t="s">
        <v>4706</v>
      </c>
      <c r="E881" s="13" t="s">
        <v>8728</v>
      </c>
      <c r="F881" s="15"/>
      <c r="G881" s="15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22.5" customHeight="1">
      <c r="A882" s="17">
        <v>880.0</v>
      </c>
      <c r="B882" s="20">
        <v>80.0</v>
      </c>
      <c r="C882" s="13" t="s">
        <v>10058</v>
      </c>
      <c r="D882" s="13" t="s">
        <v>10059</v>
      </c>
      <c r="E882" s="13" t="s">
        <v>10060</v>
      </c>
      <c r="F882" s="14" t="s">
        <v>18</v>
      </c>
      <c r="G882" s="15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22.5" customHeight="1">
      <c r="A883" s="11">
        <v>881.0</v>
      </c>
      <c r="B883" s="20">
        <v>80.0</v>
      </c>
      <c r="C883" s="13" t="s">
        <v>10662</v>
      </c>
      <c r="D883" s="13" t="s">
        <v>10663</v>
      </c>
      <c r="E883" s="13" t="s">
        <v>10664</v>
      </c>
      <c r="F883" s="14" t="s">
        <v>18</v>
      </c>
      <c r="G883" s="15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22.5" customHeight="1">
      <c r="A884" s="17">
        <v>882.0</v>
      </c>
      <c r="B884" s="20">
        <v>80.0</v>
      </c>
      <c r="C884" s="13" t="s">
        <v>10665</v>
      </c>
      <c r="D884" s="13" t="s">
        <v>10666</v>
      </c>
      <c r="E884" s="13" t="s">
        <v>10667</v>
      </c>
      <c r="F884" s="15"/>
      <c r="G884" s="15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22.5" customHeight="1">
      <c r="A885" s="11">
        <v>883.0</v>
      </c>
      <c r="B885" s="20">
        <v>80.0</v>
      </c>
      <c r="C885" s="13" t="s">
        <v>10668</v>
      </c>
      <c r="D885" s="13" t="s">
        <v>10669</v>
      </c>
      <c r="E885" s="13" t="s">
        <v>10670</v>
      </c>
      <c r="F885" s="14" t="s">
        <v>18</v>
      </c>
      <c r="G885" s="15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22.5" customHeight="1">
      <c r="A886" s="17">
        <v>884.0</v>
      </c>
      <c r="B886" s="20">
        <v>80.0</v>
      </c>
      <c r="C886" s="13" t="s">
        <v>10671</v>
      </c>
      <c r="D886" s="13" t="s">
        <v>10672</v>
      </c>
      <c r="E886" s="13" t="s">
        <v>10673</v>
      </c>
      <c r="F886" s="14" t="s">
        <v>18</v>
      </c>
      <c r="G886" s="15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22.5" customHeight="1">
      <c r="A887" s="11">
        <v>885.0</v>
      </c>
      <c r="B887" s="20">
        <v>80.0</v>
      </c>
      <c r="C887" s="13" t="s">
        <v>10674</v>
      </c>
      <c r="D887" s="13" t="s">
        <v>10675</v>
      </c>
      <c r="E887" s="13" t="s">
        <v>10676</v>
      </c>
      <c r="F887" s="14" t="s">
        <v>18</v>
      </c>
      <c r="G887" s="14" t="s">
        <v>18</v>
      </c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22.5" customHeight="1">
      <c r="A888" s="17">
        <v>886.0</v>
      </c>
      <c r="B888" s="20">
        <v>80.0</v>
      </c>
      <c r="C888" s="13" t="s">
        <v>10677</v>
      </c>
      <c r="D888" s="13" t="s">
        <v>10678</v>
      </c>
      <c r="E888" s="13" t="s">
        <v>10679</v>
      </c>
      <c r="F888" s="15"/>
      <c r="G888" s="15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22.5" customHeight="1">
      <c r="A889" s="11">
        <v>887.0</v>
      </c>
      <c r="B889" s="20">
        <v>80.0</v>
      </c>
      <c r="C889" s="13" t="s">
        <v>10680</v>
      </c>
      <c r="D889" s="13" t="s">
        <v>1864</v>
      </c>
      <c r="E889" s="13" t="s">
        <v>2185</v>
      </c>
      <c r="F889" s="15"/>
      <c r="G889" s="15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22.5" customHeight="1">
      <c r="A890" s="17">
        <v>888.0</v>
      </c>
      <c r="B890" s="20">
        <v>80.0</v>
      </c>
      <c r="C890" s="13" t="s">
        <v>10681</v>
      </c>
      <c r="D890" s="13" t="s">
        <v>10682</v>
      </c>
      <c r="E890" s="13" t="s">
        <v>10683</v>
      </c>
      <c r="F890" s="15"/>
      <c r="G890" s="15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22.5" customHeight="1">
      <c r="A891" s="11">
        <v>889.0</v>
      </c>
      <c r="B891" s="20">
        <v>80.0</v>
      </c>
      <c r="C891" s="13" t="s">
        <v>9192</v>
      </c>
      <c r="D891" s="13" t="s">
        <v>9193</v>
      </c>
      <c r="E891" s="13" t="s">
        <v>10684</v>
      </c>
      <c r="F891" s="14" t="s">
        <v>18</v>
      </c>
      <c r="G891" s="14" t="s">
        <v>18</v>
      </c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22.5" customHeight="1">
      <c r="A892" s="17">
        <v>890.0</v>
      </c>
      <c r="B892" s="20">
        <v>80.0</v>
      </c>
      <c r="C892" s="13" t="s">
        <v>10685</v>
      </c>
      <c r="D892" s="13" t="s">
        <v>10686</v>
      </c>
      <c r="E892" s="13" t="s">
        <v>10687</v>
      </c>
      <c r="F892" s="15"/>
      <c r="G892" s="15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22.5" customHeight="1">
      <c r="A893" s="11">
        <v>891.0</v>
      </c>
      <c r="B893" s="20">
        <v>80.0</v>
      </c>
      <c r="C893" s="13" t="s">
        <v>5588</v>
      </c>
      <c r="D893" s="13" t="s">
        <v>5587</v>
      </c>
      <c r="E893" s="13" t="s">
        <v>10688</v>
      </c>
      <c r="F893" s="14" t="s">
        <v>18</v>
      </c>
      <c r="G893" s="15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22.5" customHeight="1">
      <c r="A894" s="17">
        <v>892.0</v>
      </c>
      <c r="B894" s="20">
        <v>80.0</v>
      </c>
      <c r="C894" s="13" t="s">
        <v>10689</v>
      </c>
      <c r="D894" s="13" t="s">
        <v>10690</v>
      </c>
      <c r="E894" s="13" t="s">
        <v>10691</v>
      </c>
      <c r="F894" s="15"/>
      <c r="G894" s="15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22.5" customHeight="1">
      <c r="A895" s="11">
        <v>893.0</v>
      </c>
      <c r="B895" s="20">
        <v>80.0</v>
      </c>
      <c r="C895" s="13" t="s">
        <v>10692</v>
      </c>
      <c r="D895" s="13" t="s">
        <v>10693</v>
      </c>
      <c r="E895" s="13" t="s">
        <v>10694</v>
      </c>
      <c r="F895" s="15"/>
      <c r="G895" s="15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22.5" customHeight="1">
      <c r="A896" s="17">
        <v>894.0</v>
      </c>
      <c r="B896" s="20">
        <v>80.0</v>
      </c>
      <c r="C896" s="13" t="s">
        <v>10695</v>
      </c>
      <c r="D896" s="13" t="s">
        <v>10696</v>
      </c>
      <c r="E896" s="13" t="s">
        <v>10697</v>
      </c>
      <c r="F896" s="15"/>
      <c r="G896" s="15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22.5" customHeight="1">
      <c r="A897" s="11">
        <v>895.0</v>
      </c>
      <c r="B897" s="20">
        <v>80.0</v>
      </c>
      <c r="C897" s="13" t="s">
        <v>10698</v>
      </c>
      <c r="D897" s="13" t="s">
        <v>10699</v>
      </c>
      <c r="E897" s="13" t="s">
        <v>10700</v>
      </c>
      <c r="F897" s="14" t="s">
        <v>18</v>
      </c>
      <c r="G897" s="15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22.5" customHeight="1">
      <c r="A898" s="17">
        <v>896.0</v>
      </c>
      <c r="B898" s="20">
        <v>80.0</v>
      </c>
      <c r="C898" s="13" t="s">
        <v>10701</v>
      </c>
      <c r="D898" s="13" t="s">
        <v>10702</v>
      </c>
      <c r="E898" s="13" t="s">
        <v>10703</v>
      </c>
      <c r="F898" s="14" t="s">
        <v>18</v>
      </c>
      <c r="G898" s="15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22.5" customHeight="1">
      <c r="A899" s="11">
        <v>897.0</v>
      </c>
      <c r="B899" s="20">
        <v>80.0</v>
      </c>
      <c r="C899" s="13" t="s">
        <v>10704</v>
      </c>
      <c r="D899" s="13" t="s">
        <v>10705</v>
      </c>
      <c r="E899" s="13" t="s">
        <v>10706</v>
      </c>
      <c r="F899" s="15"/>
      <c r="G899" s="15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22.5" customHeight="1">
      <c r="A900" s="17">
        <v>898.0</v>
      </c>
      <c r="B900" s="20">
        <v>80.0</v>
      </c>
      <c r="C900" s="13" t="s">
        <v>10707</v>
      </c>
      <c r="D900" s="13" t="s">
        <v>10708</v>
      </c>
      <c r="E900" s="13" t="s">
        <v>10709</v>
      </c>
      <c r="F900" s="14" t="s">
        <v>18</v>
      </c>
      <c r="G900" s="15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22.5" customHeight="1">
      <c r="A901" s="11">
        <v>899.0</v>
      </c>
      <c r="B901" s="20">
        <v>80.0</v>
      </c>
      <c r="C901" s="13" t="s">
        <v>6095</v>
      </c>
      <c r="D901" s="13" t="s">
        <v>10109</v>
      </c>
      <c r="E901" s="13" t="s">
        <v>10110</v>
      </c>
      <c r="F901" s="14" t="s">
        <v>18</v>
      </c>
      <c r="G901" s="15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22.5" customHeight="1">
      <c r="A902" s="17">
        <v>900.0</v>
      </c>
      <c r="B902" s="20">
        <v>79.0</v>
      </c>
      <c r="C902" s="13" t="s">
        <v>10710</v>
      </c>
      <c r="D902" s="13" t="s">
        <v>10711</v>
      </c>
      <c r="E902" s="13" t="s">
        <v>10712</v>
      </c>
      <c r="F902" s="15"/>
      <c r="G902" s="15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22.5" customHeight="1">
      <c r="A903" s="11">
        <v>901.0</v>
      </c>
      <c r="B903" s="20">
        <v>79.0</v>
      </c>
      <c r="C903" s="13" t="s">
        <v>10713</v>
      </c>
      <c r="D903" s="13" t="s">
        <v>10714</v>
      </c>
      <c r="E903" s="13" t="s">
        <v>10715</v>
      </c>
      <c r="F903" s="14" t="s">
        <v>18</v>
      </c>
      <c r="G903" s="15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22.5" customHeight="1">
      <c r="A904" s="17">
        <v>902.0</v>
      </c>
      <c r="B904" s="20">
        <v>79.0</v>
      </c>
      <c r="C904" s="13" t="s">
        <v>9034</v>
      </c>
      <c r="D904" s="13" t="s">
        <v>9035</v>
      </c>
      <c r="E904" s="13" t="s">
        <v>9651</v>
      </c>
      <c r="F904" s="15"/>
      <c r="G904" s="15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22.5" customHeight="1">
      <c r="A905" s="11">
        <v>903.0</v>
      </c>
      <c r="B905" s="20">
        <v>79.0</v>
      </c>
      <c r="C905" s="13" t="s">
        <v>9523</v>
      </c>
      <c r="D905" s="13" t="s">
        <v>9524</v>
      </c>
      <c r="E905" s="13" t="s">
        <v>9525</v>
      </c>
      <c r="F905" s="15"/>
      <c r="G905" s="15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22.5" customHeight="1">
      <c r="A906" s="17">
        <v>904.0</v>
      </c>
      <c r="B906" s="20">
        <v>79.0</v>
      </c>
      <c r="C906" s="13" t="s">
        <v>10716</v>
      </c>
      <c r="D906" s="13" t="s">
        <v>10717</v>
      </c>
      <c r="E906" s="13" t="s">
        <v>10718</v>
      </c>
      <c r="F906" s="15"/>
      <c r="G906" s="15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22.5" customHeight="1">
      <c r="A907" s="11">
        <v>905.0</v>
      </c>
      <c r="B907" s="20">
        <v>79.0</v>
      </c>
      <c r="C907" s="13" t="s">
        <v>10533</v>
      </c>
      <c r="D907" s="13" t="s">
        <v>10534</v>
      </c>
      <c r="E907" s="13" t="s">
        <v>10719</v>
      </c>
      <c r="F907" s="14" t="s">
        <v>18</v>
      </c>
      <c r="G907" s="14" t="s">
        <v>18</v>
      </c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22.5" customHeight="1">
      <c r="A908" s="17">
        <v>906.0</v>
      </c>
      <c r="B908" s="20">
        <v>79.0</v>
      </c>
      <c r="C908" s="13" t="s">
        <v>9155</v>
      </c>
      <c r="D908" s="13" t="s">
        <v>9156</v>
      </c>
      <c r="E908" s="13" t="s">
        <v>9157</v>
      </c>
      <c r="F908" s="14" t="s">
        <v>18</v>
      </c>
      <c r="G908" s="14" t="s">
        <v>18</v>
      </c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22.5" customHeight="1">
      <c r="A909" s="11">
        <v>907.0</v>
      </c>
      <c r="B909" s="20">
        <v>79.0</v>
      </c>
      <c r="C909" s="13" t="s">
        <v>10720</v>
      </c>
      <c r="D909" s="13" t="s">
        <v>10721</v>
      </c>
      <c r="E909" s="13" t="s">
        <v>10722</v>
      </c>
      <c r="F909" s="14" t="s">
        <v>18</v>
      </c>
      <c r="G909" s="15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22.5" customHeight="1">
      <c r="A910" s="17">
        <v>908.0</v>
      </c>
      <c r="B910" s="20">
        <v>79.0</v>
      </c>
      <c r="C910" s="13" t="s">
        <v>10723</v>
      </c>
      <c r="D910" s="13" t="s">
        <v>10724</v>
      </c>
      <c r="E910" s="13" t="s">
        <v>10725</v>
      </c>
      <c r="F910" s="14" t="s">
        <v>18</v>
      </c>
      <c r="G910" s="15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22.5" customHeight="1">
      <c r="A911" s="11">
        <v>909.0</v>
      </c>
      <c r="B911" s="20">
        <v>79.0</v>
      </c>
      <c r="C911" s="13" t="s">
        <v>10726</v>
      </c>
      <c r="D911" s="13" t="s">
        <v>10727</v>
      </c>
      <c r="E911" s="13" t="s">
        <v>10728</v>
      </c>
      <c r="F911" s="14" t="s">
        <v>18</v>
      </c>
      <c r="G911" s="15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22.5" customHeight="1">
      <c r="A912" s="17">
        <v>910.0</v>
      </c>
      <c r="B912" s="20">
        <v>79.0</v>
      </c>
      <c r="C912" s="13" t="s">
        <v>5509</v>
      </c>
      <c r="D912" s="13" t="s">
        <v>5508</v>
      </c>
      <c r="E912" s="13" t="s">
        <v>10729</v>
      </c>
      <c r="F912" s="14" t="s">
        <v>18</v>
      </c>
      <c r="G912" s="15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22.5" customHeight="1">
      <c r="A913" s="11">
        <v>911.0</v>
      </c>
      <c r="B913" s="20">
        <v>79.0</v>
      </c>
      <c r="C913" s="13" t="s">
        <v>10730</v>
      </c>
      <c r="D913" s="13" t="s">
        <v>10731</v>
      </c>
      <c r="E913" s="13" t="s">
        <v>10732</v>
      </c>
      <c r="F913" s="14" t="s">
        <v>18</v>
      </c>
      <c r="G913" s="15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22.5" customHeight="1">
      <c r="A914" s="17">
        <v>912.0</v>
      </c>
      <c r="B914" s="20">
        <v>79.0</v>
      </c>
      <c r="C914" s="13" t="s">
        <v>10733</v>
      </c>
      <c r="D914" s="13" t="s">
        <v>10734</v>
      </c>
      <c r="E914" s="13" t="s">
        <v>10735</v>
      </c>
      <c r="F914" s="14" t="s">
        <v>18</v>
      </c>
      <c r="G914" s="15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22.5" customHeight="1">
      <c r="A915" s="11">
        <v>913.0</v>
      </c>
      <c r="B915" s="20">
        <v>79.0</v>
      </c>
      <c r="C915" s="13" t="s">
        <v>6178</v>
      </c>
      <c r="D915" s="13" t="s">
        <v>6177</v>
      </c>
      <c r="E915" s="13" t="s">
        <v>10736</v>
      </c>
      <c r="F915" s="15"/>
      <c r="G915" s="15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22.5" customHeight="1">
      <c r="A916" s="17">
        <v>914.0</v>
      </c>
      <c r="B916" s="20">
        <v>79.0</v>
      </c>
      <c r="C916" s="13" t="s">
        <v>8929</v>
      </c>
      <c r="D916" s="13" t="s">
        <v>8930</v>
      </c>
      <c r="E916" s="13" t="s">
        <v>8931</v>
      </c>
      <c r="F916" s="15"/>
      <c r="G916" s="15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22.5" customHeight="1">
      <c r="A917" s="11">
        <v>915.0</v>
      </c>
      <c r="B917" s="20">
        <v>79.0</v>
      </c>
      <c r="C917" s="13" t="s">
        <v>4850</v>
      </c>
      <c r="D917" s="13" t="s">
        <v>4849</v>
      </c>
      <c r="E917" s="13" t="s">
        <v>9236</v>
      </c>
      <c r="F917" s="15"/>
      <c r="G917" s="15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22.5" customHeight="1">
      <c r="A918" s="17">
        <v>916.0</v>
      </c>
      <c r="B918" s="20">
        <v>79.0</v>
      </c>
      <c r="C918" s="13" t="s">
        <v>2021</v>
      </c>
      <c r="D918" s="13" t="s">
        <v>4792</v>
      </c>
      <c r="E918" s="13" t="s">
        <v>9852</v>
      </c>
      <c r="F918" s="15"/>
      <c r="G918" s="15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22.5" customHeight="1">
      <c r="A919" s="11">
        <v>917.0</v>
      </c>
      <c r="B919" s="20">
        <v>79.0</v>
      </c>
      <c r="C919" s="13" t="s">
        <v>8814</v>
      </c>
      <c r="D919" s="13" t="s">
        <v>8815</v>
      </c>
      <c r="E919" s="13" t="s">
        <v>8943</v>
      </c>
      <c r="F919" s="14" t="s">
        <v>18</v>
      </c>
      <c r="G919" s="14" t="s">
        <v>18</v>
      </c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22.5" customHeight="1">
      <c r="A920" s="17">
        <v>918.0</v>
      </c>
      <c r="B920" s="20">
        <v>79.0</v>
      </c>
      <c r="C920" s="13" t="s">
        <v>6217</v>
      </c>
      <c r="D920" s="13" t="s">
        <v>6216</v>
      </c>
      <c r="E920" s="13" t="s">
        <v>10262</v>
      </c>
      <c r="F920" s="15"/>
      <c r="G920" s="15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22.5" customHeight="1">
      <c r="A921" s="11">
        <v>919.0</v>
      </c>
      <c r="B921" s="20">
        <v>79.0</v>
      </c>
      <c r="C921" s="13" t="s">
        <v>9180</v>
      </c>
      <c r="D921" s="13" t="s">
        <v>9181</v>
      </c>
      <c r="E921" s="13" t="s">
        <v>9182</v>
      </c>
      <c r="F921" s="15"/>
      <c r="G921" s="15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22.5" customHeight="1">
      <c r="A922" s="17">
        <v>920.0</v>
      </c>
      <c r="B922" s="20">
        <v>79.0</v>
      </c>
      <c r="C922" s="13" t="s">
        <v>8830</v>
      </c>
      <c r="D922" s="13" t="s">
        <v>8831</v>
      </c>
      <c r="E922" s="13" t="s">
        <v>8832</v>
      </c>
      <c r="F922" s="14" t="s">
        <v>18</v>
      </c>
      <c r="G922" s="15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22.5" customHeight="1">
      <c r="A923" s="11">
        <v>921.0</v>
      </c>
      <c r="B923" s="20">
        <v>79.0</v>
      </c>
      <c r="C923" s="13" t="s">
        <v>10737</v>
      </c>
      <c r="D923" s="13" t="s">
        <v>10738</v>
      </c>
      <c r="E923" s="13" t="s">
        <v>10739</v>
      </c>
      <c r="F923" s="14" t="s">
        <v>18</v>
      </c>
      <c r="G923" s="15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22.5" customHeight="1">
      <c r="A924" s="17">
        <v>922.0</v>
      </c>
      <c r="B924" s="20">
        <v>79.0</v>
      </c>
      <c r="C924" s="13" t="s">
        <v>10740</v>
      </c>
      <c r="D924" s="13" t="s">
        <v>10741</v>
      </c>
      <c r="E924" s="13" t="s">
        <v>10742</v>
      </c>
      <c r="F924" s="14" t="s">
        <v>18</v>
      </c>
      <c r="G924" s="15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22.5" customHeight="1">
      <c r="A925" s="11">
        <v>923.0</v>
      </c>
      <c r="B925" s="20">
        <v>79.0</v>
      </c>
      <c r="C925" s="13" t="s">
        <v>10743</v>
      </c>
      <c r="D925" s="13" t="s">
        <v>10744</v>
      </c>
      <c r="E925" s="13" t="s">
        <v>10745</v>
      </c>
      <c r="F925" s="14" t="s">
        <v>18</v>
      </c>
      <c r="G925" s="15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22.5" customHeight="1">
      <c r="A926" s="17">
        <v>924.0</v>
      </c>
      <c r="B926" s="20">
        <v>79.0</v>
      </c>
      <c r="C926" s="13" t="s">
        <v>1216</v>
      </c>
      <c r="D926" s="13" t="s">
        <v>1215</v>
      </c>
      <c r="E926" s="13" t="s">
        <v>2414</v>
      </c>
      <c r="F926" s="15"/>
      <c r="G926" s="15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22.5" customHeight="1">
      <c r="A927" s="11">
        <v>925.0</v>
      </c>
      <c r="B927" s="20">
        <v>79.0</v>
      </c>
      <c r="C927" s="13" t="s">
        <v>9075</v>
      </c>
      <c r="D927" s="13" t="s">
        <v>9076</v>
      </c>
      <c r="E927" s="13" t="s">
        <v>9077</v>
      </c>
      <c r="F927" s="15"/>
      <c r="G927" s="15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22.5" customHeight="1">
      <c r="A928" s="17">
        <v>926.0</v>
      </c>
      <c r="B928" s="20">
        <v>79.0</v>
      </c>
      <c r="C928" s="13" t="s">
        <v>5928</v>
      </c>
      <c r="D928" s="13" t="s">
        <v>5927</v>
      </c>
      <c r="E928" s="13" t="s">
        <v>9341</v>
      </c>
      <c r="F928" s="15"/>
      <c r="G928" s="15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22.5" customHeight="1">
      <c r="A929" s="11">
        <v>927.0</v>
      </c>
      <c r="B929" s="20">
        <v>79.0</v>
      </c>
      <c r="C929" s="13" t="s">
        <v>10746</v>
      </c>
      <c r="D929" s="13" t="s">
        <v>1687</v>
      </c>
      <c r="E929" s="13" t="s">
        <v>3224</v>
      </c>
      <c r="F929" s="14" t="s">
        <v>18</v>
      </c>
      <c r="G929" s="15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22.5" customHeight="1">
      <c r="A930" s="17">
        <v>928.0</v>
      </c>
      <c r="B930" s="20">
        <v>79.0</v>
      </c>
      <c r="C930" s="13" t="s">
        <v>10747</v>
      </c>
      <c r="D930" s="13" t="s">
        <v>10748</v>
      </c>
      <c r="E930" s="13" t="s">
        <v>10749</v>
      </c>
      <c r="F930" s="14" t="s">
        <v>18</v>
      </c>
      <c r="G930" s="15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22.5" customHeight="1">
      <c r="A931" s="11">
        <v>929.0</v>
      </c>
      <c r="B931" s="20">
        <v>79.0</v>
      </c>
      <c r="C931" s="13" t="s">
        <v>6227</v>
      </c>
      <c r="D931" s="13" t="s">
        <v>6226</v>
      </c>
      <c r="E931" s="13" t="s">
        <v>9317</v>
      </c>
      <c r="F931" s="14" t="s">
        <v>18</v>
      </c>
      <c r="G931" s="15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22.5" customHeight="1">
      <c r="A932" s="17">
        <v>930.0</v>
      </c>
      <c r="B932" s="20">
        <v>78.0</v>
      </c>
      <c r="C932" s="13" t="s">
        <v>10750</v>
      </c>
      <c r="D932" s="13" t="s">
        <v>10751</v>
      </c>
      <c r="E932" s="13" t="s">
        <v>10752</v>
      </c>
      <c r="F932" s="15"/>
      <c r="G932" s="15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22.5" customHeight="1">
      <c r="A933" s="11">
        <v>931.0</v>
      </c>
      <c r="B933" s="20">
        <v>78.0</v>
      </c>
      <c r="C933" s="13" t="s">
        <v>10753</v>
      </c>
      <c r="D933" s="13" t="s">
        <v>10754</v>
      </c>
      <c r="E933" s="13" t="s">
        <v>10755</v>
      </c>
      <c r="F933" s="14" t="s">
        <v>18</v>
      </c>
      <c r="G933" s="15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22.5" customHeight="1">
      <c r="A934" s="17">
        <v>932.0</v>
      </c>
      <c r="B934" s="20">
        <v>78.0</v>
      </c>
      <c r="C934" s="13" t="s">
        <v>10756</v>
      </c>
      <c r="D934" s="13" t="s">
        <v>10757</v>
      </c>
      <c r="E934" s="13" t="s">
        <v>10758</v>
      </c>
      <c r="F934" s="15"/>
      <c r="G934" s="15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22.5" customHeight="1">
      <c r="A935" s="11">
        <v>933.0</v>
      </c>
      <c r="B935" s="20">
        <v>78.0</v>
      </c>
      <c r="C935" s="13" t="s">
        <v>10759</v>
      </c>
      <c r="D935" s="13" t="s">
        <v>10760</v>
      </c>
      <c r="E935" s="13" t="s">
        <v>10761</v>
      </c>
      <c r="F935" s="14" t="s">
        <v>18</v>
      </c>
      <c r="G935" s="15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22.5" customHeight="1">
      <c r="A936" s="17">
        <v>934.0</v>
      </c>
      <c r="B936" s="20">
        <v>78.0</v>
      </c>
      <c r="C936" s="13" t="s">
        <v>10762</v>
      </c>
      <c r="D936" s="13" t="s">
        <v>10763</v>
      </c>
      <c r="E936" s="13" t="s">
        <v>10764</v>
      </c>
      <c r="F936" s="14" t="s">
        <v>18</v>
      </c>
      <c r="G936" s="15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22.5" customHeight="1">
      <c r="A937" s="11">
        <v>935.0</v>
      </c>
      <c r="B937" s="20">
        <v>78.0</v>
      </c>
      <c r="C937" s="13" t="s">
        <v>10765</v>
      </c>
      <c r="D937" s="13" t="s">
        <v>10766</v>
      </c>
      <c r="E937" s="13" t="s">
        <v>10767</v>
      </c>
      <c r="F937" s="14" t="s">
        <v>18</v>
      </c>
      <c r="G937" s="15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22.5" customHeight="1">
      <c r="A938" s="17">
        <v>936.0</v>
      </c>
      <c r="B938" s="20">
        <v>78.0</v>
      </c>
      <c r="C938" s="13" t="s">
        <v>9698</v>
      </c>
      <c r="D938" s="13" t="s">
        <v>9699</v>
      </c>
      <c r="E938" s="13" t="s">
        <v>9700</v>
      </c>
      <c r="F938" s="15"/>
      <c r="G938" s="15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22.5" customHeight="1">
      <c r="A939" s="11">
        <v>937.0</v>
      </c>
      <c r="B939" s="20">
        <v>78.0</v>
      </c>
      <c r="C939" s="13" t="s">
        <v>10768</v>
      </c>
      <c r="D939" s="13" t="s">
        <v>10769</v>
      </c>
      <c r="E939" s="13" t="s">
        <v>10770</v>
      </c>
      <c r="F939" s="15"/>
      <c r="G939" s="15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22.5" customHeight="1">
      <c r="A940" s="17">
        <v>938.0</v>
      </c>
      <c r="B940" s="20">
        <v>78.0</v>
      </c>
      <c r="C940" s="13" t="s">
        <v>10771</v>
      </c>
      <c r="D940" s="13" t="s">
        <v>10772</v>
      </c>
      <c r="E940" s="13" t="s">
        <v>10773</v>
      </c>
      <c r="F940" s="14" t="s">
        <v>18</v>
      </c>
      <c r="G940" s="15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22.5" customHeight="1">
      <c r="A941" s="11">
        <v>939.0</v>
      </c>
      <c r="B941" s="20">
        <v>78.0</v>
      </c>
      <c r="C941" s="13" t="s">
        <v>10774</v>
      </c>
      <c r="D941" s="13" t="s">
        <v>10775</v>
      </c>
      <c r="E941" s="13" t="s">
        <v>10776</v>
      </c>
      <c r="F941" s="14" t="s">
        <v>18</v>
      </c>
      <c r="G941" s="15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22.5" customHeight="1">
      <c r="A942" s="17">
        <v>940.0</v>
      </c>
      <c r="B942" s="20">
        <v>78.0</v>
      </c>
      <c r="C942" s="13" t="s">
        <v>10777</v>
      </c>
      <c r="D942" s="13" t="s">
        <v>10778</v>
      </c>
      <c r="E942" s="13" t="s">
        <v>10779</v>
      </c>
      <c r="F942" s="14" t="s">
        <v>18</v>
      </c>
      <c r="G942" s="15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22.5" customHeight="1">
      <c r="A943" s="11">
        <v>941.0</v>
      </c>
      <c r="B943" s="20">
        <v>78.0</v>
      </c>
      <c r="C943" s="13" t="s">
        <v>10780</v>
      </c>
      <c r="D943" s="13" t="s">
        <v>10781</v>
      </c>
      <c r="E943" s="13" t="s">
        <v>10782</v>
      </c>
      <c r="F943" s="15"/>
      <c r="G943" s="15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22.5" customHeight="1">
      <c r="A944" s="17">
        <v>942.0</v>
      </c>
      <c r="B944" s="20">
        <v>78.0</v>
      </c>
      <c r="C944" s="13" t="s">
        <v>10783</v>
      </c>
      <c r="D944" s="13" t="s">
        <v>10784</v>
      </c>
      <c r="E944" s="13" t="s">
        <v>10785</v>
      </c>
      <c r="F944" s="14" t="s">
        <v>18</v>
      </c>
      <c r="G944" s="15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22.5" customHeight="1">
      <c r="A945" s="11">
        <v>943.0</v>
      </c>
      <c r="B945" s="20">
        <v>78.0</v>
      </c>
      <c r="C945" s="13" t="s">
        <v>10786</v>
      </c>
      <c r="D945" s="13" t="s">
        <v>10787</v>
      </c>
      <c r="E945" s="13" t="s">
        <v>10788</v>
      </c>
      <c r="F945" s="14" t="s">
        <v>18</v>
      </c>
      <c r="G945" s="15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22.5" customHeight="1">
      <c r="A946" s="17">
        <v>944.0</v>
      </c>
      <c r="B946" s="20">
        <v>78.0</v>
      </c>
      <c r="C946" s="13" t="s">
        <v>10789</v>
      </c>
      <c r="D946" s="13" t="s">
        <v>10790</v>
      </c>
      <c r="E946" s="13" t="s">
        <v>10791</v>
      </c>
      <c r="F946" s="14" t="s">
        <v>18</v>
      </c>
      <c r="G946" s="15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22.5" customHeight="1">
      <c r="A947" s="11">
        <v>945.0</v>
      </c>
      <c r="B947" s="20">
        <v>78.0</v>
      </c>
      <c r="C947" s="13" t="s">
        <v>10792</v>
      </c>
      <c r="D947" s="13" t="s">
        <v>10793</v>
      </c>
      <c r="E947" s="13" t="s">
        <v>10794</v>
      </c>
      <c r="F947" s="14" t="s">
        <v>18</v>
      </c>
      <c r="G947" s="15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22.5" customHeight="1">
      <c r="A948" s="17">
        <v>946.0</v>
      </c>
      <c r="B948" s="20">
        <v>78.0</v>
      </c>
      <c r="C948" s="13" t="s">
        <v>10795</v>
      </c>
      <c r="D948" s="13" t="s">
        <v>10796</v>
      </c>
      <c r="E948" s="13" t="s">
        <v>10797</v>
      </c>
      <c r="F948" s="14" t="s">
        <v>18</v>
      </c>
      <c r="G948" s="15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22.5" customHeight="1">
      <c r="A949" s="11">
        <v>947.0</v>
      </c>
      <c r="B949" s="20">
        <v>78.0</v>
      </c>
      <c r="C949" s="13" t="s">
        <v>5548</v>
      </c>
      <c r="D949" s="13" t="s">
        <v>5547</v>
      </c>
      <c r="E949" s="13" t="s">
        <v>10798</v>
      </c>
      <c r="F949" s="14" t="s">
        <v>18</v>
      </c>
      <c r="G949" s="15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22.5" customHeight="1">
      <c r="A950" s="17">
        <v>948.0</v>
      </c>
      <c r="B950" s="20">
        <v>78.0</v>
      </c>
      <c r="C950" s="13" t="s">
        <v>10799</v>
      </c>
      <c r="D950" s="13" t="s">
        <v>10800</v>
      </c>
      <c r="E950" s="13" t="s">
        <v>10801</v>
      </c>
      <c r="F950" s="14" t="s">
        <v>18</v>
      </c>
      <c r="G950" s="15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22.5" customHeight="1">
      <c r="A951" s="11">
        <v>949.0</v>
      </c>
      <c r="B951" s="20">
        <v>78.0</v>
      </c>
      <c r="C951" s="13" t="s">
        <v>9840</v>
      </c>
      <c r="D951" s="13" t="s">
        <v>9841</v>
      </c>
      <c r="E951" s="13" t="s">
        <v>10802</v>
      </c>
      <c r="F951" s="15"/>
      <c r="G951" s="15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22.5" customHeight="1">
      <c r="A952" s="17">
        <v>950.0</v>
      </c>
      <c r="B952" s="20">
        <v>78.0</v>
      </c>
      <c r="C952" s="13" t="s">
        <v>9701</v>
      </c>
      <c r="D952" s="13" t="s">
        <v>9702</v>
      </c>
      <c r="E952" s="13" t="s">
        <v>9703</v>
      </c>
      <c r="F952" s="15"/>
      <c r="G952" s="15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22.5" customHeight="1">
      <c r="A953" s="11">
        <v>951.0</v>
      </c>
      <c r="B953" s="20">
        <v>78.0</v>
      </c>
      <c r="C953" s="13" t="s">
        <v>10803</v>
      </c>
      <c r="D953" s="13" t="s">
        <v>10804</v>
      </c>
      <c r="E953" s="13" t="s">
        <v>10805</v>
      </c>
      <c r="F953" s="15"/>
      <c r="G953" s="15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22.5" customHeight="1">
      <c r="A954" s="17">
        <v>952.0</v>
      </c>
      <c r="B954" s="20">
        <v>78.0</v>
      </c>
      <c r="C954" s="13" t="s">
        <v>10806</v>
      </c>
      <c r="D954" s="13" t="s">
        <v>10807</v>
      </c>
      <c r="E954" s="13" t="s">
        <v>10808</v>
      </c>
      <c r="F954" s="14" t="s">
        <v>18</v>
      </c>
      <c r="G954" s="15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22.5" customHeight="1">
      <c r="A955" s="11">
        <v>953.0</v>
      </c>
      <c r="B955" s="20">
        <v>78.0</v>
      </c>
      <c r="C955" s="13" t="s">
        <v>10809</v>
      </c>
      <c r="D955" s="13" t="s">
        <v>10810</v>
      </c>
      <c r="E955" s="13" t="s">
        <v>10811</v>
      </c>
      <c r="F955" s="15"/>
      <c r="G955" s="15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22.5" customHeight="1">
      <c r="A956" s="17">
        <v>954.0</v>
      </c>
      <c r="B956" s="20">
        <v>78.0</v>
      </c>
      <c r="C956" s="13" t="s">
        <v>10812</v>
      </c>
      <c r="D956" s="13" t="s">
        <v>10813</v>
      </c>
      <c r="E956" s="13" t="s">
        <v>10814</v>
      </c>
      <c r="F956" s="15"/>
      <c r="G956" s="15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22.5" customHeight="1">
      <c r="A957" s="11">
        <v>955.0</v>
      </c>
      <c r="B957" s="20">
        <v>78.0</v>
      </c>
      <c r="C957" s="13" t="s">
        <v>10815</v>
      </c>
      <c r="D957" s="13" t="s">
        <v>10816</v>
      </c>
      <c r="E957" s="13" t="s">
        <v>10817</v>
      </c>
      <c r="F957" s="15"/>
      <c r="G957" s="15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22.5" customHeight="1">
      <c r="A958" s="17">
        <v>956.0</v>
      </c>
      <c r="B958" s="20">
        <v>78.0</v>
      </c>
      <c r="C958" s="13" t="s">
        <v>10818</v>
      </c>
      <c r="D958" s="13" t="s">
        <v>10819</v>
      </c>
      <c r="E958" s="13" t="s">
        <v>10820</v>
      </c>
      <c r="F958" s="14" t="s">
        <v>18</v>
      </c>
      <c r="G958" s="15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22.5" customHeight="1">
      <c r="A959" s="11">
        <v>957.0</v>
      </c>
      <c r="B959" s="20">
        <v>78.0</v>
      </c>
      <c r="C959" s="13" t="s">
        <v>10821</v>
      </c>
      <c r="D959" s="13" t="s">
        <v>10822</v>
      </c>
      <c r="E959" s="13" t="s">
        <v>10823</v>
      </c>
      <c r="F959" s="14" t="s">
        <v>18</v>
      </c>
      <c r="G959" s="15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22.5" customHeight="1">
      <c r="A960" s="17">
        <v>958.0</v>
      </c>
      <c r="B960" s="20">
        <v>78.0</v>
      </c>
      <c r="C960" s="13" t="s">
        <v>10824</v>
      </c>
      <c r="D960" s="13" t="s">
        <v>10825</v>
      </c>
      <c r="E960" s="13" t="s">
        <v>10826</v>
      </c>
      <c r="F960" s="14" t="s">
        <v>18</v>
      </c>
      <c r="G960" s="15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22.5" customHeight="1">
      <c r="A961" s="11">
        <v>959.0</v>
      </c>
      <c r="B961" s="20">
        <v>78.0</v>
      </c>
      <c r="C961" s="13" t="s">
        <v>10827</v>
      </c>
      <c r="D961" s="13" t="s">
        <v>10828</v>
      </c>
      <c r="E961" s="13" t="s">
        <v>10829</v>
      </c>
      <c r="F961" s="14" t="s">
        <v>18</v>
      </c>
      <c r="G961" s="15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22.5" customHeight="1">
      <c r="A962" s="17">
        <v>960.0</v>
      </c>
      <c r="B962" s="20">
        <v>77.0</v>
      </c>
      <c r="C962" s="13" t="s">
        <v>10830</v>
      </c>
      <c r="D962" s="13" t="s">
        <v>10831</v>
      </c>
      <c r="E962" s="13" t="s">
        <v>10832</v>
      </c>
      <c r="F962" s="14" t="s">
        <v>18</v>
      </c>
      <c r="G962" s="15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22.5" customHeight="1">
      <c r="A963" s="11">
        <v>961.0</v>
      </c>
      <c r="B963" s="20">
        <v>77.0</v>
      </c>
      <c r="C963" s="13" t="s">
        <v>10833</v>
      </c>
      <c r="D963" s="13" t="s">
        <v>10834</v>
      </c>
      <c r="E963" s="13" t="s">
        <v>10835</v>
      </c>
      <c r="F963" s="14" t="s">
        <v>18</v>
      </c>
      <c r="G963" s="15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22.5" customHeight="1">
      <c r="A964" s="17">
        <v>962.0</v>
      </c>
      <c r="B964" s="20">
        <v>77.0</v>
      </c>
      <c r="C964" s="13" t="s">
        <v>10836</v>
      </c>
      <c r="D964" s="13" t="s">
        <v>10837</v>
      </c>
      <c r="E964" s="13" t="s">
        <v>10838</v>
      </c>
      <c r="F964" s="14" t="s">
        <v>18</v>
      </c>
      <c r="G964" s="15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22.5" customHeight="1">
      <c r="A965" s="11">
        <v>963.0</v>
      </c>
      <c r="B965" s="20">
        <v>77.0</v>
      </c>
      <c r="C965" s="13" t="s">
        <v>10045</v>
      </c>
      <c r="D965" s="13" t="s">
        <v>10046</v>
      </c>
      <c r="E965" s="13" t="s">
        <v>10047</v>
      </c>
      <c r="F965" s="14" t="s">
        <v>18</v>
      </c>
      <c r="G965" s="15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22.5" customHeight="1">
      <c r="A966" s="17">
        <v>964.0</v>
      </c>
      <c r="B966" s="20">
        <v>77.0</v>
      </c>
      <c r="C966" s="13" t="s">
        <v>10839</v>
      </c>
      <c r="D966" s="13" t="s">
        <v>10840</v>
      </c>
      <c r="E966" s="13" t="s">
        <v>10841</v>
      </c>
      <c r="F966" s="14" t="s">
        <v>18</v>
      </c>
      <c r="G966" s="15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22.5" customHeight="1">
      <c r="A967" s="11">
        <v>965.0</v>
      </c>
      <c r="B967" s="20">
        <v>77.0</v>
      </c>
      <c r="C967" s="13" t="s">
        <v>10842</v>
      </c>
      <c r="D967" s="13" t="s">
        <v>10843</v>
      </c>
      <c r="E967" s="13" t="s">
        <v>10844</v>
      </c>
      <c r="F967" s="14" t="s">
        <v>18</v>
      </c>
      <c r="G967" s="15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22.5" customHeight="1">
      <c r="A968" s="17">
        <v>966.0</v>
      </c>
      <c r="B968" s="20">
        <v>77.0</v>
      </c>
      <c r="C968" s="13" t="s">
        <v>10845</v>
      </c>
      <c r="D968" s="13" t="s">
        <v>10846</v>
      </c>
      <c r="E968" s="13" t="s">
        <v>10847</v>
      </c>
      <c r="F968" s="15"/>
      <c r="G968" s="15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22.5" customHeight="1">
      <c r="A969" s="11">
        <v>967.0</v>
      </c>
      <c r="B969" s="20">
        <v>77.0</v>
      </c>
      <c r="C969" s="13" t="s">
        <v>10848</v>
      </c>
      <c r="D969" s="13" t="s">
        <v>10849</v>
      </c>
      <c r="E969" s="13" t="s">
        <v>10850</v>
      </c>
      <c r="F969" s="14" t="s">
        <v>18</v>
      </c>
      <c r="G969" s="15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22.5" customHeight="1">
      <c r="A970" s="17">
        <v>968.0</v>
      </c>
      <c r="B970" s="20">
        <v>77.0</v>
      </c>
      <c r="C970" s="13" t="s">
        <v>8904</v>
      </c>
      <c r="D970" s="13" t="s">
        <v>8905</v>
      </c>
      <c r="E970" s="13" t="s">
        <v>8906</v>
      </c>
      <c r="F970" s="15"/>
      <c r="G970" s="15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22.5" customHeight="1">
      <c r="A971" s="11">
        <v>969.0</v>
      </c>
      <c r="B971" s="20">
        <v>77.0</v>
      </c>
      <c r="C971" s="13" t="s">
        <v>10851</v>
      </c>
      <c r="D971" s="13" t="s">
        <v>10852</v>
      </c>
      <c r="E971" s="13" t="s">
        <v>10853</v>
      </c>
      <c r="F971" s="15"/>
      <c r="G971" s="15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22.5" customHeight="1">
      <c r="A972" s="17">
        <v>970.0</v>
      </c>
      <c r="B972" s="20">
        <v>77.0</v>
      </c>
      <c r="C972" s="13" t="s">
        <v>10854</v>
      </c>
      <c r="D972" s="13" t="s">
        <v>10855</v>
      </c>
      <c r="E972" s="13" t="s">
        <v>10856</v>
      </c>
      <c r="F972" s="14" t="s">
        <v>18</v>
      </c>
      <c r="G972" s="15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22.5" customHeight="1">
      <c r="A973" s="11">
        <v>971.0</v>
      </c>
      <c r="B973" s="20">
        <v>77.0</v>
      </c>
      <c r="C973" s="13" t="s">
        <v>10857</v>
      </c>
      <c r="D973" s="13" t="s">
        <v>10858</v>
      </c>
      <c r="E973" s="13" t="s">
        <v>10859</v>
      </c>
      <c r="F973" s="15"/>
      <c r="G973" s="15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22.5" customHeight="1">
      <c r="A974" s="17">
        <v>972.0</v>
      </c>
      <c r="B974" s="20">
        <v>77.0</v>
      </c>
      <c r="C974" s="13" t="s">
        <v>10860</v>
      </c>
      <c r="D974" s="13" t="s">
        <v>10861</v>
      </c>
      <c r="E974" s="13" t="s">
        <v>10862</v>
      </c>
      <c r="F974" s="15"/>
      <c r="G974" s="15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22.5" customHeight="1">
      <c r="A975" s="11">
        <v>973.0</v>
      </c>
      <c r="B975" s="20">
        <v>77.0</v>
      </c>
      <c r="C975" s="13" t="s">
        <v>8742</v>
      </c>
      <c r="D975" s="13" t="s">
        <v>1619</v>
      </c>
      <c r="E975" s="13" t="s">
        <v>8743</v>
      </c>
      <c r="F975" s="15"/>
      <c r="G975" s="15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22.5" customHeight="1">
      <c r="A976" s="17">
        <v>974.0</v>
      </c>
      <c r="B976" s="20">
        <v>77.0</v>
      </c>
      <c r="C976" s="13" t="s">
        <v>9652</v>
      </c>
      <c r="D976" s="13" t="s">
        <v>9653</v>
      </c>
      <c r="E976" s="13" t="s">
        <v>9654</v>
      </c>
      <c r="F976" s="15"/>
      <c r="G976" s="15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22.5" customHeight="1">
      <c r="A977" s="11">
        <v>975.0</v>
      </c>
      <c r="B977" s="20">
        <v>77.0</v>
      </c>
      <c r="C977" s="13" t="s">
        <v>9459</v>
      </c>
      <c r="D977" s="13" t="s">
        <v>9460</v>
      </c>
      <c r="E977" s="13" t="s">
        <v>10863</v>
      </c>
      <c r="F977" s="15"/>
      <c r="G977" s="15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22.5" customHeight="1">
      <c r="A978" s="17">
        <v>976.0</v>
      </c>
      <c r="B978" s="20">
        <v>77.0</v>
      </c>
      <c r="C978" s="13" t="s">
        <v>10864</v>
      </c>
      <c r="D978" s="13" t="s">
        <v>10865</v>
      </c>
      <c r="E978" s="13" t="s">
        <v>10866</v>
      </c>
      <c r="F978" s="15"/>
      <c r="G978" s="15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22.5" customHeight="1">
      <c r="A979" s="11">
        <v>977.0</v>
      </c>
      <c r="B979" s="20">
        <v>77.0</v>
      </c>
      <c r="C979" s="13" t="s">
        <v>10867</v>
      </c>
      <c r="D979" s="13" t="s">
        <v>10868</v>
      </c>
      <c r="E979" s="13" t="s">
        <v>10869</v>
      </c>
      <c r="F979" s="14" t="s">
        <v>18</v>
      </c>
      <c r="G979" s="15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22.5" customHeight="1">
      <c r="A980" s="17">
        <v>978.0</v>
      </c>
      <c r="B980" s="20">
        <v>77.0</v>
      </c>
      <c r="C980" s="13" t="s">
        <v>8797</v>
      </c>
      <c r="D980" s="13" t="s">
        <v>8798</v>
      </c>
      <c r="E980" s="13" t="s">
        <v>8799</v>
      </c>
      <c r="F980" s="15"/>
      <c r="G980" s="15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22.5" customHeight="1">
      <c r="A981" s="11">
        <v>979.0</v>
      </c>
      <c r="B981" s="20">
        <v>77.0</v>
      </c>
      <c r="C981" s="13" t="s">
        <v>10870</v>
      </c>
      <c r="D981" s="13" t="s">
        <v>10871</v>
      </c>
      <c r="E981" s="13" t="s">
        <v>10872</v>
      </c>
      <c r="F981" s="15"/>
      <c r="G981" s="15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22.5" customHeight="1">
      <c r="A982" s="17">
        <v>980.0</v>
      </c>
      <c r="B982" s="20">
        <v>77.0</v>
      </c>
      <c r="C982" s="13" t="s">
        <v>10873</v>
      </c>
      <c r="D982" s="13" t="s">
        <v>10874</v>
      </c>
      <c r="E982" s="13" t="s">
        <v>10875</v>
      </c>
      <c r="F982" s="15"/>
      <c r="G982" s="15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22.5" customHeight="1">
      <c r="A983" s="11">
        <v>981.0</v>
      </c>
      <c r="B983" s="20">
        <v>77.0</v>
      </c>
      <c r="C983" s="13" t="s">
        <v>1188</v>
      </c>
      <c r="D983" s="13" t="s">
        <v>5978</v>
      </c>
      <c r="E983" s="13" t="s">
        <v>10484</v>
      </c>
      <c r="F983" s="14" t="s">
        <v>18</v>
      </c>
      <c r="G983" s="15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22.5" customHeight="1">
      <c r="A984" s="17">
        <v>982.0</v>
      </c>
      <c r="B984" s="20">
        <v>77.0</v>
      </c>
      <c r="C984" s="13" t="s">
        <v>10876</v>
      </c>
      <c r="D984" s="13" t="s">
        <v>10877</v>
      </c>
      <c r="E984" s="13" t="s">
        <v>10878</v>
      </c>
      <c r="F984" s="15"/>
      <c r="G984" s="15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22.5" customHeight="1">
      <c r="A985" s="11">
        <v>983.0</v>
      </c>
      <c r="B985" s="20">
        <v>77.0</v>
      </c>
      <c r="C985" s="13" t="s">
        <v>10879</v>
      </c>
      <c r="D985" s="13" t="s">
        <v>10880</v>
      </c>
      <c r="E985" s="13" t="s">
        <v>10881</v>
      </c>
      <c r="F985" s="14" t="s">
        <v>18</v>
      </c>
      <c r="G985" s="15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22.5" customHeight="1">
      <c r="A986" s="17">
        <v>984.0</v>
      </c>
      <c r="B986" s="20">
        <v>77.0</v>
      </c>
      <c r="C986" s="13" t="s">
        <v>10882</v>
      </c>
      <c r="D986" s="13" t="s">
        <v>2536</v>
      </c>
      <c r="E986" s="13" t="s">
        <v>2712</v>
      </c>
      <c r="F986" s="15"/>
      <c r="G986" s="15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22.5" customHeight="1">
      <c r="A987" s="11">
        <v>985.0</v>
      </c>
      <c r="B987" s="20">
        <v>77.0</v>
      </c>
      <c r="C987" s="13" t="s">
        <v>10318</v>
      </c>
      <c r="D987" s="13" t="s">
        <v>10319</v>
      </c>
      <c r="E987" s="13" t="s">
        <v>10320</v>
      </c>
      <c r="F987" s="15"/>
      <c r="G987" s="15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22.5" customHeight="1">
      <c r="A988" s="17">
        <v>986.0</v>
      </c>
      <c r="B988" s="20">
        <v>77.0</v>
      </c>
      <c r="C988" s="13" t="s">
        <v>10883</v>
      </c>
      <c r="D988" s="13" t="s">
        <v>10884</v>
      </c>
      <c r="E988" s="13" t="s">
        <v>10885</v>
      </c>
      <c r="F988" s="15"/>
      <c r="G988" s="15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22.5" customHeight="1">
      <c r="A989" s="11">
        <v>987.0</v>
      </c>
      <c r="B989" s="20">
        <v>77.0</v>
      </c>
      <c r="C989" s="13" t="s">
        <v>9724</v>
      </c>
      <c r="D989" s="13" t="s">
        <v>9725</v>
      </c>
      <c r="E989" s="13" t="s">
        <v>9726</v>
      </c>
      <c r="F989" s="15"/>
      <c r="G989" s="15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22.5" customHeight="1">
      <c r="A990" s="17">
        <v>988.0</v>
      </c>
      <c r="B990" s="20">
        <v>77.0</v>
      </c>
      <c r="C990" s="13" t="s">
        <v>10886</v>
      </c>
      <c r="D990" s="13" t="s">
        <v>10887</v>
      </c>
      <c r="E990" s="13" t="s">
        <v>10888</v>
      </c>
      <c r="F990" s="14" t="s">
        <v>18</v>
      </c>
      <c r="G990" s="15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22.5" customHeight="1">
      <c r="A991" s="11">
        <v>989.0</v>
      </c>
      <c r="B991" s="20">
        <v>77.0</v>
      </c>
      <c r="C991" s="13" t="s">
        <v>10889</v>
      </c>
      <c r="D991" s="13" t="s">
        <v>10890</v>
      </c>
      <c r="E991" s="13" t="s">
        <v>10891</v>
      </c>
      <c r="F991" s="15"/>
      <c r="G991" s="15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22.5" customHeight="1">
      <c r="A992" s="17">
        <v>990.0</v>
      </c>
      <c r="B992" s="20">
        <v>76.0</v>
      </c>
      <c r="C992" s="13" t="s">
        <v>10892</v>
      </c>
      <c r="D992" s="13" t="s">
        <v>10893</v>
      </c>
      <c r="E992" s="13" t="s">
        <v>10894</v>
      </c>
      <c r="F992" s="14" t="s">
        <v>18</v>
      </c>
      <c r="G992" s="14" t="s">
        <v>18</v>
      </c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22.5" customHeight="1">
      <c r="A993" s="11">
        <v>991.0</v>
      </c>
      <c r="B993" s="20">
        <v>76.0</v>
      </c>
      <c r="C993" s="13" t="s">
        <v>10895</v>
      </c>
      <c r="D993" s="13" t="s">
        <v>10896</v>
      </c>
      <c r="E993" s="13" t="s">
        <v>10897</v>
      </c>
      <c r="F993" s="15"/>
      <c r="G993" s="15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22.5" customHeight="1">
      <c r="A994" s="17">
        <v>992.0</v>
      </c>
      <c r="B994" s="20">
        <v>76.0</v>
      </c>
      <c r="C994" s="13" t="s">
        <v>10898</v>
      </c>
      <c r="D994" s="13" t="s">
        <v>10899</v>
      </c>
      <c r="E994" s="13" t="s">
        <v>10900</v>
      </c>
      <c r="F994" s="14" t="s">
        <v>18</v>
      </c>
      <c r="G994" s="15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22.5" customHeight="1">
      <c r="A995" s="11">
        <v>993.0</v>
      </c>
      <c r="B995" s="20">
        <v>76.0</v>
      </c>
      <c r="C995" s="13" t="s">
        <v>10809</v>
      </c>
      <c r="D995" s="13" t="s">
        <v>10810</v>
      </c>
      <c r="E995" s="13" t="s">
        <v>10811</v>
      </c>
      <c r="F995" s="15"/>
      <c r="G995" s="15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22.5" customHeight="1">
      <c r="A996" s="17">
        <v>994.0</v>
      </c>
      <c r="B996" s="20">
        <v>76.0</v>
      </c>
      <c r="C996" s="13" t="s">
        <v>8739</v>
      </c>
      <c r="D996" s="13" t="s">
        <v>10901</v>
      </c>
      <c r="E996" s="13" t="s">
        <v>10902</v>
      </c>
      <c r="F996" s="15"/>
      <c r="G996" s="15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22.5" customHeight="1">
      <c r="A997" s="11">
        <v>995.0</v>
      </c>
      <c r="B997" s="20">
        <v>76.0</v>
      </c>
      <c r="C997" s="13" t="s">
        <v>10768</v>
      </c>
      <c r="D997" s="13" t="s">
        <v>10769</v>
      </c>
      <c r="E997" s="13" t="s">
        <v>10770</v>
      </c>
      <c r="F997" s="14" t="s">
        <v>18</v>
      </c>
      <c r="G997" s="15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22.5" customHeight="1">
      <c r="A998" s="17">
        <v>996.0</v>
      </c>
      <c r="B998" s="20">
        <v>76.0</v>
      </c>
      <c r="C998" s="13" t="s">
        <v>10903</v>
      </c>
      <c r="D998" s="13" t="s">
        <v>10904</v>
      </c>
      <c r="E998" s="13" t="s">
        <v>10905</v>
      </c>
      <c r="F998" s="14" t="s">
        <v>18</v>
      </c>
      <c r="G998" s="15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22.5" customHeight="1">
      <c r="A999" s="11">
        <v>997.0</v>
      </c>
      <c r="B999" s="20">
        <v>76.0</v>
      </c>
      <c r="C999" s="13" t="s">
        <v>10906</v>
      </c>
      <c r="D999" s="13" t="s">
        <v>10907</v>
      </c>
      <c r="E999" s="13" t="s">
        <v>10908</v>
      </c>
      <c r="F999" s="14" t="s">
        <v>18</v>
      </c>
      <c r="G999" s="15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22.5" customHeight="1">
      <c r="A1000" s="17">
        <v>998.0</v>
      </c>
      <c r="B1000" s="20">
        <v>76.0</v>
      </c>
      <c r="C1000" s="13" t="s">
        <v>10909</v>
      </c>
      <c r="D1000" s="13" t="s">
        <v>10910</v>
      </c>
      <c r="E1000" s="13" t="s">
        <v>10911</v>
      </c>
      <c r="F1000" s="14" t="s">
        <v>18</v>
      </c>
      <c r="G1000" s="15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  <row r="1001" ht="22.5" customHeight="1">
      <c r="A1001" s="11">
        <v>999.0</v>
      </c>
      <c r="B1001" s="20">
        <v>76.0</v>
      </c>
      <c r="C1001" s="13" t="s">
        <v>9915</v>
      </c>
      <c r="D1001" s="13" t="s">
        <v>10324</v>
      </c>
      <c r="E1001" s="13" t="s">
        <v>10912</v>
      </c>
      <c r="F1001" s="15"/>
      <c r="G1001" s="15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</row>
    <row r="1002" ht="22.5" customHeight="1">
      <c r="A1002" s="17">
        <v>1000.0</v>
      </c>
      <c r="B1002" s="20">
        <v>76.0</v>
      </c>
      <c r="C1002" s="13" t="s">
        <v>10913</v>
      </c>
      <c r="D1002" s="13" t="s">
        <v>10914</v>
      </c>
      <c r="E1002" s="13" t="s">
        <v>10915</v>
      </c>
      <c r="F1002" s="14" t="s">
        <v>18</v>
      </c>
      <c r="G1002" s="15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</row>
    <row r="1003" ht="22.5" customHeight="1">
      <c r="A1003" s="11">
        <v>1001.0</v>
      </c>
      <c r="B1003" s="20">
        <v>76.0</v>
      </c>
      <c r="C1003" s="13" t="s">
        <v>10916</v>
      </c>
      <c r="D1003" s="13" t="s">
        <v>10917</v>
      </c>
      <c r="E1003" s="13" t="s">
        <v>10918</v>
      </c>
      <c r="F1003" s="14" t="s">
        <v>18</v>
      </c>
      <c r="G1003" s="15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</row>
    <row r="1004" ht="22.5" customHeight="1">
      <c r="A1004" s="17">
        <v>1002.0</v>
      </c>
      <c r="B1004" s="20">
        <v>76.0</v>
      </c>
      <c r="C1004" s="13" t="s">
        <v>10919</v>
      </c>
      <c r="D1004" s="13" t="s">
        <v>10920</v>
      </c>
      <c r="E1004" s="13" t="s">
        <v>10921</v>
      </c>
      <c r="F1004" s="14" t="s">
        <v>18</v>
      </c>
      <c r="G1004" s="15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</row>
    <row r="1005" ht="22.5" customHeight="1">
      <c r="A1005" s="11">
        <v>1003.0</v>
      </c>
      <c r="B1005" s="20">
        <v>76.0</v>
      </c>
      <c r="C1005" s="13" t="s">
        <v>10439</v>
      </c>
      <c r="D1005" s="13" t="s">
        <v>10440</v>
      </c>
      <c r="E1005" s="13" t="s">
        <v>10922</v>
      </c>
      <c r="F1005" s="14" t="s">
        <v>18</v>
      </c>
      <c r="G1005" s="15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</row>
    <row r="1006" ht="22.5" customHeight="1">
      <c r="A1006" s="17">
        <v>1004.0</v>
      </c>
      <c r="B1006" s="20">
        <v>76.0</v>
      </c>
      <c r="C1006" s="13" t="s">
        <v>10923</v>
      </c>
      <c r="D1006" s="13" t="s">
        <v>10924</v>
      </c>
      <c r="E1006" s="13" t="s">
        <v>10925</v>
      </c>
      <c r="F1006" s="14" t="s">
        <v>18</v>
      </c>
      <c r="G1006" s="15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</row>
    <row r="1007" ht="22.5" customHeight="1">
      <c r="A1007" s="11">
        <v>1005.0</v>
      </c>
      <c r="B1007" s="20">
        <v>76.0</v>
      </c>
      <c r="C1007" s="13" t="s">
        <v>9814</v>
      </c>
      <c r="D1007" s="13" t="s">
        <v>9815</v>
      </c>
      <c r="E1007" s="13" t="s">
        <v>9816</v>
      </c>
      <c r="F1007" s="14" t="s">
        <v>18</v>
      </c>
      <c r="G1007" s="15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</row>
    <row r="1008" ht="22.5" customHeight="1">
      <c r="A1008" s="17">
        <v>1006.0</v>
      </c>
      <c r="B1008" s="20">
        <v>76.0</v>
      </c>
      <c r="C1008" s="13" t="s">
        <v>10926</v>
      </c>
      <c r="D1008" s="13" t="s">
        <v>10927</v>
      </c>
      <c r="E1008" s="13" t="s">
        <v>10928</v>
      </c>
      <c r="F1008" s="15"/>
      <c r="G1008" s="15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</row>
    <row r="1009" ht="22.5" customHeight="1">
      <c r="A1009" s="11">
        <v>1007.0</v>
      </c>
      <c r="B1009" s="20">
        <v>76.0</v>
      </c>
      <c r="C1009" s="13" t="s">
        <v>10929</v>
      </c>
      <c r="D1009" s="13" t="s">
        <v>10930</v>
      </c>
      <c r="E1009" s="13" t="s">
        <v>10931</v>
      </c>
      <c r="F1009" s="15"/>
      <c r="G1009" s="15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</row>
    <row r="1010" ht="22.5" customHeight="1">
      <c r="A1010" s="17">
        <v>1008.0</v>
      </c>
      <c r="B1010" s="20">
        <v>76.0</v>
      </c>
      <c r="C1010" s="13" t="s">
        <v>10932</v>
      </c>
      <c r="D1010" s="13" t="s">
        <v>10933</v>
      </c>
      <c r="E1010" s="13" t="s">
        <v>10934</v>
      </c>
      <c r="F1010" s="15"/>
      <c r="G1010" s="15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</row>
    <row r="1011" ht="22.5" customHeight="1">
      <c r="A1011" s="11">
        <v>1009.0</v>
      </c>
      <c r="B1011" s="20">
        <v>76.0</v>
      </c>
      <c r="C1011" s="13" t="s">
        <v>10935</v>
      </c>
      <c r="D1011" s="13" t="s">
        <v>10936</v>
      </c>
      <c r="E1011" s="13" t="s">
        <v>10937</v>
      </c>
      <c r="F1011" s="14" t="s">
        <v>18</v>
      </c>
      <c r="G1011" s="15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</row>
    <row r="1012" ht="22.5" customHeight="1">
      <c r="A1012" s="17">
        <v>1010.0</v>
      </c>
      <c r="B1012" s="20">
        <v>76.0</v>
      </c>
      <c r="C1012" s="13" t="s">
        <v>10938</v>
      </c>
      <c r="D1012" s="13" t="s">
        <v>10939</v>
      </c>
      <c r="E1012" s="13" t="s">
        <v>10940</v>
      </c>
      <c r="F1012" s="15"/>
      <c r="G1012" s="15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</row>
    <row r="1013" ht="22.5" customHeight="1">
      <c r="A1013" s="11">
        <v>1011.0</v>
      </c>
      <c r="B1013" s="20">
        <v>76.0</v>
      </c>
      <c r="C1013" s="13" t="s">
        <v>9589</v>
      </c>
      <c r="D1013" s="13" t="s">
        <v>10941</v>
      </c>
      <c r="E1013" s="13" t="s">
        <v>10942</v>
      </c>
      <c r="F1013" s="14" t="s">
        <v>18</v>
      </c>
      <c r="G1013" s="15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</row>
    <row r="1014" ht="22.5" customHeight="1">
      <c r="A1014" s="17">
        <v>1012.0</v>
      </c>
      <c r="B1014" s="20">
        <v>76.0</v>
      </c>
      <c r="C1014" s="13" t="s">
        <v>10412</v>
      </c>
      <c r="D1014" s="13" t="s">
        <v>10413</v>
      </c>
      <c r="E1014" s="13" t="s">
        <v>10943</v>
      </c>
      <c r="F1014" s="15"/>
      <c r="G1014" s="15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</row>
    <row r="1015" ht="22.5" customHeight="1">
      <c r="A1015" s="11">
        <v>1013.0</v>
      </c>
      <c r="B1015" s="20">
        <v>76.0</v>
      </c>
      <c r="C1015" s="13" t="s">
        <v>9031</v>
      </c>
      <c r="D1015" s="13" t="s">
        <v>9032</v>
      </c>
      <c r="E1015" s="13" t="s">
        <v>9686</v>
      </c>
      <c r="F1015" s="15"/>
      <c r="G1015" s="15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</row>
    <row r="1016" ht="22.5" customHeight="1">
      <c r="A1016" s="17">
        <v>1014.0</v>
      </c>
      <c r="B1016" s="20">
        <v>76.0</v>
      </c>
      <c r="C1016" s="13" t="s">
        <v>10944</v>
      </c>
      <c r="D1016" s="13" t="s">
        <v>10945</v>
      </c>
      <c r="E1016" s="13" t="s">
        <v>10946</v>
      </c>
      <c r="F1016" s="14" t="s">
        <v>18</v>
      </c>
      <c r="G1016" s="15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</row>
    <row r="1017" ht="22.5" customHeight="1">
      <c r="A1017" s="11">
        <v>1015.0</v>
      </c>
      <c r="B1017" s="20">
        <v>76.0</v>
      </c>
      <c r="C1017" s="13" t="s">
        <v>10947</v>
      </c>
      <c r="D1017" s="13" t="s">
        <v>10948</v>
      </c>
      <c r="E1017" s="13" t="s">
        <v>10949</v>
      </c>
      <c r="F1017" s="14" t="s">
        <v>18</v>
      </c>
      <c r="G1017" s="15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</row>
    <row r="1018" ht="22.5" customHeight="1">
      <c r="A1018" s="17">
        <v>1016.0</v>
      </c>
      <c r="B1018" s="20">
        <v>76.0</v>
      </c>
      <c r="C1018" s="13" t="s">
        <v>10950</v>
      </c>
      <c r="D1018" s="13" t="s">
        <v>10951</v>
      </c>
      <c r="E1018" s="13" t="s">
        <v>10952</v>
      </c>
      <c r="F1018" s="14" t="s">
        <v>18</v>
      </c>
      <c r="G1018" s="15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</row>
    <row r="1019" ht="22.5" customHeight="1">
      <c r="A1019" s="11">
        <v>1017.0</v>
      </c>
      <c r="B1019" s="20">
        <v>76.0</v>
      </c>
      <c r="C1019" s="13" t="s">
        <v>10422</v>
      </c>
      <c r="D1019" s="13" t="s">
        <v>10423</v>
      </c>
      <c r="E1019" s="13" t="s">
        <v>10424</v>
      </c>
      <c r="F1019" s="15"/>
      <c r="G1019" s="15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</row>
    <row r="1020" ht="22.5" customHeight="1">
      <c r="A1020" s="17">
        <v>1018.0</v>
      </c>
      <c r="B1020" s="20">
        <v>76.0</v>
      </c>
      <c r="C1020" s="13" t="s">
        <v>10953</v>
      </c>
      <c r="D1020" s="13" t="s">
        <v>10954</v>
      </c>
      <c r="E1020" s="13" t="s">
        <v>10955</v>
      </c>
      <c r="F1020" s="15"/>
      <c r="G1020" s="15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</row>
    <row r="1021" ht="22.5" customHeight="1">
      <c r="A1021" s="11">
        <v>1019.0</v>
      </c>
      <c r="B1021" s="20">
        <v>76.0</v>
      </c>
      <c r="C1021" s="13" t="s">
        <v>10956</v>
      </c>
      <c r="D1021" s="13" t="s">
        <v>10957</v>
      </c>
      <c r="E1021" s="13" t="s">
        <v>10958</v>
      </c>
      <c r="F1021" s="15"/>
      <c r="G1021" s="15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</row>
    <row r="1022" ht="22.5" customHeight="1">
      <c r="A1022" s="17">
        <v>1020.0</v>
      </c>
      <c r="B1022" s="20">
        <v>75.0</v>
      </c>
      <c r="C1022" s="13" t="s">
        <v>10959</v>
      </c>
      <c r="D1022" s="13" t="s">
        <v>10960</v>
      </c>
      <c r="E1022" s="13" t="s">
        <v>10961</v>
      </c>
      <c r="F1022" s="14" t="s">
        <v>18</v>
      </c>
      <c r="G1022" s="15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</row>
    <row r="1023" ht="22.5" customHeight="1">
      <c r="A1023" s="11">
        <v>1021.0</v>
      </c>
      <c r="B1023" s="20">
        <v>75.0</v>
      </c>
      <c r="C1023" s="13" t="s">
        <v>10962</v>
      </c>
      <c r="D1023" s="13" t="s">
        <v>10963</v>
      </c>
      <c r="E1023" s="13" t="s">
        <v>10964</v>
      </c>
      <c r="F1023" s="15"/>
      <c r="G1023" s="15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</row>
    <row r="1024" ht="22.5" customHeight="1">
      <c r="A1024" s="17">
        <v>1022.0</v>
      </c>
      <c r="B1024" s="20">
        <v>75.0</v>
      </c>
      <c r="C1024" s="13" t="s">
        <v>10965</v>
      </c>
      <c r="D1024" s="13" t="s">
        <v>10966</v>
      </c>
      <c r="E1024" s="13" t="s">
        <v>10967</v>
      </c>
      <c r="F1024" s="15"/>
      <c r="G1024" s="15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</row>
    <row r="1025" ht="22.5" customHeight="1">
      <c r="A1025" s="11">
        <v>1023.0</v>
      </c>
      <c r="B1025" s="20">
        <v>75.0</v>
      </c>
      <c r="C1025" s="13" t="s">
        <v>10968</v>
      </c>
      <c r="D1025" s="13" t="s">
        <v>10969</v>
      </c>
      <c r="E1025" s="13" t="s">
        <v>10970</v>
      </c>
      <c r="F1025" s="15"/>
      <c r="G1025" s="15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</row>
    <row r="1026" ht="22.5" customHeight="1">
      <c r="A1026" s="17">
        <v>1024.0</v>
      </c>
      <c r="B1026" s="20">
        <v>75.0</v>
      </c>
      <c r="C1026" s="13" t="s">
        <v>10085</v>
      </c>
      <c r="D1026" s="13" t="s">
        <v>10086</v>
      </c>
      <c r="E1026" s="13" t="s">
        <v>10087</v>
      </c>
      <c r="F1026" s="15"/>
      <c r="G1026" s="15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</row>
    <row r="1027" ht="22.5" customHeight="1">
      <c r="A1027" s="11">
        <v>1025.0</v>
      </c>
      <c r="B1027" s="20">
        <v>75.0</v>
      </c>
      <c r="C1027" s="13" t="s">
        <v>10971</v>
      </c>
      <c r="D1027" s="13" t="s">
        <v>10972</v>
      </c>
      <c r="E1027" s="13" t="s">
        <v>10973</v>
      </c>
      <c r="F1027" s="14" t="s">
        <v>18</v>
      </c>
      <c r="G1027" s="15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</row>
    <row r="1028" ht="22.5" customHeight="1">
      <c r="A1028" s="17">
        <v>1026.0</v>
      </c>
      <c r="B1028" s="20">
        <v>75.0</v>
      </c>
      <c r="C1028" s="13" t="s">
        <v>10974</v>
      </c>
      <c r="D1028" s="13" t="s">
        <v>10975</v>
      </c>
      <c r="E1028" s="13" t="s">
        <v>10976</v>
      </c>
      <c r="F1028" s="15"/>
      <c r="G1028" s="15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</row>
    <row r="1029" ht="22.5" customHeight="1">
      <c r="A1029" s="11">
        <v>1027.0</v>
      </c>
      <c r="B1029" s="20">
        <v>75.0</v>
      </c>
      <c r="C1029" s="13" t="s">
        <v>9835</v>
      </c>
      <c r="D1029" s="13" t="s">
        <v>9836</v>
      </c>
      <c r="E1029" s="13" t="s">
        <v>10977</v>
      </c>
      <c r="F1029" s="14" t="s">
        <v>18</v>
      </c>
      <c r="G1029" s="15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</row>
    <row r="1030" ht="22.5" customHeight="1">
      <c r="A1030" s="17">
        <v>1028.0</v>
      </c>
      <c r="B1030" s="20">
        <v>75.0</v>
      </c>
      <c r="C1030" s="13" t="s">
        <v>10978</v>
      </c>
      <c r="D1030" s="13" t="s">
        <v>10979</v>
      </c>
      <c r="E1030" s="13" t="s">
        <v>10980</v>
      </c>
      <c r="F1030" s="14" t="s">
        <v>18</v>
      </c>
      <c r="G1030" s="15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</row>
    <row r="1031" ht="22.5" customHeight="1">
      <c r="A1031" s="11">
        <v>1029.0</v>
      </c>
      <c r="B1031" s="20">
        <v>75.0</v>
      </c>
      <c r="C1031" s="13" t="s">
        <v>10981</v>
      </c>
      <c r="D1031" s="13" t="s">
        <v>10982</v>
      </c>
      <c r="E1031" s="13" t="s">
        <v>10983</v>
      </c>
      <c r="F1031" s="14" t="s">
        <v>18</v>
      </c>
      <c r="G1031" s="15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</row>
    <row r="1032" ht="22.5" customHeight="1">
      <c r="A1032" s="17">
        <v>1030.0</v>
      </c>
      <c r="B1032" s="20">
        <v>75.0</v>
      </c>
      <c r="C1032" s="13" t="s">
        <v>10275</v>
      </c>
      <c r="D1032" s="13" t="s">
        <v>10276</v>
      </c>
      <c r="E1032" s="13" t="s">
        <v>10277</v>
      </c>
      <c r="F1032" s="15"/>
      <c r="G1032" s="15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</row>
    <row r="1033" ht="22.5" customHeight="1">
      <c r="A1033" s="11">
        <v>1031.0</v>
      </c>
      <c r="B1033" s="20">
        <v>75.0</v>
      </c>
      <c r="C1033" s="13" t="s">
        <v>9574</v>
      </c>
      <c r="D1033" s="13" t="s">
        <v>9575</v>
      </c>
      <c r="E1033" s="13" t="s">
        <v>9576</v>
      </c>
      <c r="F1033" s="15"/>
      <c r="G1033" s="15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</row>
    <row r="1034" ht="22.5" customHeight="1">
      <c r="A1034" s="17">
        <v>1032.0</v>
      </c>
      <c r="B1034" s="20">
        <v>75.0</v>
      </c>
      <c r="C1034" s="13" t="s">
        <v>10984</v>
      </c>
      <c r="D1034" s="13" t="s">
        <v>10985</v>
      </c>
      <c r="E1034" s="13" t="s">
        <v>10986</v>
      </c>
      <c r="F1034" s="15"/>
      <c r="G1034" s="15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</row>
    <row r="1035" ht="22.5" customHeight="1">
      <c r="A1035" s="11">
        <v>1033.0</v>
      </c>
      <c r="B1035" s="20">
        <v>75.0</v>
      </c>
      <c r="C1035" s="13" t="s">
        <v>5958</v>
      </c>
      <c r="D1035" s="13" t="s">
        <v>5957</v>
      </c>
      <c r="E1035" s="13" t="s">
        <v>10987</v>
      </c>
      <c r="F1035" s="14" t="s">
        <v>18</v>
      </c>
      <c r="G1035" s="15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</row>
    <row r="1036" ht="22.5" customHeight="1">
      <c r="A1036" s="17">
        <v>1034.0</v>
      </c>
      <c r="B1036" s="20">
        <v>75.0</v>
      </c>
      <c r="C1036" s="13" t="s">
        <v>10988</v>
      </c>
      <c r="D1036" s="13" t="s">
        <v>10989</v>
      </c>
      <c r="E1036" s="13" t="s">
        <v>10990</v>
      </c>
      <c r="F1036" s="14" t="s">
        <v>18</v>
      </c>
      <c r="G1036" s="15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</row>
    <row r="1037" ht="22.5" customHeight="1">
      <c r="A1037" s="11">
        <v>1035.0</v>
      </c>
      <c r="B1037" s="20">
        <v>75.0</v>
      </c>
      <c r="C1037" s="13" t="s">
        <v>10991</v>
      </c>
      <c r="D1037" s="13" t="s">
        <v>10992</v>
      </c>
      <c r="E1037" s="13" t="s">
        <v>10993</v>
      </c>
      <c r="F1037" s="15"/>
      <c r="G1037" s="15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</row>
    <row r="1038" ht="22.5" customHeight="1">
      <c r="A1038" s="17">
        <v>1036.0</v>
      </c>
      <c r="B1038" s="20">
        <v>75.0</v>
      </c>
      <c r="C1038" s="13" t="s">
        <v>9227</v>
      </c>
      <c r="D1038" s="13" t="s">
        <v>9228</v>
      </c>
      <c r="E1038" s="13" t="s">
        <v>10994</v>
      </c>
      <c r="F1038" s="14" t="s">
        <v>18</v>
      </c>
      <c r="G1038" s="14" t="s">
        <v>18</v>
      </c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</row>
    <row r="1039" ht="22.5" customHeight="1">
      <c r="A1039" s="11">
        <v>1037.0</v>
      </c>
      <c r="B1039" s="20">
        <v>75.0</v>
      </c>
      <c r="C1039" s="13" t="s">
        <v>10995</v>
      </c>
      <c r="D1039" s="13" t="s">
        <v>10996</v>
      </c>
      <c r="E1039" s="13" t="s">
        <v>10997</v>
      </c>
      <c r="F1039" s="14" t="s">
        <v>18</v>
      </c>
      <c r="G1039" s="15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</row>
    <row r="1040" ht="22.5" customHeight="1">
      <c r="A1040" s="17">
        <v>1038.0</v>
      </c>
      <c r="B1040" s="20">
        <v>75.0</v>
      </c>
      <c r="C1040" s="13" t="s">
        <v>10998</v>
      </c>
      <c r="D1040" s="13" t="s">
        <v>10999</v>
      </c>
      <c r="E1040" s="13" t="s">
        <v>11000</v>
      </c>
      <c r="F1040" s="14" t="s">
        <v>18</v>
      </c>
      <c r="G1040" s="15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</row>
    <row r="1041" ht="22.5" customHeight="1">
      <c r="A1041" s="11">
        <v>1039.0</v>
      </c>
      <c r="B1041" s="20">
        <v>75.0</v>
      </c>
      <c r="C1041" s="13" t="s">
        <v>11001</v>
      </c>
      <c r="D1041" s="13" t="s">
        <v>11002</v>
      </c>
      <c r="E1041" s="13" t="s">
        <v>11003</v>
      </c>
      <c r="F1041" s="15"/>
      <c r="G1041" s="15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</row>
    <row r="1042" ht="22.5" customHeight="1">
      <c r="A1042" s="17">
        <v>1040.0</v>
      </c>
      <c r="B1042" s="20">
        <v>75.0</v>
      </c>
      <c r="C1042" s="13" t="s">
        <v>11004</v>
      </c>
      <c r="D1042" s="13" t="s">
        <v>11005</v>
      </c>
      <c r="E1042" s="13" t="s">
        <v>11006</v>
      </c>
      <c r="F1042" s="14" t="s">
        <v>18</v>
      </c>
      <c r="G1042" s="15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</row>
    <row r="1043" ht="22.5" customHeight="1">
      <c r="A1043" s="11">
        <v>1041.0</v>
      </c>
      <c r="B1043" s="20">
        <v>75.0</v>
      </c>
      <c r="C1043" s="13" t="s">
        <v>11007</v>
      </c>
      <c r="D1043" s="13" t="s">
        <v>11008</v>
      </c>
      <c r="E1043" s="13" t="s">
        <v>11009</v>
      </c>
      <c r="F1043" s="15"/>
      <c r="G1043" s="15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</row>
    <row r="1044" ht="22.5" customHeight="1">
      <c r="A1044" s="17">
        <v>1042.0</v>
      </c>
      <c r="B1044" s="20">
        <v>75.0</v>
      </c>
      <c r="C1044" s="13" t="s">
        <v>9434</v>
      </c>
      <c r="D1044" s="13" t="s">
        <v>9435</v>
      </c>
      <c r="E1044" s="13" t="s">
        <v>11010</v>
      </c>
      <c r="F1044" s="15"/>
      <c r="G1044" s="15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</row>
    <row r="1045" ht="22.5" customHeight="1">
      <c r="A1045" s="11">
        <v>1043.0</v>
      </c>
      <c r="B1045" s="20">
        <v>75.0</v>
      </c>
      <c r="C1045" s="13" t="s">
        <v>11011</v>
      </c>
      <c r="D1045" s="13" t="s">
        <v>1461</v>
      </c>
      <c r="E1045" s="13" t="s">
        <v>11012</v>
      </c>
      <c r="F1045" s="15"/>
      <c r="G1045" s="15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</row>
    <row r="1046" ht="22.5" customHeight="1">
      <c r="A1046" s="17">
        <v>1044.0</v>
      </c>
      <c r="B1046" s="20">
        <v>75.0</v>
      </c>
      <c r="C1046" s="13" t="s">
        <v>11013</v>
      </c>
      <c r="D1046" s="13" t="s">
        <v>11014</v>
      </c>
      <c r="E1046" s="13" t="s">
        <v>11015</v>
      </c>
      <c r="F1046" s="14" t="s">
        <v>18</v>
      </c>
      <c r="G1046" s="15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</row>
    <row r="1047" ht="22.5" customHeight="1">
      <c r="A1047" s="11">
        <v>1045.0</v>
      </c>
      <c r="B1047" s="20">
        <v>75.0</v>
      </c>
      <c r="C1047" s="13" t="s">
        <v>11016</v>
      </c>
      <c r="D1047" s="13" t="s">
        <v>11017</v>
      </c>
      <c r="E1047" s="13" t="s">
        <v>11018</v>
      </c>
      <c r="F1047" s="14" t="s">
        <v>18</v>
      </c>
      <c r="G1047" s="15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</row>
    <row r="1048" ht="22.5" customHeight="1">
      <c r="A1048" s="17">
        <v>1046.0</v>
      </c>
      <c r="B1048" s="20">
        <v>75.0</v>
      </c>
      <c r="C1048" s="13" t="s">
        <v>11019</v>
      </c>
      <c r="D1048" s="13" t="s">
        <v>11020</v>
      </c>
      <c r="E1048" s="13" t="s">
        <v>11021</v>
      </c>
      <c r="F1048" s="15"/>
      <c r="G1048" s="15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</row>
    <row r="1049" ht="22.5" customHeight="1">
      <c r="A1049" s="11">
        <v>1047.0</v>
      </c>
      <c r="B1049" s="20">
        <v>75.0</v>
      </c>
      <c r="C1049" s="13" t="s">
        <v>11022</v>
      </c>
      <c r="D1049" s="13" t="s">
        <v>11023</v>
      </c>
      <c r="E1049" s="13" t="s">
        <v>11024</v>
      </c>
      <c r="F1049" s="15"/>
      <c r="G1049" s="15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</row>
    <row r="1050" ht="22.5" customHeight="1">
      <c r="A1050" s="17">
        <v>1048.0</v>
      </c>
      <c r="B1050" s="20">
        <v>75.0</v>
      </c>
      <c r="C1050" s="13" t="s">
        <v>11025</v>
      </c>
      <c r="D1050" s="13" t="s">
        <v>11026</v>
      </c>
      <c r="E1050" s="13" t="s">
        <v>11027</v>
      </c>
      <c r="F1050" s="15"/>
      <c r="G1050" s="15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</row>
    <row r="1051" ht="22.5" customHeight="1">
      <c r="A1051" s="11">
        <v>1049.0</v>
      </c>
      <c r="B1051" s="20">
        <v>75.0</v>
      </c>
      <c r="C1051" s="13" t="s">
        <v>11028</v>
      </c>
      <c r="D1051" s="13" t="s">
        <v>11029</v>
      </c>
      <c r="E1051" s="13" t="s">
        <v>11030</v>
      </c>
      <c r="F1051" s="15"/>
      <c r="G1051" s="15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</row>
    <row r="1052" ht="22.5" customHeight="1">
      <c r="A1052" s="17">
        <v>1050.0</v>
      </c>
      <c r="B1052" s="20">
        <v>74.0</v>
      </c>
      <c r="C1052" s="13" t="s">
        <v>11031</v>
      </c>
      <c r="D1052" s="13" t="s">
        <v>11032</v>
      </c>
      <c r="E1052" s="13" t="s">
        <v>11033</v>
      </c>
      <c r="F1052" s="14" t="s">
        <v>18</v>
      </c>
      <c r="G1052" s="15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</row>
    <row r="1053" ht="22.5" customHeight="1">
      <c r="A1053" s="11">
        <v>1051.0</v>
      </c>
      <c r="B1053" s="20">
        <v>74.0</v>
      </c>
      <c r="C1053" s="13" t="s">
        <v>11034</v>
      </c>
      <c r="D1053" s="13" t="s">
        <v>11035</v>
      </c>
      <c r="E1053" s="13" t="s">
        <v>11036</v>
      </c>
      <c r="F1053" s="14" t="s">
        <v>18</v>
      </c>
      <c r="G1053" s="15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</row>
    <row r="1054" ht="22.5" customHeight="1">
      <c r="A1054" s="17">
        <v>1052.0</v>
      </c>
      <c r="B1054" s="20">
        <v>74.0</v>
      </c>
      <c r="C1054" s="13" t="s">
        <v>10926</v>
      </c>
      <c r="D1054" s="13" t="s">
        <v>10927</v>
      </c>
      <c r="E1054" s="13" t="s">
        <v>10928</v>
      </c>
      <c r="F1054" s="15"/>
      <c r="G1054" s="15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</row>
    <row r="1055" ht="22.5" customHeight="1">
      <c r="A1055" s="11">
        <v>1053.0</v>
      </c>
      <c r="B1055" s="20">
        <v>74.0</v>
      </c>
      <c r="C1055" s="13" t="s">
        <v>11037</v>
      </c>
      <c r="D1055" s="13" t="s">
        <v>11038</v>
      </c>
      <c r="E1055" s="13" t="s">
        <v>11039</v>
      </c>
      <c r="F1055" s="15"/>
      <c r="G1055" s="15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</row>
    <row r="1056" ht="22.5" customHeight="1">
      <c r="A1056" s="17">
        <v>1054.0</v>
      </c>
      <c r="B1056" s="20">
        <v>74.0</v>
      </c>
      <c r="C1056" s="13" t="s">
        <v>11040</v>
      </c>
      <c r="D1056" s="13" t="s">
        <v>11041</v>
      </c>
      <c r="E1056" s="13" t="s">
        <v>11042</v>
      </c>
      <c r="F1056" s="14" t="s">
        <v>18</v>
      </c>
      <c r="G1056" s="15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</row>
    <row r="1057" ht="22.5" customHeight="1">
      <c r="A1057" s="11">
        <v>1055.0</v>
      </c>
      <c r="B1057" s="20">
        <v>74.0</v>
      </c>
      <c r="C1057" s="13" t="s">
        <v>11043</v>
      </c>
      <c r="D1057" s="13" t="s">
        <v>11044</v>
      </c>
      <c r="E1057" s="13" t="s">
        <v>11045</v>
      </c>
      <c r="F1057" s="15"/>
      <c r="G1057" s="15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</row>
    <row r="1058" ht="22.5" customHeight="1">
      <c r="A1058" s="17">
        <v>1056.0</v>
      </c>
      <c r="B1058" s="20">
        <v>74.0</v>
      </c>
      <c r="C1058" s="13" t="s">
        <v>11046</v>
      </c>
      <c r="D1058" s="13" t="s">
        <v>11047</v>
      </c>
      <c r="E1058" s="13" t="s">
        <v>11048</v>
      </c>
      <c r="F1058" s="14" t="s">
        <v>18</v>
      </c>
      <c r="G1058" s="15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</row>
    <row r="1059" ht="22.5" customHeight="1">
      <c r="A1059" s="11">
        <v>1057.0</v>
      </c>
      <c r="B1059" s="20">
        <v>74.0</v>
      </c>
      <c r="C1059" s="13" t="s">
        <v>11049</v>
      </c>
      <c r="D1059" s="13" t="s">
        <v>11050</v>
      </c>
      <c r="E1059" s="13" t="s">
        <v>11051</v>
      </c>
      <c r="F1059" s="15"/>
      <c r="G1059" s="15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</row>
    <row r="1060" ht="22.5" customHeight="1">
      <c r="A1060" s="17">
        <v>1058.0</v>
      </c>
      <c r="B1060" s="20">
        <v>74.0</v>
      </c>
      <c r="C1060" s="13" t="s">
        <v>11052</v>
      </c>
      <c r="D1060" s="13" t="s">
        <v>11053</v>
      </c>
      <c r="E1060" s="13" t="s">
        <v>11054</v>
      </c>
      <c r="F1060" s="14" t="s">
        <v>18</v>
      </c>
      <c r="G1060" s="15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</row>
    <row r="1061" ht="22.5" customHeight="1">
      <c r="A1061" s="11">
        <v>1059.0</v>
      </c>
      <c r="B1061" s="20">
        <v>74.0</v>
      </c>
      <c r="C1061" s="13" t="s">
        <v>11055</v>
      </c>
      <c r="D1061" s="13" t="s">
        <v>11056</v>
      </c>
      <c r="E1061" s="13" t="s">
        <v>11057</v>
      </c>
      <c r="F1061" s="15"/>
      <c r="G1061" s="15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</row>
    <row r="1062" ht="22.5" customHeight="1">
      <c r="A1062" s="17">
        <v>1060.0</v>
      </c>
      <c r="B1062" s="20">
        <v>74.0</v>
      </c>
      <c r="C1062" s="13" t="s">
        <v>11058</v>
      </c>
      <c r="D1062" s="13" t="s">
        <v>11059</v>
      </c>
      <c r="E1062" s="13" t="s">
        <v>11060</v>
      </c>
      <c r="F1062" s="15"/>
      <c r="G1062" s="15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</row>
    <row r="1063" ht="22.5" customHeight="1">
      <c r="A1063" s="11">
        <v>1061.0</v>
      </c>
      <c r="B1063" s="20">
        <v>74.0</v>
      </c>
      <c r="C1063" s="13" t="s">
        <v>11061</v>
      </c>
      <c r="D1063" s="13" t="s">
        <v>11062</v>
      </c>
      <c r="E1063" s="13" t="s">
        <v>11063</v>
      </c>
      <c r="F1063" s="14" t="s">
        <v>18</v>
      </c>
      <c r="G1063" s="15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</row>
    <row r="1064" ht="22.5" customHeight="1">
      <c r="A1064" s="17">
        <v>1062.0</v>
      </c>
      <c r="B1064" s="20">
        <v>74.0</v>
      </c>
      <c r="C1064" s="13" t="s">
        <v>11064</v>
      </c>
      <c r="D1064" s="13" t="s">
        <v>11065</v>
      </c>
      <c r="E1064" s="13" t="s">
        <v>11066</v>
      </c>
      <c r="F1064" s="14" t="s">
        <v>18</v>
      </c>
      <c r="G1064" s="15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</row>
    <row r="1065" ht="22.5" customHeight="1">
      <c r="A1065" s="11">
        <v>1063.0</v>
      </c>
      <c r="B1065" s="20">
        <v>74.0</v>
      </c>
      <c r="C1065" s="13" t="s">
        <v>10803</v>
      </c>
      <c r="D1065" s="13" t="s">
        <v>10804</v>
      </c>
      <c r="E1065" s="13" t="s">
        <v>10805</v>
      </c>
      <c r="F1065" s="15"/>
      <c r="G1065" s="15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</row>
    <row r="1066" ht="22.5" customHeight="1">
      <c r="A1066" s="17">
        <v>1064.0</v>
      </c>
      <c r="B1066" s="20">
        <v>74.0</v>
      </c>
      <c r="C1066" s="13" t="s">
        <v>11067</v>
      </c>
      <c r="D1066" s="13" t="s">
        <v>11068</v>
      </c>
      <c r="E1066" s="13" t="s">
        <v>11069</v>
      </c>
      <c r="F1066" s="15"/>
      <c r="G1066" s="15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</row>
    <row r="1067" ht="22.5" customHeight="1">
      <c r="A1067" s="11">
        <v>1065.0</v>
      </c>
      <c r="B1067" s="20">
        <v>74.0</v>
      </c>
      <c r="C1067" s="13" t="s">
        <v>8786</v>
      </c>
      <c r="D1067" s="13" t="s">
        <v>8787</v>
      </c>
      <c r="E1067" s="13" t="s">
        <v>8788</v>
      </c>
      <c r="F1067" s="15"/>
      <c r="G1067" s="15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</row>
    <row r="1068" ht="22.5" customHeight="1">
      <c r="A1068" s="17">
        <v>1066.0</v>
      </c>
      <c r="B1068" s="20">
        <v>74.0</v>
      </c>
      <c r="C1068" s="13" t="s">
        <v>10704</v>
      </c>
      <c r="D1068" s="13" t="s">
        <v>10705</v>
      </c>
      <c r="E1068" s="13" t="s">
        <v>10706</v>
      </c>
      <c r="F1068" s="15"/>
      <c r="G1068" s="15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</row>
    <row r="1069" ht="22.5" customHeight="1">
      <c r="A1069" s="11">
        <v>1067.0</v>
      </c>
      <c r="B1069" s="20">
        <v>74.0</v>
      </c>
      <c r="C1069" s="13" t="s">
        <v>11070</v>
      </c>
      <c r="D1069" s="13" t="s">
        <v>11071</v>
      </c>
      <c r="E1069" s="13" t="s">
        <v>11072</v>
      </c>
      <c r="F1069" s="15"/>
      <c r="G1069" s="15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</row>
    <row r="1070" ht="22.5" customHeight="1">
      <c r="A1070" s="17">
        <v>1068.0</v>
      </c>
      <c r="B1070" s="20">
        <v>74.0</v>
      </c>
      <c r="C1070" s="13" t="s">
        <v>11073</v>
      </c>
      <c r="D1070" s="13" t="s">
        <v>11074</v>
      </c>
      <c r="E1070" s="13" t="s">
        <v>11075</v>
      </c>
      <c r="F1070" s="14" t="s">
        <v>18</v>
      </c>
      <c r="G1070" s="15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</row>
    <row r="1071" ht="22.5" customHeight="1">
      <c r="A1071" s="11">
        <v>1069.0</v>
      </c>
      <c r="B1071" s="20">
        <v>74.0</v>
      </c>
      <c r="C1071" s="13" t="s">
        <v>11076</v>
      </c>
      <c r="D1071" s="13" t="s">
        <v>11077</v>
      </c>
      <c r="E1071" s="13" t="s">
        <v>11078</v>
      </c>
      <c r="F1071" s="15"/>
      <c r="G1071" s="15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</row>
    <row r="1072" ht="22.5" customHeight="1">
      <c r="A1072" s="17">
        <v>1070.0</v>
      </c>
      <c r="B1072" s="20">
        <v>74.0</v>
      </c>
      <c r="C1072" s="13" t="s">
        <v>11079</v>
      </c>
      <c r="D1072" s="13" t="s">
        <v>11080</v>
      </c>
      <c r="E1072" s="13" t="s">
        <v>11081</v>
      </c>
      <c r="F1072" s="14" t="s">
        <v>18</v>
      </c>
      <c r="G1072" s="14" t="s">
        <v>18</v>
      </c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</row>
    <row r="1073" ht="22.5" customHeight="1">
      <c r="A1073" s="11">
        <v>1071.0</v>
      </c>
      <c r="B1073" s="20">
        <v>74.0</v>
      </c>
      <c r="C1073" s="13" t="s">
        <v>11082</v>
      </c>
      <c r="D1073" s="13" t="s">
        <v>11083</v>
      </c>
      <c r="E1073" s="13" t="s">
        <v>11084</v>
      </c>
      <c r="F1073" s="14" t="s">
        <v>18</v>
      </c>
      <c r="G1073" s="15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</row>
    <row r="1074" ht="22.5" customHeight="1">
      <c r="A1074" s="17">
        <v>1072.0</v>
      </c>
      <c r="B1074" s="20">
        <v>74.0</v>
      </c>
      <c r="C1074" s="13" t="s">
        <v>11085</v>
      </c>
      <c r="D1074" s="13" t="s">
        <v>11086</v>
      </c>
      <c r="E1074" s="13" t="s">
        <v>11087</v>
      </c>
      <c r="F1074" s="15"/>
      <c r="G1074" s="15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</row>
    <row r="1075" ht="22.5" customHeight="1">
      <c r="A1075" s="11">
        <v>1073.0</v>
      </c>
      <c r="B1075" s="20">
        <v>74.0</v>
      </c>
      <c r="C1075" s="13" t="s">
        <v>11088</v>
      </c>
      <c r="D1075" s="13" t="s">
        <v>11089</v>
      </c>
      <c r="E1075" s="13" t="s">
        <v>11090</v>
      </c>
      <c r="F1075" s="14" t="s">
        <v>18</v>
      </c>
      <c r="G1075" s="15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</row>
    <row r="1076" ht="22.5" customHeight="1">
      <c r="A1076" s="17">
        <v>1074.0</v>
      </c>
      <c r="B1076" s="20">
        <v>74.0</v>
      </c>
      <c r="C1076" s="13" t="s">
        <v>11091</v>
      </c>
      <c r="D1076" s="13" t="s">
        <v>11092</v>
      </c>
      <c r="E1076" s="13" t="s">
        <v>11093</v>
      </c>
      <c r="F1076" s="14" t="s">
        <v>18</v>
      </c>
      <c r="G1076" s="15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</row>
    <row r="1077" ht="22.5" customHeight="1">
      <c r="A1077" s="11">
        <v>1075.0</v>
      </c>
      <c r="B1077" s="20">
        <v>74.0</v>
      </c>
      <c r="C1077" s="13" t="s">
        <v>10038</v>
      </c>
      <c r="D1077" s="13" t="s">
        <v>10039</v>
      </c>
      <c r="E1077" s="13" t="s">
        <v>10040</v>
      </c>
      <c r="F1077" s="14" t="s">
        <v>18</v>
      </c>
      <c r="G1077" s="15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</row>
    <row r="1078" ht="22.5" customHeight="1">
      <c r="A1078" s="17">
        <v>1076.0</v>
      </c>
      <c r="B1078" s="20">
        <v>74.0</v>
      </c>
      <c r="C1078" s="13" t="s">
        <v>11094</v>
      </c>
      <c r="D1078" s="13" t="s">
        <v>11095</v>
      </c>
      <c r="E1078" s="13" t="s">
        <v>11096</v>
      </c>
      <c r="F1078" s="15"/>
      <c r="G1078" s="15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</row>
    <row r="1079" ht="22.5" customHeight="1">
      <c r="A1079" s="11">
        <v>1077.0</v>
      </c>
      <c r="B1079" s="20">
        <v>74.0</v>
      </c>
      <c r="C1079" s="13" t="s">
        <v>11097</v>
      </c>
      <c r="D1079" s="13" t="s">
        <v>11098</v>
      </c>
      <c r="E1079" s="13" t="s">
        <v>11099</v>
      </c>
      <c r="F1079" s="14" t="s">
        <v>18</v>
      </c>
      <c r="G1079" s="15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</row>
    <row r="1080" ht="22.5" customHeight="1">
      <c r="A1080" s="17">
        <v>1078.0</v>
      </c>
      <c r="B1080" s="20">
        <v>74.0</v>
      </c>
      <c r="C1080" s="13" t="s">
        <v>11100</v>
      </c>
      <c r="D1080" s="13" t="s">
        <v>11101</v>
      </c>
      <c r="E1080" s="13" t="s">
        <v>11102</v>
      </c>
      <c r="F1080" s="14" t="s">
        <v>18</v>
      </c>
      <c r="G1080" s="15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</row>
    <row r="1081" ht="22.5" customHeight="1">
      <c r="A1081" s="11">
        <v>1079.0</v>
      </c>
      <c r="B1081" s="20">
        <v>74.0</v>
      </c>
      <c r="C1081" s="13" t="s">
        <v>11103</v>
      </c>
      <c r="D1081" s="13" t="s">
        <v>11104</v>
      </c>
      <c r="E1081" s="13" t="s">
        <v>11105</v>
      </c>
      <c r="F1081" s="14" t="s">
        <v>18</v>
      </c>
      <c r="G1081" s="15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</row>
    <row r="1082" ht="22.5" customHeight="1">
      <c r="A1082" s="17">
        <v>1080.0</v>
      </c>
      <c r="B1082" s="20">
        <v>73.0</v>
      </c>
      <c r="C1082" s="13" t="s">
        <v>11106</v>
      </c>
      <c r="D1082" s="13" t="s">
        <v>11107</v>
      </c>
      <c r="E1082" s="13" t="s">
        <v>11108</v>
      </c>
      <c r="F1082" s="14" t="s">
        <v>18</v>
      </c>
      <c r="G1082" s="15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</row>
    <row r="1083" ht="22.5" customHeight="1">
      <c r="A1083" s="11">
        <v>1081.0</v>
      </c>
      <c r="B1083" s="20">
        <v>73.0</v>
      </c>
      <c r="C1083" s="13" t="s">
        <v>9629</v>
      </c>
      <c r="D1083" s="13" t="s">
        <v>9630</v>
      </c>
      <c r="E1083" s="13" t="s">
        <v>9631</v>
      </c>
      <c r="F1083" s="14" t="s">
        <v>18</v>
      </c>
      <c r="G1083" s="15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</row>
    <row r="1084" ht="22.5" customHeight="1">
      <c r="A1084" s="17">
        <v>1082.0</v>
      </c>
      <c r="B1084" s="20">
        <v>73.0</v>
      </c>
      <c r="C1084" s="13" t="s">
        <v>11109</v>
      </c>
      <c r="D1084" s="13" t="s">
        <v>11110</v>
      </c>
      <c r="E1084" s="13" t="s">
        <v>11111</v>
      </c>
      <c r="F1084" s="14" t="s">
        <v>18</v>
      </c>
      <c r="G1084" s="15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</row>
    <row r="1085" ht="22.5" customHeight="1">
      <c r="A1085" s="11">
        <v>1083.0</v>
      </c>
      <c r="B1085" s="20">
        <v>73.0</v>
      </c>
      <c r="C1085" s="13" t="s">
        <v>11112</v>
      </c>
      <c r="D1085" s="13" t="s">
        <v>11113</v>
      </c>
      <c r="E1085" s="13" t="s">
        <v>11114</v>
      </c>
      <c r="F1085" s="15"/>
      <c r="G1085" s="15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</row>
    <row r="1086" ht="22.5" customHeight="1">
      <c r="A1086" s="17">
        <v>1084.0</v>
      </c>
      <c r="B1086" s="20">
        <v>73.0</v>
      </c>
      <c r="C1086" s="13" t="s">
        <v>11115</v>
      </c>
      <c r="D1086" s="13" t="s">
        <v>11116</v>
      </c>
      <c r="E1086" s="13" t="s">
        <v>11117</v>
      </c>
      <c r="F1086" s="14" t="s">
        <v>18</v>
      </c>
      <c r="G1086" s="15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</row>
    <row r="1087" ht="22.5" customHeight="1">
      <c r="A1087" s="11">
        <v>1085.0</v>
      </c>
      <c r="B1087" s="20">
        <v>73.0</v>
      </c>
      <c r="C1087" s="13" t="s">
        <v>11118</v>
      </c>
      <c r="D1087" s="13" t="s">
        <v>11119</v>
      </c>
      <c r="E1087" s="13" t="s">
        <v>11120</v>
      </c>
      <c r="F1087" s="14" t="s">
        <v>18</v>
      </c>
      <c r="G1087" s="15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</row>
    <row r="1088" ht="22.5" customHeight="1">
      <c r="A1088" s="17">
        <v>1086.0</v>
      </c>
      <c r="B1088" s="20">
        <v>73.0</v>
      </c>
      <c r="C1088" s="13" t="s">
        <v>11121</v>
      </c>
      <c r="D1088" s="13" t="s">
        <v>11122</v>
      </c>
      <c r="E1088" s="13" t="s">
        <v>11123</v>
      </c>
      <c r="F1088" s="15"/>
      <c r="G1088" s="15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</row>
    <row r="1089" ht="22.5" customHeight="1">
      <c r="A1089" s="11">
        <v>1087.0</v>
      </c>
      <c r="B1089" s="20">
        <v>73.0</v>
      </c>
      <c r="C1089" s="13" t="s">
        <v>11124</v>
      </c>
      <c r="D1089" s="13" t="s">
        <v>11125</v>
      </c>
      <c r="E1089" s="13" t="s">
        <v>11126</v>
      </c>
      <c r="F1089" s="14" t="s">
        <v>18</v>
      </c>
      <c r="G1089" s="15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</row>
    <row r="1090" ht="22.5" customHeight="1">
      <c r="A1090" s="17">
        <v>1088.0</v>
      </c>
      <c r="B1090" s="20">
        <v>73.0</v>
      </c>
      <c r="C1090" s="13" t="s">
        <v>11127</v>
      </c>
      <c r="D1090" s="13" t="s">
        <v>11128</v>
      </c>
      <c r="E1090" s="13" t="s">
        <v>11129</v>
      </c>
      <c r="F1090" s="15"/>
      <c r="G1090" s="15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</row>
    <row r="1091" ht="22.5" customHeight="1">
      <c r="A1091" s="11">
        <v>1089.0</v>
      </c>
      <c r="B1091" s="20">
        <v>73.0</v>
      </c>
      <c r="C1091" s="13" t="s">
        <v>10332</v>
      </c>
      <c r="D1091" s="13" t="s">
        <v>10333</v>
      </c>
      <c r="E1091" s="13" t="s">
        <v>10334</v>
      </c>
      <c r="F1091" s="15"/>
      <c r="G1091" s="15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</row>
    <row r="1092" ht="22.5" customHeight="1">
      <c r="A1092" s="17">
        <v>1090.0</v>
      </c>
      <c r="B1092" s="20">
        <v>73.0</v>
      </c>
      <c r="C1092" s="13" t="s">
        <v>11130</v>
      </c>
      <c r="D1092" s="13" t="s">
        <v>11131</v>
      </c>
      <c r="E1092" s="13" t="s">
        <v>11132</v>
      </c>
      <c r="F1092" s="14" t="s">
        <v>18</v>
      </c>
      <c r="G1092" s="14" t="s">
        <v>18</v>
      </c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</row>
    <row r="1093" ht="22.5" customHeight="1">
      <c r="A1093" s="11">
        <v>1091.0</v>
      </c>
      <c r="B1093" s="20">
        <v>73.0</v>
      </c>
      <c r="C1093" s="13" t="s">
        <v>11133</v>
      </c>
      <c r="D1093" s="13" t="s">
        <v>11134</v>
      </c>
      <c r="E1093" s="13" t="s">
        <v>11135</v>
      </c>
      <c r="F1093" s="15"/>
      <c r="G1093" s="15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</row>
    <row r="1094" ht="22.5" customHeight="1">
      <c r="A1094" s="17">
        <v>1092.0</v>
      </c>
      <c r="B1094" s="20">
        <v>73.0</v>
      </c>
      <c r="C1094" s="13" t="s">
        <v>9121</v>
      </c>
      <c r="D1094" s="13" t="s">
        <v>9122</v>
      </c>
      <c r="E1094" s="13" t="s">
        <v>9123</v>
      </c>
      <c r="F1094" s="14" t="s">
        <v>18</v>
      </c>
      <c r="G1094" s="15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</row>
    <row r="1095" ht="22.5" customHeight="1">
      <c r="A1095" s="11">
        <v>1093.0</v>
      </c>
      <c r="B1095" s="20">
        <v>73.0</v>
      </c>
      <c r="C1095" s="13" t="s">
        <v>11136</v>
      </c>
      <c r="D1095" s="13" t="s">
        <v>11137</v>
      </c>
      <c r="E1095" s="13" t="s">
        <v>11138</v>
      </c>
      <c r="F1095" s="14" t="s">
        <v>18</v>
      </c>
      <c r="G1095" s="15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</row>
    <row r="1096" ht="22.5" customHeight="1">
      <c r="A1096" s="17">
        <v>1094.0</v>
      </c>
      <c r="B1096" s="20">
        <v>73.0</v>
      </c>
      <c r="C1096" s="13" t="s">
        <v>11139</v>
      </c>
      <c r="D1096" s="13" t="s">
        <v>11140</v>
      </c>
      <c r="E1096" s="13" t="s">
        <v>11141</v>
      </c>
      <c r="F1096" s="14" t="s">
        <v>18</v>
      </c>
      <c r="G1096" s="15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</row>
    <row r="1097" ht="22.5" customHeight="1">
      <c r="A1097" s="11">
        <v>1095.0</v>
      </c>
      <c r="B1097" s="20">
        <v>73.0</v>
      </c>
      <c r="C1097" s="13" t="s">
        <v>9183</v>
      </c>
      <c r="D1097" s="13" t="s">
        <v>9184</v>
      </c>
      <c r="E1097" s="13" t="s">
        <v>9185</v>
      </c>
      <c r="F1097" s="15"/>
      <c r="G1097" s="15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</row>
    <row r="1098" ht="22.5" customHeight="1">
      <c r="A1098" s="17">
        <v>1096.0</v>
      </c>
      <c r="B1098" s="20">
        <v>73.0</v>
      </c>
      <c r="C1098" s="13" t="s">
        <v>10659</v>
      </c>
      <c r="D1098" s="13" t="s">
        <v>10660</v>
      </c>
      <c r="E1098" s="13" t="s">
        <v>10661</v>
      </c>
      <c r="F1098" s="14" t="s">
        <v>18</v>
      </c>
      <c r="G1098" s="15"/>
      <c r="H1098" s="46"/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</row>
    <row r="1099" ht="22.5" customHeight="1">
      <c r="A1099" s="11">
        <v>1097.0</v>
      </c>
      <c r="B1099" s="20">
        <v>73.0</v>
      </c>
      <c r="C1099" s="13" t="s">
        <v>10512</v>
      </c>
      <c r="D1099" s="13" t="s">
        <v>10513</v>
      </c>
      <c r="E1099" s="13" t="s">
        <v>10514</v>
      </c>
      <c r="F1099" s="15"/>
      <c r="G1099" s="15"/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</row>
    <row r="1100" ht="22.5" customHeight="1">
      <c r="A1100" s="17">
        <v>1098.0</v>
      </c>
      <c r="B1100" s="20">
        <v>73.0</v>
      </c>
      <c r="C1100" s="13" t="s">
        <v>11142</v>
      </c>
      <c r="D1100" s="13" t="s">
        <v>11143</v>
      </c>
      <c r="E1100" s="13" t="s">
        <v>11144</v>
      </c>
      <c r="F1100" s="14" t="s">
        <v>18</v>
      </c>
      <c r="G1100" s="15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</row>
    <row r="1101" ht="22.5" customHeight="1">
      <c r="A1101" s="11">
        <v>1099.0</v>
      </c>
      <c r="B1101" s="20">
        <v>73.0</v>
      </c>
      <c r="C1101" s="13" t="s">
        <v>9976</v>
      </c>
      <c r="D1101" s="13" t="s">
        <v>9977</v>
      </c>
      <c r="E1101" s="13" t="s">
        <v>9978</v>
      </c>
      <c r="F1101" s="15"/>
      <c r="G1101" s="15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</row>
    <row r="1102" ht="22.5" customHeight="1">
      <c r="A1102" s="17">
        <v>1100.0</v>
      </c>
      <c r="B1102" s="20">
        <v>73.0</v>
      </c>
      <c r="C1102" s="13" t="s">
        <v>11145</v>
      </c>
      <c r="D1102" s="13" t="s">
        <v>11146</v>
      </c>
      <c r="E1102" s="13" t="s">
        <v>11147</v>
      </c>
      <c r="F1102" s="14" t="s">
        <v>18</v>
      </c>
      <c r="G1102" s="15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</row>
    <row r="1103" ht="22.5" customHeight="1">
      <c r="A1103" s="11">
        <v>1101.0</v>
      </c>
      <c r="B1103" s="20">
        <v>73.0</v>
      </c>
      <c r="C1103" s="13" t="s">
        <v>11148</v>
      </c>
      <c r="D1103" s="13" t="s">
        <v>11149</v>
      </c>
      <c r="E1103" s="13" t="s">
        <v>11150</v>
      </c>
      <c r="F1103" s="14" t="s">
        <v>18</v>
      </c>
      <c r="G1103" s="15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</row>
    <row r="1104" ht="22.5" customHeight="1">
      <c r="A1104" s="17">
        <v>1102.0</v>
      </c>
      <c r="B1104" s="20">
        <v>73.0</v>
      </c>
      <c r="C1104" s="13" t="s">
        <v>11151</v>
      </c>
      <c r="D1104" s="13" t="s">
        <v>11152</v>
      </c>
      <c r="E1104" s="13" t="s">
        <v>11153</v>
      </c>
      <c r="F1104" s="14" t="s">
        <v>18</v>
      </c>
      <c r="G1104" s="15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</row>
    <row r="1105" ht="22.5" customHeight="1">
      <c r="A1105" s="11">
        <v>1103.0</v>
      </c>
      <c r="B1105" s="20">
        <v>73.0</v>
      </c>
      <c r="C1105" s="13" t="s">
        <v>11154</v>
      </c>
      <c r="D1105" s="13" t="s">
        <v>11155</v>
      </c>
      <c r="E1105" s="13" t="s">
        <v>11156</v>
      </c>
      <c r="F1105" s="14" t="s">
        <v>18</v>
      </c>
      <c r="G1105" s="15"/>
      <c r="H1105" s="46"/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</row>
    <row r="1106" ht="22.5" customHeight="1">
      <c r="A1106" s="17">
        <v>1104.0</v>
      </c>
      <c r="B1106" s="20">
        <v>73.0</v>
      </c>
      <c r="C1106" s="13" t="s">
        <v>11157</v>
      </c>
      <c r="D1106" s="13" t="s">
        <v>11158</v>
      </c>
      <c r="E1106" s="13" t="s">
        <v>11159</v>
      </c>
      <c r="F1106" s="14" t="s">
        <v>18</v>
      </c>
      <c r="G1106" s="15"/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</row>
    <row r="1107" ht="22.5" customHeight="1">
      <c r="A1107" s="11">
        <v>1105.0</v>
      </c>
      <c r="B1107" s="20">
        <v>73.0</v>
      </c>
      <c r="C1107" s="13" t="s">
        <v>11160</v>
      </c>
      <c r="D1107" s="13" t="s">
        <v>11161</v>
      </c>
      <c r="E1107" s="13" t="s">
        <v>11162</v>
      </c>
      <c r="F1107" s="15"/>
      <c r="G1107" s="15"/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</row>
    <row r="1108" ht="22.5" customHeight="1">
      <c r="A1108" s="17">
        <v>1106.0</v>
      </c>
      <c r="B1108" s="20">
        <v>73.0</v>
      </c>
      <c r="C1108" s="13" t="s">
        <v>11163</v>
      </c>
      <c r="D1108" s="13" t="s">
        <v>11164</v>
      </c>
      <c r="E1108" s="13" t="s">
        <v>11165</v>
      </c>
      <c r="F1108" s="15"/>
      <c r="G1108" s="15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</row>
    <row r="1109" ht="22.5" customHeight="1">
      <c r="A1109" s="11">
        <v>1107.0</v>
      </c>
      <c r="B1109" s="20">
        <v>73.0</v>
      </c>
      <c r="C1109" s="13" t="s">
        <v>11166</v>
      </c>
      <c r="D1109" s="13" t="s">
        <v>11167</v>
      </c>
      <c r="E1109" s="13" t="s">
        <v>11168</v>
      </c>
      <c r="F1109" s="15"/>
      <c r="G1109" s="15"/>
      <c r="H1109" s="46"/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</row>
    <row r="1110" ht="22.5" customHeight="1">
      <c r="A1110" s="17">
        <v>1108.0</v>
      </c>
      <c r="B1110" s="20">
        <v>73.0</v>
      </c>
      <c r="C1110" s="13" t="s">
        <v>9536</v>
      </c>
      <c r="D1110" s="13" t="s">
        <v>9537</v>
      </c>
      <c r="E1110" s="13" t="s">
        <v>10167</v>
      </c>
      <c r="F1110" s="14" t="s">
        <v>18</v>
      </c>
      <c r="G1110" s="15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</row>
    <row r="1111" ht="22.5" customHeight="1">
      <c r="A1111" s="11">
        <v>1109.0</v>
      </c>
      <c r="B1111" s="20">
        <v>73.0</v>
      </c>
      <c r="C1111" s="13" t="s">
        <v>11169</v>
      </c>
      <c r="D1111" s="13" t="s">
        <v>11170</v>
      </c>
      <c r="E1111" s="13" t="s">
        <v>11171</v>
      </c>
      <c r="F1111" s="14" t="s">
        <v>18</v>
      </c>
      <c r="G1111" s="15"/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</row>
    <row r="1112" ht="22.5" customHeight="1">
      <c r="A1112" s="17">
        <v>1110.0</v>
      </c>
      <c r="B1112" s="20">
        <v>72.0</v>
      </c>
      <c r="C1112" s="13" t="s">
        <v>5227</v>
      </c>
      <c r="D1112" s="13" t="s">
        <v>5744</v>
      </c>
      <c r="E1112" s="13" t="s">
        <v>11172</v>
      </c>
      <c r="F1112" s="14" t="s">
        <v>18</v>
      </c>
      <c r="G1112" s="15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</row>
    <row r="1113" ht="22.5" customHeight="1">
      <c r="A1113" s="11">
        <v>1111.0</v>
      </c>
      <c r="B1113" s="20">
        <v>72.0</v>
      </c>
      <c r="C1113" s="13" t="s">
        <v>11173</v>
      </c>
      <c r="D1113" s="13" t="s">
        <v>11174</v>
      </c>
      <c r="E1113" s="13" t="s">
        <v>11175</v>
      </c>
      <c r="F1113" s="14" t="s">
        <v>18</v>
      </c>
      <c r="G1113" s="15"/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</row>
    <row r="1114" ht="22.5" customHeight="1">
      <c r="A1114" s="17">
        <v>1112.0</v>
      </c>
      <c r="B1114" s="20">
        <v>72.0</v>
      </c>
      <c r="C1114" s="13" t="s">
        <v>11176</v>
      </c>
      <c r="D1114" s="13" t="s">
        <v>11177</v>
      </c>
      <c r="E1114" s="13" t="s">
        <v>11178</v>
      </c>
      <c r="F1114" s="14" t="s">
        <v>18</v>
      </c>
      <c r="G1114" s="15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</row>
    <row r="1115" ht="22.5" customHeight="1">
      <c r="A1115" s="11">
        <v>1113.0</v>
      </c>
      <c r="B1115" s="20">
        <v>72.0</v>
      </c>
      <c r="C1115" s="13" t="s">
        <v>11179</v>
      </c>
      <c r="D1115" s="13" t="s">
        <v>11180</v>
      </c>
      <c r="E1115" s="13" t="s">
        <v>11181</v>
      </c>
      <c r="F1115" s="14" t="s">
        <v>18</v>
      </c>
      <c r="G1115" s="15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</row>
    <row r="1116" ht="22.5" customHeight="1">
      <c r="A1116" s="17">
        <v>1114.0</v>
      </c>
      <c r="B1116" s="20">
        <v>72.0</v>
      </c>
      <c r="C1116" s="13" t="s">
        <v>8830</v>
      </c>
      <c r="D1116" s="13" t="s">
        <v>8831</v>
      </c>
      <c r="E1116" s="13" t="s">
        <v>8832</v>
      </c>
      <c r="F1116" s="15"/>
      <c r="G1116" s="15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</row>
    <row r="1117" ht="22.5" customHeight="1">
      <c r="A1117" s="11">
        <v>1115.0</v>
      </c>
      <c r="B1117" s="20">
        <v>72.0</v>
      </c>
      <c r="C1117" s="13" t="s">
        <v>11182</v>
      </c>
      <c r="D1117" s="13" t="s">
        <v>11183</v>
      </c>
      <c r="E1117" s="13" t="s">
        <v>11184</v>
      </c>
      <c r="F1117" s="14" t="s">
        <v>18</v>
      </c>
      <c r="G1117" s="15"/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</row>
    <row r="1118" ht="22.5" customHeight="1">
      <c r="A1118" s="17">
        <v>1116.0</v>
      </c>
      <c r="B1118" s="20">
        <v>72.0</v>
      </c>
      <c r="C1118" s="13" t="s">
        <v>11185</v>
      </c>
      <c r="D1118" s="13" t="s">
        <v>11186</v>
      </c>
      <c r="E1118" s="13" t="s">
        <v>11187</v>
      </c>
      <c r="F1118" s="15"/>
      <c r="G1118" s="15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</row>
    <row r="1119" ht="22.5" customHeight="1">
      <c r="A1119" s="11">
        <v>1117.0</v>
      </c>
      <c r="B1119" s="20">
        <v>72.0</v>
      </c>
      <c r="C1119" s="13" t="s">
        <v>5496</v>
      </c>
      <c r="D1119" s="13" t="s">
        <v>11188</v>
      </c>
      <c r="E1119" s="13" t="s">
        <v>11189</v>
      </c>
      <c r="F1119" s="14" t="s">
        <v>18</v>
      </c>
      <c r="G1119" s="15"/>
      <c r="H1119" s="46"/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</row>
    <row r="1120" ht="22.5" customHeight="1">
      <c r="A1120" s="17">
        <v>1118.0</v>
      </c>
      <c r="B1120" s="20">
        <v>72.0</v>
      </c>
      <c r="C1120" s="13" t="s">
        <v>11190</v>
      </c>
      <c r="D1120" s="13" t="s">
        <v>11191</v>
      </c>
      <c r="E1120" s="13" t="s">
        <v>11192</v>
      </c>
      <c r="F1120" s="14" t="s">
        <v>18</v>
      </c>
      <c r="G1120" s="15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</row>
    <row r="1121" ht="22.5" customHeight="1">
      <c r="A1121" s="11">
        <v>1119.0</v>
      </c>
      <c r="B1121" s="20">
        <v>72.0</v>
      </c>
      <c r="C1121" s="13" t="s">
        <v>11193</v>
      </c>
      <c r="D1121" s="13" t="s">
        <v>1922</v>
      </c>
      <c r="E1121" s="13" t="s">
        <v>2602</v>
      </c>
      <c r="F1121" s="15"/>
      <c r="G1121" s="15"/>
      <c r="H1121" s="46"/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</row>
    <row r="1122" ht="22.5" customHeight="1">
      <c r="A1122" s="17">
        <v>1120.0</v>
      </c>
      <c r="B1122" s="20">
        <v>72.0</v>
      </c>
      <c r="C1122" s="13" t="s">
        <v>8833</v>
      </c>
      <c r="D1122" s="13" t="s">
        <v>8834</v>
      </c>
      <c r="E1122" s="13" t="s">
        <v>11194</v>
      </c>
      <c r="F1122" s="15"/>
      <c r="G1122" s="15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</row>
    <row r="1123" ht="22.5" customHeight="1">
      <c r="A1123" s="11">
        <v>1121.0</v>
      </c>
      <c r="B1123" s="20">
        <v>72.0</v>
      </c>
      <c r="C1123" s="13" t="s">
        <v>11195</v>
      </c>
      <c r="D1123" s="13" t="s">
        <v>11196</v>
      </c>
      <c r="E1123" s="13" t="s">
        <v>11197</v>
      </c>
      <c r="F1123" s="15"/>
      <c r="G1123" s="15"/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</row>
    <row r="1124" ht="22.5" customHeight="1">
      <c r="A1124" s="17">
        <v>1122.0</v>
      </c>
      <c r="B1124" s="20">
        <v>72.0</v>
      </c>
      <c r="C1124" s="13" t="s">
        <v>11198</v>
      </c>
      <c r="D1124" s="13" t="s">
        <v>11199</v>
      </c>
      <c r="E1124" s="13" t="s">
        <v>11200</v>
      </c>
      <c r="F1124" s="14" t="s">
        <v>18</v>
      </c>
      <c r="G1124" s="15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</row>
    <row r="1125" ht="22.5" customHeight="1">
      <c r="A1125" s="11">
        <v>1123.0</v>
      </c>
      <c r="B1125" s="20">
        <v>72.0</v>
      </c>
      <c r="C1125" s="13" t="s">
        <v>11201</v>
      </c>
      <c r="D1125" s="13" t="s">
        <v>11202</v>
      </c>
      <c r="E1125" s="13" t="s">
        <v>11203</v>
      </c>
      <c r="F1125" s="14" t="s">
        <v>18</v>
      </c>
      <c r="G1125" s="15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</row>
    <row r="1126" ht="22.5" customHeight="1">
      <c r="A1126" s="17">
        <v>1124.0</v>
      </c>
      <c r="B1126" s="20">
        <v>72.0</v>
      </c>
      <c r="C1126" s="13" t="s">
        <v>11204</v>
      </c>
      <c r="D1126" s="13" t="s">
        <v>11205</v>
      </c>
      <c r="E1126" s="13" t="s">
        <v>11206</v>
      </c>
      <c r="F1126" s="14" t="s">
        <v>18</v>
      </c>
      <c r="G1126" s="15"/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</row>
    <row r="1127" ht="22.5" customHeight="1">
      <c r="A1127" s="11">
        <v>1125.0</v>
      </c>
      <c r="B1127" s="20">
        <v>72.0</v>
      </c>
      <c r="C1127" s="13" t="s">
        <v>11207</v>
      </c>
      <c r="D1127" s="13" t="s">
        <v>11208</v>
      </c>
      <c r="E1127" s="13" t="s">
        <v>11209</v>
      </c>
      <c r="F1127" s="15"/>
      <c r="G1127" s="15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</row>
    <row r="1128" ht="22.5" customHeight="1">
      <c r="A1128" s="17">
        <v>1126.0</v>
      </c>
      <c r="B1128" s="20">
        <v>72.0</v>
      </c>
      <c r="C1128" s="13" t="s">
        <v>11210</v>
      </c>
      <c r="D1128" s="13" t="s">
        <v>11211</v>
      </c>
      <c r="E1128" s="13" t="s">
        <v>11212</v>
      </c>
      <c r="F1128" s="14" t="s">
        <v>18</v>
      </c>
      <c r="G1128" s="15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</row>
    <row r="1129" ht="22.5" customHeight="1">
      <c r="A1129" s="11">
        <v>1127.0</v>
      </c>
      <c r="B1129" s="20">
        <v>72.0</v>
      </c>
      <c r="C1129" s="13" t="s">
        <v>11213</v>
      </c>
      <c r="D1129" s="13" t="s">
        <v>11214</v>
      </c>
      <c r="E1129" s="13" t="s">
        <v>11215</v>
      </c>
      <c r="F1129" s="14" t="s">
        <v>18</v>
      </c>
      <c r="G1129" s="15"/>
      <c r="H1129" s="46"/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</row>
    <row r="1130" ht="22.5" customHeight="1">
      <c r="A1130" s="17">
        <v>1128.0</v>
      </c>
      <c r="B1130" s="20">
        <v>72.0</v>
      </c>
      <c r="C1130" s="13" t="s">
        <v>8827</v>
      </c>
      <c r="D1130" s="13" t="s">
        <v>8828</v>
      </c>
      <c r="E1130" s="13" t="s">
        <v>8829</v>
      </c>
      <c r="F1130" s="14" t="s">
        <v>18</v>
      </c>
      <c r="G1130" s="15"/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</row>
    <row r="1131" ht="22.5" customHeight="1">
      <c r="A1131" s="11">
        <v>1129.0</v>
      </c>
      <c r="B1131" s="20">
        <v>72.0</v>
      </c>
      <c r="C1131" s="13" t="s">
        <v>11216</v>
      </c>
      <c r="D1131" s="13" t="s">
        <v>11217</v>
      </c>
      <c r="E1131" s="13" t="s">
        <v>11218</v>
      </c>
      <c r="F1131" s="14" t="s">
        <v>18</v>
      </c>
      <c r="G1131" s="15"/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</row>
    <row r="1132" ht="22.5" customHeight="1">
      <c r="A1132" s="17">
        <v>1130.0</v>
      </c>
      <c r="B1132" s="20">
        <v>72.0</v>
      </c>
      <c r="C1132" s="13" t="s">
        <v>11219</v>
      </c>
      <c r="D1132" s="13" t="s">
        <v>11220</v>
      </c>
      <c r="E1132" s="13" t="s">
        <v>11221</v>
      </c>
      <c r="F1132" s="14" t="s">
        <v>18</v>
      </c>
      <c r="G1132" s="15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</row>
    <row r="1133" ht="22.5" customHeight="1">
      <c r="A1133" s="11">
        <v>1131.0</v>
      </c>
      <c r="B1133" s="20">
        <v>72.0</v>
      </c>
      <c r="C1133" s="13" t="s">
        <v>5602</v>
      </c>
      <c r="D1133" s="13" t="s">
        <v>5601</v>
      </c>
      <c r="E1133" s="13" t="s">
        <v>11222</v>
      </c>
      <c r="F1133" s="14" t="s">
        <v>18</v>
      </c>
      <c r="G1133" s="15"/>
      <c r="H1133" s="46"/>
      <c r="I1133" s="46"/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</row>
    <row r="1134" ht="22.5" customHeight="1">
      <c r="A1134" s="17">
        <v>1132.0</v>
      </c>
      <c r="B1134" s="20">
        <v>72.0</v>
      </c>
      <c r="C1134" s="13" t="s">
        <v>10340</v>
      </c>
      <c r="D1134" s="13" t="s">
        <v>10341</v>
      </c>
      <c r="E1134" s="13" t="s">
        <v>10342</v>
      </c>
      <c r="F1134" s="15"/>
      <c r="G1134" s="15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</row>
    <row r="1135" ht="22.5" customHeight="1">
      <c r="A1135" s="11">
        <v>1133.0</v>
      </c>
      <c r="B1135" s="20">
        <v>72.0</v>
      </c>
      <c r="C1135" s="13" t="s">
        <v>11223</v>
      </c>
      <c r="D1135" s="13" t="s">
        <v>11224</v>
      </c>
      <c r="E1135" s="13" t="s">
        <v>11225</v>
      </c>
      <c r="F1135" s="14" t="s">
        <v>18</v>
      </c>
      <c r="G1135" s="15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</row>
    <row r="1136" ht="22.5" customHeight="1">
      <c r="A1136" s="17">
        <v>1134.0</v>
      </c>
      <c r="B1136" s="20">
        <v>72.0</v>
      </c>
      <c r="C1136" s="13" t="s">
        <v>11226</v>
      </c>
      <c r="D1136" s="13" t="s">
        <v>11227</v>
      </c>
      <c r="E1136" s="13" t="s">
        <v>11228</v>
      </c>
      <c r="F1136" s="14" t="s">
        <v>18</v>
      </c>
      <c r="G1136" s="15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</row>
    <row r="1137" ht="22.5" customHeight="1">
      <c r="A1137" s="11">
        <v>1135.0</v>
      </c>
      <c r="B1137" s="20">
        <v>72.0</v>
      </c>
      <c r="C1137" s="13" t="s">
        <v>11229</v>
      </c>
      <c r="D1137" s="13" t="s">
        <v>11230</v>
      </c>
      <c r="E1137" s="13" t="s">
        <v>11231</v>
      </c>
      <c r="F1137" s="14" t="s">
        <v>18</v>
      </c>
      <c r="G1137" s="15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</row>
    <row r="1138" ht="22.5" customHeight="1">
      <c r="A1138" s="17">
        <v>1136.0</v>
      </c>
      <c r="B1138" s="20">
        <v>72.0</v>
      </c>
      <c r="C1138" s="13" t="s">
        <v>11232</v>
      </c>
      <c r="D1138" s="13" t="s">
        <v>11233</v>
      </c>
      <c r="E1138" s="13" t="s">
        <v>11234</v>
      </c>
      <c r="F1138" s="14" t="s">
        <v>18</v>
      </c>
      <c r="G1138" s="15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</row>
    <row r="1139" ht="22.5" customHeight="1">
      <c r="A1139" s="11">
        <v>1137.0</v>
      </c>
      <c r="B1139" s="20">
        <v>72.0</v>
      </c>
      <c r="C1139" s="13" t="s">
        <v>10400</v>
      </c>
      <c r="D1139" s="13" t="s">
        <v>10401</v>
      </c>
      <c r="E1139" s="13" t="s">
        <v>10402</v>
      </c>
      <c r="F1139" s="14" t="s">
        <v>18</v>
      </c>
      <c r="G1139" s="15"/>
      <c r="H1139" s="46"/>
      <c r="I1139" s="46"/>
      <c r="J1139" s="46"/>
      <c r="K1139" s="46"/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</row>
    <row r="1140" ht="22.5" customHeight="1">
      <c r="A1140" s="17">
        <v>1138.0</v>
      </c>
      <c r="B1140" s="20">
        <v>72.0</v>
      </c>
      <c r="C1140" s="13" t="s">
        <v>9589</v>
      </c>
      <c r="D1140" s="13" t="s">
        <v>10941</v>
      </c>
      <c r="E1140" s="13" t="s">
        <v>10942</v>
      </c>
      <c r="F1140" s="15"/>
      <c r="G1140" s="15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</row>
    <row r="1141" ht="22.5" customHeight="1">
      <c r="A1141" s="11">
        <v>1139.0</v>
      </c>
      <c r="B1141" s="20">
        <v>72.0</v>
      </c>
      <c r="C1141" s="13" t="s">
        <v>11235</v>
      </c>
      <c r="D1141" s="13" t="s">
        <v>11236</v>
      </c>
      <c r="E1141" s="13" t="s">
        <v>11237</v>
      </c>
      <c r="F1141" s="14" t="s">
        <v>18</v>
      </c>
      <c r="G1141" s="15"/>
      <c r="H1141" s="46"/>
      <c r="I1141" s="46"/>
      <c r="J1141" s="46"/>
      <c r="K1141" s="46"/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</row>
    <row r="1142" ht="22.5" customHeight="1">
      <c r="A1142" s="17">
        <v>1140.0</v>
      </c>
      <c r="B1142" s="20">
        <v>71.0</v>
      </c>
      <c r="C1142" s="13" t="s">
        <v>11238</v>
      </c>
      <c r="D1142" s="13" t="s">
        <v>11239</v>
      </c>
      <c r="E1142" s="13" t="s">
        <v>11240</v>
      </c>
      <c r="F1142" s="14" t="s">
        <v>18</v>
      </c>
      <c r="G1142" s="15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</row>
    <row r="1143" ht="22.5" customHeight="1">
      <c r="A1143" s="11">
        <v>1141.0</v>
      </c>
      <c r="B1143" s="20">
        <v>71.0</v>
      </c>
      <c r="C1143" s="13" t="s">
        <v>11241</v>
      </c>
      <c r="D1143" s="13" t="s">
        <v>11242</v>
      </c>
      <c r="E1143" s="13" t="s">
        <v>11243</v>
      </c>
      <c r="F1143" s="15"/>
      <c r="G1143" s="15"/>
      <c r="H1143" s="46"/>
      <c r="I1143" s="46"/>
      <c r="J1143" s="46"/>
      <c r="K1143" s="46"/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</row>
    <row r="1144" ht="22.5" customHeight="1">
      <c r="A1144" s="17">
        <v>1142.0</v>
      </c>
      <c r="B1144" s="20">
        <v>71.0</v>
      </c>
      <c r="C1144" s="13" t="s">
        <v>11244</v>
      </c>
      <c r="D1144" s="13" t="s">
        <v>11245</v>
      </c>
      <c r="E1144" s="13" t="s">
        <v>11246</v>
      </c>
      <c r="F1144" s="15"/>
      <c r="G1144" s="15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</row>
    <row r="1145" ht="22.5" customHeight="1">
      <c r="A1145" s="11">
        <v>1143.0</v>
      </c>
      <c r="B1145" s="20">
        <v>71.0</v>
      </c>
      <c r="C1145" s="13" t="s">
        <v>11247</v>
      </c>
      <c r="D1145" s="13" t="s">
        <v>11248</v>
      </c>
      <c r="E1145" s="13" t="s">
        <v>11249</v>
      </c>
      <c r="F1145" s="14" t="s">
        <v>18</v>
      </c>
      <c r="G1145" s="15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</row>
    <row r="1146" ht="22.5" customHeight="1">
      <c r="A1146" s="17">
        <v>1144.0</v>
      </c>
      <c r="B1146" s="20">
        <v>71.0</v>
      </c>
      <c r="C1146" s="13" t="s">
        <v>10926</v>
      </c>
      <c r="D1146" s="13" t="s">
        <v>10927</v>
      </c>
      <c r="E1146" s="13" t="s">
        <v>10928</v>
      </c>
      <c r="F1146" s="14" t="s">
        <v>18</v>
      </c>
      <c r="G1146" s="15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</row>
    <row r="1147" ht="22.5" customHeight="1">
      <c r="A1147" s="11">
        <v>1145.0</v>
      </c>
      <c r="B1147" s="20">
        <v>71.0</v>
      </c>
      <c r="C1147" s="13" t="s">
        <v>9521</v>
      </c>
      <c r="D1147" s="13" t="s">
        <v>3849</v>
      </c>
      <c r="E1147" s="13" t="s">
        <v>11250</v>
      </c>
      <c r="F1147" s="15"/>
      <c r="G1147" s="15"/>
      <c r="H1147" s="46"/>
      <c r="I1147" s="46"/>
      <c r="J1147" s="46"/>
      <c r="K1147" s="46"/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</row>
    <row r="1148" ht="22.5" customHeight="1">
      <c r="A1148" s="17">
        <v>1146.0</v>
      </c>
      <c r="B1148" s="20">
        <v>71.0</v>
      </c>
      <c r="C1148" s="13" t="s">
        <v>11251</v>
      </c>
      <c r="D1148" s="13" t="s">
        <v>11252</v>
      </c>
      <c r="E1148" s="13" t="s">
        <v>11253</v>
      </c>
      <c r="F1148" s="15"/>
      <c r="G1148" s="15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</row>
    <row r="1149" ht="22.5" customHeight="1">
      <c r="A1149" s="11">
        <v>1147.0</v>
      </c>
      <c r="B1149" s="20">
        <v>71.0</v>
      </c>
      <c r="C1149" s="13" t="s">
        <v>9574</v>
      </c>
      <c r="D1149" s="13" t="s">
        <v>9575</v>
      </c>
      <c r="E1149" s="13" t="s">
        <v>9576</v>
      </c>
      <c r="F1149" s="14" t="s">
        <v>18</v>
      </c>
      <c r="G1149" s="15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</row>
    <row r="1150" ht="22.5" customHeight="1">
      <c r="A1150" s="17">
        <v>1148.0</v>
      </c>
      <c r="B1150" s="20">
        <v>71.0</v>
      </c>
      <c r="C1150" s="13" t="s">
        <v>11254</v>
      </c>
      <c r="D1150" s="13" t="s">
        <v>11255</v>
      </c>
      <c r="E1150" s="13" t="s">
        <v>11256</v>
      </c>
      <c r="F1150" s="14" t="s">
        <v>18</v>
      </c>
      <c r="G1150" s="15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</row>
    <row r="1151" ht="22.5" customHeight="1">
      <c r="A1151" s="11">
        <v>1149.0</v>
      </c>
      <c r="B1151" s="20">
        <v>71.0</v>
      </c>
      <c r="C1151" s="13" t="s">
        <v>9092</v>
      </c>
      <c r="D1151" s="13" t="s">
        <v>9093</v>
      </c>
      <c r="E1151" s="13" t="s">
        <v>9094</v>
      </c>
      <c r="F1151" s="15"/>
      <c r="G1151" s="15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</row>
    <row r="1152" ht="22.5" customHeight="1">
      <c r="A1152" s="17">
        <v>1150.0</v>
      </c>
      <c r="B1152" s="20">
        <v>71.0</v>
      </c>
      <c r="C1152" s="13" t="s">
        <v>10169</v>
      </c>
      <c r="D1152" s="13" t="s">
        <v>10170</v>
      </c>
      <c r="E1152" s="13" t="s">
        <v>10171</v>
      </c>
      <c r="F1152" s="15"/>
      <c r="G1152" s="15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</row>
    <row r="1153" ht="22.5" customHeight="1">
      <c r="A1153" s="11">
        <v>1151.0</v>
      </c>
      <c r="B1153" s="20">
        <v>71.0</v>
      </c>
      <c r="C1153" s="13" t="s">
        <v>9536</v>
      </c>
      <c r="D1153" s="13" t="s">
        <v>9537</v>
      </c>
      <c r="E1153" s="13" t="s">
        <v>10167</v>
      </c>
      <c r="F1153" s="15"/>
      <c r="G1153" s="15"/>
      <c r="H1153" s="46"/>
      <c r="I1153" s="46"/>
      <c r="J1153" s="46"/>
      <c r="K1153" s="46"/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</row>
    <row r="1154" ht="22.5" customHeight="1">
      <c r="A1154" s="17">
        <v>1152.0</v>
      </c>
      <c r="B1154" s="20">
        <v>71.0</v>
      </c>
      <c r="C1154" s="13" t="s">
        <v>10164</v>
      </c>
      <c r="D1154" s="13" t="s">
        <v>10165</v>
      </c>
      <c r="E1154" s="13" t="s">
        <v>10166</v>
      </c>
      <c r="F1154" s="15"/>
      <c r="G1154" s="15"/>
      <c r="H1154" s="46"/>
      <c r="I1154" s="46"/>
      <c r="J1154" s="46"/>
      <c r="K1154" s="46"/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</row>
    <row r="1155" ht="22.5" customHeight="1">
      <c r="A1155" s="11">
        <v>1153.0</v>
      </c>
      <c r="B1155" s="20">
        <v>71.0</v>
      </c>
      <c r="C1155" s="13" t="s">
        <v>11257</v>
      </c>
      <c r="D1155" s="13" t="s">
        <v>11258</v>
      </c>
      <c r="E1155" s="13" t="s">
        <v>11259</v>
      </c>
      <c r="F1155" s="15"/>
      <c r="G1155" s="15"/>
      <c r="H1155" s="46"/>
      <c r="I1155" s="46"/>
      <c r="J1155" s="46"/>
      <c r="K1155" s="46"/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</row>
    <row r="1156" ht="22.5" customHeight="1">
      <c r="A1156" s="17">
        <v>1154.0</v>
      </c>
      <c r="B1156" s="20">
        <v>71.0</v>
      </c>
      <c r="C1156" s="13" t="s">
        <v>5094</v>
      </c>
      <c r="D1156" s="13" t="s">
        <v>3486</v>
      </c>
      <c r="E1156" s="13" t="s">
        <v>11260</v>
      </c>
      <c r="F1156" s="15"/>
      <c r="G1156" s="15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</row>
    <row r="1157" ht="22.5" customHeight="1">
      <c r="A1157" s="11">
        <v>1155.0</v>
      </c>
      <c r="B1157" s="20">
        <v>71.0</v>
      </c>
      <c r="C1157" s="13" t="s">
        <v>10515</v>
      </c>
      <c r="D1157" s="13" t="s">
        <v>10516</v>
      </c>
      <c r="E1157" s="13" t="s">
        <v>11261</v>
      </c>
      <c r="F1157" s="15"/>
      <c r="G1157" s="15"/>
      <c r="H1157" s="46"/>
      <c r="I1157" s="46"/>
      <c r="J1157" s="46"/>
      <c r="K1157" s="46"/>
      <c r="L1157" s="46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  <c r="Y1157" s="46"/>
      <c r="Z1157" s="46"/>
    </row>
    <row r="1158" ht="22.5" customHeight="1">
      <c r="A1158" s="17">
        <v>1156.0</v>
      </c>
      <c r="B1158" s="20">
        <v>71.0</v>
      </c>
      <c r="C1158" s="13" t="s">
        <v>8948</v>
      </c>
      <c r="D1158" s="13" t="s">
        <v>8949</v>
      </c>
      <c r="E1158" s="13" t="s">
        <v>11262</v>
      </c>
      <c r="F1158" s="15"/>
      <c r="G1158" s="15"/>
      <c r="H1158" s="46"/>
      <c r="I1158" s="46"/>
      <c r="J1158" s="46"/>
      <c r="K1158" s="46"/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</row>
    <row r="1159" ht="22.5" customHeight="1">
      <c r="A1159" s="11">
        <v>1157.0</v>
      </c>
      <c r="B1159" s="20">
        <v>71.0</v>
      </c>
      <c r="C1159" s="13" t="s">
        <v>11263</v>
      </c>
      <c r="D1159" s="13" t="s">
        <v>11264</v>
      </c>
      <c r="E1159" s="13" t="s">
        <v>11265</v>
      </c>
      <c r="F1159" s="14" t="s">
        <v>18</v>
      </c>
      <c r="G1159" s="15"/>
      <c r="H1159" s="46"/>
      <c r="I1159" s="46"/>
      <c r="J1159" s="46"/>
      <c r="K1159" s="46"/>
      <c r="L1159" s="46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  <c r="Y1159" s="46"/>
      <c r="Z1159" s="46"/>
    </row>
    <row r="1160" ht="22.5" customHeight="1">
      <c r="A1160" s="17">
        <v>1158.0</v>
      </c>
      <c r="B1160" s="20">
        <v>71.0</v>
      </c>
      <c r="C1160" s="13" t="s">
        <v>5695</v>
      </c>
      <c r="D1160" s="13" t="s">
        <v>5694</v>
      </c>
      <c r="E1160" s="13" t="s">
        <v>11266</v>
      </c>
      <c r="F1160" s="15"/>
      <c r="G1160" s="15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</row>
    <row r="1161" ht="22.5" customHeight="1">
      <c r="A1161" s="11">
        <v>1159.0</v>
      </c>
      <c r="B1161" s="20">
        <v>71.0</v>
      </c>
      <c r="C1161" s="13" t="s">
        <v>10158</v>
      </c>
      <c r="D1161" s="13" t="s">
        <v>10159</v>
      </c>
      <c r="E1161" s="13" t="s">
        <v>10160</v>
      </c>
      <c r="F1161" s="15"/>
      <c r="G1161" s="15"/>
      <c r="H1161" s="46"/>
      <c r="I1161" s="46"/>
      <c r="J1161" s="46"/>
      <c r="K1161" s="46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</row>
    <row r="1162" ht="22.5" customHeight="1">
      <c r="A1162" s="17">
        <v>1160.0</v>
      </c>
      <c r="B1162" s="20">
        <v>71.0</v>
      </c>
      <c r="C1162" s="13" t="s">
        <v>10161</v>
      </c>
      <c r="D1162" s="13" t="s">
        <v>10162</v>
      </c>
      <c r="E1162" s="13" t="s">
        <v>10163</v>
      </c>
      <c r="F1162" s="15"/>
      <c r="G1162" s="15"/>
      <c r="H1162" s="46"/>
      <c r="I1162" s="46"/>
      <c r="J1162" s="46"/>
      <c r="K1162" s="46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</row>
    <row r="1163" ht="22.5" customHeight="1">
      <c r="A1163" s="11">
        <v>1161.0</v>
      </c>
      <c r="B1163" s="20">
        <v>71.0</v>
      </c>
      <c r="C1163" s="13" t="s">
        <v>11267</v>
      </c>
      <c r="D1163" s="13" t="s">
        <v>11268</v>
      </c>
      <c r="E1163" s="13" t="s">
        <v>11269</v>
      </c>
      <c r="F1163" s="14" t="s">
        <v>18</v>
      </c>
      <c r="G1163" s="15"/>
      <c r="H1163" s="46"/>
      <c r="I1163" s="46"/>
      <c r="J1163" s="46"/>
      <c r="K1163" s="46"/>
      <c r="L1163" s="46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</row>
    <row r="1164" ht="22.5" customHeight="1">
      <c r="A1164" s="17">
        <v>1162.0</v>
      </c>
      <c r="B1164" s="20">
        <v>71.0</v>
      </c>
      <c r="C1164" s="13" t="s">
        <v>11270</v>
      </c>
      <c r="D1164" s="13" t="s">
        <v>11271</v>
      </c>
      <c r="E1164" s="13" t="s">
        <v>11272</v>
      </c>
      <c r="F1164" s="14" t="s">
        <v>18</v>
      </c>
      <c r="G1164" s="15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</row>
    <row r="1165" ht="22.5" customHeight="1">
      <c r="A1165" s="11">
        <v>1163.0</v>
      </c>
      <c r="B1165" s="20">
        <v>71.0</v>
      </c>
      <c r="C1165" s="13" t="s">
        <v>11273</v>
      </c>
      <c r="D1165" s="13" t="s">
        <v>11274</v>
      </c>
      <c r="E1165" s="13" t="s">
        <v>11275</v>
      </c>
      <c r="F1165" s="15"/>
      <c r="G1165" s="15"/>
      <c r="H1165" s="46"/>
      <c r="I1165" s="46"/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</row>
    <row r="1166" ht="22.5" customHeight="1">
      <c r="A1166" s="17">
        <v>1164.0</v>
      </c>
      <c r="B1166" s="20">
        <v>71.0</v>
      </c>
      <c r="C1166" s="13" t="s">
        <v>11276</v>
      </c>
      <c r="D1166" s="13" t="s">
        <v>11277</v>
      </c>
      <c r="E1166" s="13" t="s">
        <v>11278</v>
      </c>
      <c r="F1166" s="15"/>
      <c r="G1166" s="15"/>
      <c r="H1166" s="46"/>
      <c r="I1166" s="46"/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</row>
    <row r="1167" ht="22.5" customHeight="1">
      <c r="A1167" s="11">
        <v>1165.0</v>
      </c>
      <c r="B1167" s="20">
        <v>71.0</v>
      </c>
      <c r="C1167" s="13" t="s">
        <v>11279</v>
      </c>
      <c r="D1167" s="13" t="s">
        <v>11280</v>
      </c>
      <c r="E1167" s="13" t="s">
        <v>11281</v>
      </c>
      <c r="F1167" s="15"/>
      <c r="G1167" s="15"/>
      <c r="H1167" s="46"/>
      <c r="I1167" s="46"/>
      <c r="J1167" s="46"/>
      <c r="K1167" s="46"/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  <c r="Y1167" s="46"/>
      <c r="Z1167" s="46"/>
    </row>
    <row r="1168" ht="22.5" customHeight="1">
      <c r="A1168" s="17">
        <v>1166.0</v>
      </c>
      <c r="B1168" s="20">
        <v>71.0</v>
      </c>
      <c r="C1168" s="13" t="s">
        <v>9453</v>
      </c>
      <c r="D1168" s="13" t="s">
        <v>11282</v>
      </c>
      <c r="E1168" s="13" t="s">
        <v>9455</v>
      </c>
      <c r="F1168" s="15"/>
      <c r="G1168" s="15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</row>
    <row r="1169" ht="22.5" customHeight="1">
      <c r="A1169" s="11">
        <v>1167.0</v>
      </c>
      <c r="B1169" s="20">
        <v>71.0</v>
      </c>
      <c r="C1169" s="13" t="s">
        <v>9384</v>
      </c>
      <c r="D1169" s="13" t="s">
        <v>9385</v>
      </c>
      <c r="E1169" s="13" t="s">
        <v>9386</v>
      </c>
      <c r="F1169" s="15"/>
      <c r="G1169" s="15"/>
      <c r="H1169" s="46"/>
      <c r="I1169" s="46"/>
      <c r="J1169" s="46"/>
      <c r="K1169" s="46"/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</row>
    <row r="1170" ht="22.5" customHeight="1">
      <c r="A1170" s="17">
        <v>1168.0</v>
      </c>
      <c r="B1170" s="20">
        <v>71.0</v>
      </c>
      <c r="C1170" s="13" t="s">
        <v>11283</v>
      </c>
      <c r="D1170" s="13" t="s">
        <v>11284</v>
      </c>
      <c r="E1170" s="13" t="s">
        <v>11285</v>
      </c>
      <c r="F1170" s="14" t="s">
        <v>18</v>
      </c>
      <c r="G1170" s="14" t="s">
        <v>18</v>
      </c>
      <c r="H1170" s="46"/>
      <c r="I1170" s="46"/>
      <c r="J1170" s="46"/>
      <c r="K1170" s="46"/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</row>
    <row r="1171" ht="22.5" customHeight="1">
      <c r="A1171" s="11">
        <v>1169.0</v>
      </c>
      <c r="B1171" s="20">
        <v>71.0</v>
      </c>
      <c r="C1171" s="13" t="s">
        <v>5748</v>
      </c>
      <c r="D1171" s="13" t="s">
        <v>5747</v>
      </c>
      <c r="E1171" s="13" t="s">
        <v>11286</v>
      </c>
      <c r="F1171" s="15"/>
      <c r="G1171" s="15"/>
      <c r="H1171" s="46"/>
      <c r="I1171" s="46"/>
      <c r="J1171" s="46"/>
      <c r="K1171" s="46"/>
      <c r="L1171" s="46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  <c r="Y1171" s="46"/>
      <c r="Z1171" s="46"/>
    </row>
    <row r="1172" ht="22.5" customHeight="1">
      <c r="A1172" s="17">
        <v>1170.0</v>
      </c>
      <c r="B1172" s="20">
        <v>70.0</v>
      </c>
      <c r="C1172" s="13" t="s">
        <v>11287</v>
      </c>
      <c r="D1172" s="13" t="s">
        <v>11288</v>
      </c>
      <c r="E1172" s="13" t="s">
        <v>11289</v>
      </c>
      <c r="F1172" s="14" t="s">
        <v>18</v>
      </c>
      <c r="G1172" s="15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</row>
    <row r="1173" ht="22.5" customHeight="1">
      <c r="A1173" s="11">
        <v>1171.0</v>
      </c>
      <c r="B1173" s="20">
        <v>70.0</v>
      </c>
      <c r="C1173" s="13" t="s">
        <v>11290</v>
      </c>
      <c r="D1173" s="13" t="s">
        <v>11291</v>
      </c>
      <c r="E1173" s="13" t="s">
        <v>11292</v>
      </c>
      <c r="F1173" s="14" t="s">
        <v>18</v>
      </c>
      <c r="G1173" s="15"/>
      <c r="H1173" s="46"/>
      <c r="I1173" s="46"/>
      <c r="J1173" s="46"/>
      <c r="K1173" s="46"/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</row>
    <row r="1174" ht="22.5" customHeight="1">
      <c r="A1174" s="17">
        <v>1172.0</v>
      </c>
      <c r="B1174" s="20">
        <v>70.0</v>
      </c>
      <c r="C1174" s="13" t="s">
        <v>11293</v>
      </c>
      <c r="D1174" s="13" t="s">
        <v>11294</v>
      </c>
      <c r="E1174" s="13" t="s">
        <v>11295</v>
      </c>
      <c r="F1174" s="14" t="s">
        <v>18</v>
      </c>
      <c r="G1174" s="15"/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</row>
    <row r="1175" ht="22.5" customHeight="1">
      <c r="A1175" s="11">
        <v>1173.0</v>
      </c>
      <c r="B1175" s="20">
        <v>70.0</v>
      </c>
      <c r="C1175" s="13" t="s">
        <v>11296</v>
      </c>
      <c r="D1175" s="13" t="s">
        <v>11297</v>
      </c>
      <c r="E1175" s="13" t="s">
        <v>11298</v>
      </c>
      <c r="F1175" s="15"/>
      <c r="G1175" s="15"/>
      <c r="H1175" s="46"/>
      <c r="I1175" s="46"/>
      <c r="J1175" s="46"/>
      <c r="K1175" s="46"/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</row>
    <row r="1176" ht="22.5" customHeight="1">
      <c r="A1176" s="17">
        <v>1174.0</v>
      </c>
      <c r="B1176" s="20">
        <v>70.0</v>
      </c>
      <c r="C1176" s="13" t="s">
        <v>11299</v>
      </c>
      <c r="D1176" s="13" t="s">
        <v>11300</v>
      </c>
      <c r="E1176" s="13" t="s">
        <v>11301</v>
      </c>
      <c r="F1176" s="14" t="s">
        <v>18</v>
      </c>
      <c r="G1176" s="15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</row>
    <row r="1177" ht="22.5" customHeight="1">
      <c r="A1177" s="11">
        <v>1175.0</v>
      </c>
      <c r="B1177" s="20">
        <v>70.0</v>
      </c>
      <c r="C1177" s="13" t="s">
        <v>10536</v>
      </c>
      <c r="D1177" s="13" t="s">
        <v>10537</v>
      </c>
      <c r="E1177" s="13" t="s">
        <v>10538</v>
      </c>
      <c r="F1177" s="15"/>
      <c r="G1177" s="15"/>
      <c r="H1177" s="46"/>
      <c r="I1177" s="46"/>
      <c r="J1177" s="46"/>
      <c r="K1177" s="46"/>
      <c r="L1177" s="46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  <c r="Y1177" s="46"/>
      <c r="Z1177" s="46"/>
    </row>
    <row r="1178" ht="22.5" customHeight="1">
      <c r="A1178" s="17">
        <v>1176.0</v>
      </c>
      <c r="B1178" s="20">
        <v>70.0</v>
      </c>
      <c r="C1178" s="13" t="s">
        <v>11302</v>
      </c>
      <c r="D1178" s="13" t="s">
        <v>11303</v>
      </c>
      <c r="E1178" s="13" t="s">
        <v>11304</v>
      </c>
      <c r="F1178" s="14" t="s">
        <v>18</v>
      </c>
      <c r="G1178" s="15"/>
      <c r="H1178" s="46"/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</row>
    <row r="1179" ht="22.5" customHeight="1">
      <c r="A1179" s="11">
        <v>1177.0</v>
      </c>
      <c r="B1179" s="20">
        <v>70.0</v>
      </c>
      <c r="C1179" s="13" t="s">
        <v>11305</v>
      </c>
      <c r="D1179" s="13" t="s">
        <v>11306</v>
      </c>
      <c r="E1179" s="13" t="s">
        <v>11307</v>
      </c>
      <c r="F1179" s="14" t="s">
        <v>18</v>
      </c>
      <c r="G1179" s="15"/>
      <c r="H1179" s="46"/>
      <c r="I1179" s="46"/>
      <c r="J1179" s="46"/>
      <c r="K1179" s="46"/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</row>
    <row r="1180" ht="22.5" customHeight="1">
      <c r="A1180" s="17">
        <v>1178.0</v>
      </c>
      <c r="B1180" s="20">
        <v>70.0</v>
      </c>
      <c r="C1180" s="13" t="s">
        <v>9281</v>
      </c>
      <c r="D1180" s="13" t="s">
        <v>9282</v>
      </c>
      <c r="E1180" s="13" t="s">
        <v>11308</v>
      </c>
      <c r="F1180" s="14" t="s">
        <v>18</v>
      </c>
      <c r="G1180" s="15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</row>
    <row r="1181" ht="22.5" customHeight="1">
      <c r="A1181" s="11">
        <v>1179.0</v>
      </c>
      <c r="B1181" s="20">
        <v>70.0</v>
      </c>
      <c r="C1181" s="13" t="s">
        <v>11309</v>
      </c>
      <c r="D1181" s="13" t="s">
        <v>11310</v>
      </c>
      <c r="E1181" s="13" t="s">
        <v>11311</v>
      </c>
      <c r="F1181" s="14" t="s">
        <v>18</v>
      </c>
      <c r="G1181" s="15"/>
      <c r="H1181" s="46"/>
      <c r="I1181" s="46"/>
      <c r="J1181" s="46"/>
      <c r="K1181" s="46"/>
      <c r="L1181" s="46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</row>
    <row r="1182" ht="22.5" customHeight="1">
      <c r="A1182" s="17">
        <v>1180.0</v>
      </c>
      <c r="B1182" s="20">
        <v>70.0</v>
      </c>
      <c r="C1182" s="13" t="s">
        <v>11011</v>
      </c>
      <c r="D1182" s="13" t="s">
        <v>1461</v>
      </c>
      <c r="E1182" s="13" t="s">
        <v>11012</v>
      </c>
      <c r="F1182" s="14" t="s">
        <v>18</v>
      </c>
      <c r="G1182" s="15"/>
      <c r="H1182" s="46"/>
      <c r="I1182" s="46"/>
      <c r="J1182" s="46"/>
      <c r="K1182" s="46"/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</row>
    <row r="1183" ht="22.5" customHeight="1">
      <c r="A1183" s="11">
        <v>1181.0</v>
      </c>
      <c r="B1183" s="20">
        <v>70.0</v>
      </c>
      <c r="C1183" s="13" t="s">
        <v>11013</v>
      </c>
      <c r="D1183" s="13" t="s">
        <v>11014</v>
      </c>
      <c r="E1183" s="13" t="s">
        <v>11015</v>
      </c>
      <c r="F1183" s="15"/>
      <c r="G1183" s="15"/>
      <c r="H1183" s="46"/>
      <c r="I1183" s="46"/>
      <c r="J1183" s="46"/>
      <c r="K1183" s="46"/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</row>
    <row r="1184" ht="22.5" customHeight="1">
      <c r="A1184" s="17">
        <v>1182.0</v>
      </c>
      <c r="B1184" s="20">
        <v>70.0</v>
      </c>
      <c r="C1184" s="13" t="s">
        <v>10935</v>
      </c>
      <c r="D1184" s="13" t="s">
        <v>10936</v>
      </c>
      <c r="E1184" s="13" t="s">
        <v>10937</v>
      </c>
      <c r="F1184" s="15"/>
      <c r="G1184" s="15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</row>
    <row r="1185" ht="22.5" customHeight="1">
      <c r="A1185" s="11">
        <v>1183.0</v>
      </c>
      <c r="B1185" s="20">
        <v>70.0</v>
      </c>
      <c r="C1185" s="13" t="s">
        <v>11312</v>
      </c>
      <c r="D1185" s="13" t="s">
        <v>11313</v>
      </c>
      <c r="E1185" s="13" t="s">
        <v>11314</v>
      </c>
      <c r="F1185" s="14" t="s">
        <v>18</v>
      </c>
      <c r="G1185" s="15"/>
      <c r="H1185" s="46"/>
      <c r="I1185" s="46"/>
      <c r="J1185" s="46"/>
      <c r="K1185" s="46"/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</row>
    <row r="1186" ht="22.5" customHeight="1">
      <c r="A1186" s="17">
        <v>1184.0</v>
      </c>
      <c r="B1186" s="20">
        <v>70.0</v>
      </c>
      <c r="C1186" s="13" t="s">
        <v>11315</v>
      </c>
      <c r="D1186" s="13" t="s">
        <v>11316</v>
      </c>
      <c r="E1186" s="13" t="s">
        <v>11317</v>
      </c>
      <c r="F1186" s="14" t="s">
        <v>18</v>
      </c>
      <c r="G1186" s="15"/>
      <c r="H1186" s="46"/>
      <c r="I1186" s="46"/>
      <c r="J1186" s="46"/>
      <c r="K1186" s="46"/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</row>
    <row r="1187" ht="22.5" customHeight="1">
      <c r="A1187" s="11">
        <v>1185.0</v>
      </c>
      <c r="B1187" s="20">
        <v>70.0</v>
      </c>
      <c r="C1187" s="13" t="s">
        <v>11318</v>
      </c>
      <c r="D1187" s="13" t="s">
        <v>11319</v>
      </c>
      <c r="E1187" s="13" t="s">
        <v>11320</v>
      </c>
      <c r="F1187" s="14" t="s">
        <v>18</v>
      </c>
      <c r="G1187" s="15"/>
      <c r="H1187" s="46"/>
      <c r="I1187" s="46"/>
      <c r="J1187" s="46"/>
      <c r="K1187" s="46"/>
      <c r="L1187" s="46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  <c r="Y1187" s="46"/>
      <c r="Z1187" s="46"/>
    </row>
    <row r="1188" ht="22.5" customHeight="1">
      <c r="A1188" s="17">
        <v>1186.0</v>
      </c>
      <c r="B1188" s="20">
        <v>70.0</v>
      </c>
      <c r="C1188" s="13" t="s">
        <v>11321</v>
      </c>
      <c r="D1188" s="13" t="s">
        <v>2661</v>
      </c>
      <c r="E1188" s="13" t="s">
        <v>2662</v>
      </c>
      <c r="F1188" s="15"/>
      <c r="G1188" s="15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</row>
    <row r="1189" ht="22.5" customHeight="1">
      <c r="A1189" s="11">
        <v>1187.0</v>
      </c>
      <c r="B1189" s="20">
        <v>70.0</v>
      </c>
      <c r="C1189" s="13" t="s">
        <v>11322</v>
      </c>
      <c r="D1189" s="13" t="s">
        <v>11323</v>
      </c>
      <c r="E1189" s="13" t="s">
        <v>11324</v>
      </c>
      <c r="F1189" s="15"/>
      <c r="G1189" s="15"/>
      <c r="H1189" s="46"/>
      <c r="I1189" s="46"/>
      <c r="J1189" s="46"/>
      <c r="K1189" s="46"/>
      <c r="L1189" s="46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  <c r="Y1189" s="46"/>
      <c r="Z1189" s="46"/>
    </row>
    <row r="1190" ht="22.5" customHeight="1">
      <c r="A1190" s="17">
        <v>1188.0</v>
      </c>
      <c r="B1190" s="20">
        <v>70.0</v>
      </c>
      <c r="C1190" s="13" t="s">
        <v>11325</v>
      </c>
      <c r="D1190" s="13" t="s">
        <v>11326</v>
      </c>
      <c r="E1190" s="13" t="s">
        <v>11327</v>
      </c>
      <c r="F1190" s="14" t="s">
        <v>18</v>
      </c>
      <c r="G1190" s="15"/>
      <c r="H1190" s="46"/>
      <c r="I1190" s="46"/>
      <c r="J1190" s="46"/>
      <c r="K1190" s="46"/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</row>
    <row r="1191" ht="22.5" customHeight="1">
      <c r="A1191" s="11">
        <v>1189.0</v>
      </c>
      <c r="B1191" s="20">
        <v>70.0</v>
      </c>
      <c r="C1191" s="13" t="s">
        <v>9250</v>
      </c>
      <c r="D1191" s="13" t="s">
        <v>9251</v>
      </c>
      <c r="E1191" s="13" t="s">
        <v>11328</v>
      </c>
      <c r="F1191" s="15"/>
      <c r="G1191" s="15"/>
      <c r="H1191" s="46"/>
      <c r="I1191" s="46"/>
      <c r="J1191" s="46"/>
      <c r="K1191" s="46"/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</row>
    <row r="1192" ht="22.5" customHeight="1">
      <c r="A1192" s="17">
        <v>1190.0</v>
      </c>
      <c r="B1192" s="20">
        <v>70.0</v>
      </c>
      <c r="C1192" s="13" t="s">
        <v>11329</v>
      </c>
      <c r="D1192" s="13" t="s">
        <v>11330</v>
      </c>
      <c r="E1192" s="13" t="s">
        <v>11331</v>
      </c>
      <c r="F1192" s="14" t="s">
        <v>18</v>
      </c>
      <c r="G1192" s="15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</row>
    <row r="1193" ht="22.5" customHeight="1">
      <c r="A1193" s="11">
        <v>1191.0</v>
      </c>
      <c r="B1193" s="20">
        <v>70.0</v>
      </c>
      <c r="C1193" s="13" t="s">
        <v>11332</v>
      </c>
      <c r="D1193" s="13" t="s">
        <v>11333</v>
      </c>
      <c r="E1193" s="13" t="s">
        <v>11334</v>
      </c>
      <c r="F1193" s="14" t="s">
        <v>18</v>
      </c>
      <c r="G1193" s="15"/>
      <c r="H1193" s="46"/>
      <c r="I1193" s="46"/>
      <c r="J1193" s="46"/>
      <c r="K1193" s="46"/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</row>
    <row r="1194" ht="22.5" customHeight="1">
      <c r="A1194" s="17">
        <v>1192.0</v>
      </c>
      <c r="B1194" s="20">
        <v>70.0</v>
      </c>
      <c r="C1194" s="13" t="s">
        <v>9287</v>
      </c>
      <c r="D1194" s="13" t="s">
        <v>9288</v>
      </c>
      <c r="E1194" s="13" t="s">
        <v>9289</v>
      </c>
      <c r="F1194" s="15"/>
      <c r="G1194" s="15"/>
      <c r="H1194" s="46"/>
      <c r="I1194" s="46"/>
      <c r="J1194" s="46"/>
      <c r="K1194" s="46"/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</row>
    <row r="1195" ht="22.5" customHeight="1">
      <c r="A1195" s="11">
        <v>1193.0</v>
      </c>
      <c r="B1195" s="20">
        <v>70.0</v>
      </c>
      <c r="C1195" s="13" t="s">
        <v>11335</v>
      </c>
      <c r="D1195" s="13" t="s">
        <v>11336</v>
      </c>
      <c r="E1195" s="13" t="s">
        <v>11337</v>
      </c>
      <c r="F1195" s="14" t="s">
        <v>18</v>
      </c>
      <c r="G1195" s="15"/>
      <c r="H1195" s="46"/>
      <c r="I1195" s="46"/>
      <c r="J1195" s="46"/>
      <c r="K1195" s="46"/>
      <c r="L1195" s="46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  <c r="Y1195" s="46"/>
      <c r="Z1195" s="46"/>
    </row>
    <row r="1196" ht="22.5" customHeight="1">
      <c r="A1196" s="17">
        <v>1194.0</v>
      </c>
      <c r="B1196" s="20">
        <v>70.0</v>
      </c>
      <c r="C1196" s="13" t="s">
        <v>6174</v>
      </c>
      <c r="D1196" s="13" t="s">
        <v>6173</v>
      </c>
      <c r="E1196" s="13" t="s">
        <v>8848</v>
      </c>
      <c r="F1196" s="15"/>
      <c r="G1196" s="15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</row>
    <row r="1197" ht="22.5" customHeight="1">
      <c r="A1197" s="11">
        <v>1195.0</v>
      </c>
      <c r="B1197" s="20">
        <v>70.0</v>
      </c>
      <c r="C1197" s="13" t="s">
        <v>10974</v>
      </c>
      <c r="D1197" s="13" t="s">
        <v>10975</v>
      </c>
      <c r="E1197" s="13" t="s">
        <v>11338</v>
      </c>
      <c r="F1197" s="15"/>
      <c r="G1197" s="15"/>
      <c r="H1197" s="46"/>
      <c r="I1197" s="46"/>
      <c r="J1197" s="46"/>
      <c r="K1197" s="46"/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</row>
    <row r="1198" ht="22.5" customHeight="1">
      <c r="A1198" s="17">
        <v>1196.0</v>
      </c>
      <c r="B1198" s="20">
        <v>70.0</v>
      </c>
      <c r="C1198" s="13" t="s">
        <v>11339</v>
      </c>
      <c r="D1198" s="13" t="s">
        <v>11340</v>
      </c>
      <c r="E1198" s="13" t="s">
        <v>11341</v>
      </c>
      <c r="F1198" s="15"/>
      <c r="G1198" s="15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</row>
    <row r="1199" ht="22.5" customHeight="1">
      <c r="A1199" s="11">
        <v>1197.0</v>
      </c>
      <c r="B1199" s="20">
        <v>70.0</v>
      </c>
      <c r="C1199" s="13" t="s">
        <v>11342</v>
      </c>
      <c r="D1199" s="13" t="s">
        <v>11343</v>
      </c>
      <c r="E1199" s="13" t="s">
        <v>11344</v>
      </c>
      <c r="F1199" s="14" t="s">
        <v>18</v>
      </c>
      <c r="G1199" s="15"/>
      <c r="H1199" s="46"/>
      <c r="I1199" s="46"/>
      <c r="J1199" s="46"/>
      <c r="K1199" s="46"/>
      <c r="L1199" s="46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</row>
    <row r="1200" ht="22.5" customHeight="1">
      <c r="A1200" s="17">
        <v>1198.0</v>
      </c>
      <c r="B1200" s="20">
        <v>70.0</v>
      </c>
      <c r="C1200" s="13" t="s">
        <v>11345</v>
      </c>
      <c r="D1200" s="13" t="s">
        <v>11346</v>
      </c>
      <c r="E1200" s="13" t="s">
        <v>11347</v>
      </c>
      <c r="F1200" s="15"/>
      <c r="G1200" s="15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</row>
    <row r="1201" ht="22.5" customHeight="1">
      <c r="A1201" s="11">
        <v>1199.0</v>
      </c>
      <c r="B1201" s="20">
        <v>70.0</v>
      </c>
      <c r="C1201" s="13" t="s">
        <v>5388</v>
      </c>
      <c r="D1201" s="13" t="s">
        <v>2616</v>
      </c>
      <c r="E1201" s="13" t="s">
        <v>10421</v>
      </c>
      <c r="F1201" s="15"/>
      <c r="G1201" s="15"/>
      <c r="H1201" s="46"/>
      <c r="I1201" s="46"/>
      <c r="J1201" s="46"/>
      <c r="K1201" s="46"/>
      <c r="L1201" s="46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  <c r="Y1201" s="46"/>
      <c r="Z1201" s="46"/>
    </row>
    <row r="1202" ht="22.5" customHeight="1">
      <c r="A1202" s="17">
        <v>1200.0</v>
      </c>
      <c r="B1202" s="20">
        <v>69.0</v>
      </c>
      <c r="C1202" s="13" t="s">
        <v>11348</v>
      </c>
      <c r="D1202" s="13" t="s">
        <v>11349</v>
      </c>
      <c r="E1202" s="13" t="s">
        <v>11350</v>
      </c>
      <c r="F1202" s="15"/>
      <c r="G1202" s="15"/>
      <c r="H1202" s="46"/>
      <c r="I1202" s="46"/>
      <c r="J1202" s="46"/>
      <c r="K1202" s="46"/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</row>
    <row r="1203" ht="22.5" customHeight="1">
      <c r="A1203" s="11">
        <v>1201.0</v>
      </c>
      <c r="B1203" s="20">
        <v>69.0</v>
      </c>
      <c r="C1203" s="13" t="s">
        <v>4332</v>
      </c>
      <c r="D1203" s="13" t="s">
        <v>11351</v>
      </c>
      <c r="E1203" s="13" t="s">
        <v>11352</v>
      </c>
      <c r="F1203" s="14" t="s">
        <v>18</v>
      </c>
      <c r="G1203" s="15"/>
      <c r="H1203" s="46"/>
      <c r="I1203" s="46"/>
      <c r="J1203" s="46"/>
      <c r="K1203" s="46"/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</row>
    <row r="1204" ht="22.5" customHeight="1">
      <c r="A1204" s="17">
        <v>1202.0</v>
      </c>
      <c r="B1204" s="20">
        <v>69.0</v>
      </c>
      <c r="C1204" s="13" t="s">
        <v>11353</v>
      </c>
      <c r="D1204" s="13" t="s">
        <v>11354</v>
      </c>
      <c r="E1204" s="13" t="s">
        <v>11355</v>
      </c>
      <c r="F1204" s="14" t="s">
        <v>18</v>
      </c>
      <c r="G1204" s="15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</row>
    <row r="1205" ht="22.5" customHeight="1">
      <c r="A1205" s="11">
        <v>1203.0</v>
      </c>
      <c r="B1205" s="20">
        <v>69.0</v>
      </c>
      <c r="C1205" s="13" t="s">
        <v>4784</v>
      </c>
      <c r="D1205" s="13" t="s">
        <v>11356</v>
      </c>
      <c r="E1205" s="13" t="s">
        <v>11357</v>
      </c>
      <c r="F1205" s="15"/>
      <c r="G1205" s="15"/>
      <c r="H1205" s="46"/>
      <c r="I1205" s="46"/>
      <c r="J1205" s="46"/>
      <c r="K1205" s="46"/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</row>
    <row r="1206" ht="22.5" customHeight="1">
      <c r="A1206" s="17">
        <v>1204.0</v>
      </c>
      <c r="B1206" s="20">
        <v>69.0</v>
      </c>
      <c r="C1206" s="13" t="s">
        <v>11358</v>
      </c>
      <c r="D1206" s="13" t="s">
        <v>3455</v>
      </c>
      <c r="E1206" s="13" t="s">
        <v>3456</v>
      </c>
      <c r="F1206" s="14" t="s">
        <v>18</v>
      </c>
      <c r="G1206" s="15"/>
      <c r="H1206" s="46"/>
      <c r="I1206" s="46"/>
      <c r="J1206" s="46"/>
      <c r="K1206" s="46"/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</row>
    <row r="1207" ht="22.5" customHeight="1">
      <c r="A1207" s="11">
        <v>1205.0</v>
      </c>
      <c r="B1207" s="20">
        <v>69.0</v>
      </c>
      <c r="C1207" s="13" t="s">
        <v>11016</v>
      </c>
      <c r="D1207" s="13" t="s">
        <v>11017</v>
      </c>
      <c r="E1207" s="13" t="s">
        <v>11018</v>
      </c>
      <c r="F1207" s="15"/>
      <c r="G1207" s="15"/>
      <c r="H1207" s="46"/>
      <c r="I1207" s="46"/>
      <c r="J1207" s="46"/>
      <c r="K1207" s="46"/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</row>
    <row r="1208" ht="22.5" customHeight="1">
      <c r="A1208" s="17">
        <v>1206.0</v>
      </c>
      <c r="B1208" s="20">
        <v>69.0</v>
      </c>
      <c r="C1208" s="13" t="s">
        <v>11359</v>
      </c>
      <c r="D1208" s="13" t="s">
        <v>11360</v>
      </c>
      <c r="E1208" s="13" t="s">
        <v>11361</v>
      </c>
      <c r="F1208" s="15"/>
      <c r="G1208" s="15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</row>
    <row r="1209" ht="22.5" customHeight="1">
      <c r="A1209" s="11">
        <v>1207.0</v>
      </c>
      <c r="B1209" s="20">
        <v>69.0</v>
      </c>
      <c r="C1209" s="13" t="s">
        <v>4868</v>
      </c>
      <c r="D1209" s="13" t="s">
        <v>4867</v>
      </c>
      <c r="E1209" s="13" t="s">
        <v>11362</v>
      </c>
      <c r="F1209" s="14" t="s">
        <v>18</v>
      </c>
      <c r="G1209" s="15"/>
      <c r="H1209" s="46"/>
      <c r="I1209" s="46"/>
      <c r="J1209" s="46"/>
      <c r="K1209" s="46"/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</row>
    <row r="1210" ht="22.5" customHeight="1">
      <c r="A1210" s="17">
        <v>1208.0</v>
      </c>
      <c r="B1210" s="20">
        <v>69.0</v>
      </c>
      <c r="C1210" s="13" t="s">
        <v>11363</v>
      </c>
      <c r="D1210" s="13" t="s">
        <v>11364</v>
      </c>
      <c r="E1210" s="13" t="s">
        <v>11365</v>
      </c>
      <c r="F1210" s="14" t="s">
        <v>18</v>
      </c>
      <c r="G1210" s="15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</row>
    <row r="1211" ht="22.5" customHeight="1">
      <c r="A1211" s="11">
        <v>1209.0</v>
      </c>
      <c r="B1211" s="20">
        <v>69.0</v>
      </c>
      <c r="C1211" s="13" t="s">
        <v>11366</v>
      </c>
      <c r="D1211" s="13" t="s">
        <v>11367</v>
      </c>
      <c r="E1211" s="13" t="s">
        <v>11368</v>
      </c>
      <c r="F1211" s="15"/>
      <c r="G1211" s="15"/>
      <c r="H1211" s="46"/>
      <c r="I1211" s="46"/>
      <c r="J1211" s="46"/>
      <c r="K1211" s="46"/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</row>
    <row r="1212" ht="22.5" customHeight="1">
      <c r="A1212" s="17">
        <v>1210.0</v>
      </c>
      <c r="B1212" s="20">
        <v>69.0</v>
      </c>
      <c r="C1212" s="13" t="s">
        <v>11369</v>
      </c>
      <c r="D1212" s="13" t="s">
        <v>11370</v>
      </c>
      <c r="E1212" s="13" t="s">
        <v>11371</v>
      </c>
      <c r="F1212" s="15"/>
      <c r="G1212" s="15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</row>
    <row r="1213" ht="22.5" customHeight="1">
      <c r="A1213" s="11">
        <v>1211.0</v>
      </c>
      <c r="B1213" s="20">
        <v>69.0</v>
      </c>
      <c r="C1213" s="13" t="s">
        <v>11372</v>
      </c>
      <c r="D1213" s="13" t="s">
        <v>11373</v>
      </c>
      <c r="E1213" s="13" t="s">
        <v>11374</v>
      </c>
      <c r="F1213" s="14" t="s">
        <v>18</v>
      </c>
      <c r="G1213" s="15"/>
      <c r="H1213" s="46"/>
      <c r="I1213" s="46"/>
      <c r="J1213" s="46"/>
      <c r="K1213" s="46"/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  <c r="Y1213" s="46"/>
      <c r="Z1213" s="46"/>
    </row>
    <row r="1214" ht="22.5" customHeight="1">
      <c r="A1214" s="17">
        <v>1212.0</v>
      </c>
      <c r="B1214" s="20">
        <v>69.0</v>
      </c>
      <c r="C1214" s="13" t="s">
        <v>11375</v>
      </c>
      <c r="D1214" s="13" t="s">
        <v>11376</v>
      </c>
      <c r="E1214" s="13" t="s">
        <v>11377</v>
      </c>
      <c r="F1214" s="14" t="s">
        <v>18</v>
      </c>
      <c r="G1214" s="14" t="s">
        <v>18</v>
      </c>
      <c r="H1214" s="46"/>
      <c r="I1214" s="46"/>
      <c r="J1214" s="46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</row>
    <row r="1215" ht="22.5" customHeight="1">
      <c r="A1215" s="11">
        <v>1213.0</v>
      </c>
      <c r="B1215" s="20">
        <v>69.0</v>
      </c>
      <c r="C1215" s="13" t="s">
        <v>11378</v>
      </c>
      <c r="D1215" s="13" t="s">
        <v>11379</v>
      </c>
      <c r="E1215" s="13" t="s">
        <v>11380</v>
      </c>
      <c r="F1215" s="15"/>
      <c r="G1215" s="15"/>
      <c r="H1215" s="46"/>
      <c r="I1215" s="46"/>
      <c r="J1215" s="46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</row>
    <row r="1216" ht="22.5" customHeight="1">
      <c r="A1216" s="17">
        <v>1214.0</v>
      </c>
      <c r="B1216" s="20">
        <v>69.0</v>
      </c>
      <c r="C1216" s="13" t="s">
        <v>11381</v>
      </c>
      <c r="D1216" s="13" t="s">
        <v>11382</v>
      </c>
      <c r="E1216" s="13" t="s">
        <v>11383</v>
      </c>
      <c r="F1216" s="14" t="s">
        <v>18</v>
      </c>
      <c r="G1216" s="15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</row>
    <row r="1217" ht="22.5" customHeight="1">
      <c r="A1217" s="11">
        <v>1215.0</v>
      </c>
      <c r="B1217" s="20">
        <v>69.0</v>
      </c>
      <c r="C1217" s="13" t="s">
        <v>10677</v>
      </c>
      <c r="D1217" s="13" t="s">
        <v>10678</v>
      </c>
      <c r="E1217" s="13" t="s">
        <v>10679</v>
      </c>
      <c r="F1217" s="15"/>
      <c r="G1217" s="15"/>
      <c r="H1217" s="46"/>
      <c r="I1217" s="46"/>
      <c r="J1217" s="46"/>
      <c r="K1217" s="46"/>
      <c r="L1217" s="46"/>
      <c r="M1217" s="46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</row>
    <row r="1218" ht="22.5" customHeight="1">
      <c r="A1218" s="17">
        <v>1216.0</v>
      </c>
      <c r="B1218" s="20">
        <v>69.0</v>
      </c>
      <c r="C1218" s="13" t="s">
        <v>9664</v>
      </c>
      <c r="D1218" s="13" t="s">
        <v>9665</v>
      </c>
      <c r="E1218" s="13" t="s">
        <v>9666</v>
      </c>
      <c r="F1218" s="15"/>
      <c r="G1218" s="15"/>
      <c r="H1218" s="46"/>
      <c r="I1218" s="46"/>
      <c r="J1218" s="46"/>
      <c r="K1218" s="46"/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</row>
    <row r="1219" ht="22.5" customHeight="1">
      <c r="A1219" s="11">
        <v>1217.0</v>
      </c>
      <c r="B1219" s="20">
        <v>69.0</v>
      </c>
      <c r="C1219" s="13" t="s">
        <v>10436</v>
      </c>
      <c r="D1219" s="13" t="s">
        <v>10437</v>
      </c>
      <c r="E1219" s="13" t="s">
        <v>11384</v>
      </c>
      <c r="F1219" s="15"/>
      <c r="G1219" s="15"/>
      <c r="H1219" s="46"/>
      <c r="I1219" s="46"/>
      <c r="J1219" s="46"/>
      <c r="K1219" s="46"/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</row>
    <row r="1220" ht="22.5" customHeight="1">
      <c r="A1220" s="17">
        <v>1218.0</v>
      </c>
      <c r="B1220" s="20">
        <v>69.0</v>
      </c>
      <c r="C1220" s="13" t="s">
        <v>11385</v>
      </c>
      <c r="D1220" s="13" t="s">
        <v>11386</v>
      </c>
      <c r="E1220" s="13" t="s">
        <v>11387</v>
      </c>
      <c r="F1220" s="15"/>
      <c r="G1220" s="15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</row>
    <row r="1221" ht="22.5" customHeight="1">
      <c r="A1221" s="11">
        <v>1219.0</v>
      </c>
      <c r="B1221" s="20">
        <v>69.0</v>
      </c>
      <c r="C1221" s="13" t="s">
        <v>11388</v>
      </c>
      <c r="D1221" s="13" t="s">
        <v>11389</v>
      </c>
      <c r="E1221" s="13" t="s">
        <v>11390</v>
      </c>
      <c r="F1221" s="15"/>
      <c r="G1221" s="15"/>
      <c r="H1221" s="46"/>
      <c r="I1221" s="46"/>
      <c r="J1221" s="46"/>
      <c r="K1221" s="46"/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</row>
    <row r="1222" ht="22.5" customHeight="1">
      <c r="A1222" s="17">
        <v>1220.0</v>
      </c>
      <c r="B1222" s="20">
        <v>69.0</v>
      </c>
      <c r="C1222" s="13" t="s">
        <v>11391</v>
      </c>
      <c r="D1222" s="13" t="s">
        <v>11392</v>
      </c>
      <c r="E1222" s="13" t="s">
        <v>11393</v>
      </c>
      <c r="F1222" s="14" t="s">
        <v>18</v>
      </c>
      <c r="G1222" s="15"/>
      <c r="H1222" s="46"/>
      <c r="I1222" s="46"/>
      <c r="J1222" s="46"/>
      <c r="K1222" s="46"/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</row>
    <row r="1223" ht="22.5" customHeight="1">
      <c r="A1223" s="11">
        <v>1221.0</v>
      </c>
      <c r="B1223" s="20">
        <v>69.0</v>
      </c>
      <c r="C1223" s="13" t="s">
        <v>8795</v>
      </c>
      <c r="D1223" s="13" t="s">
        <v>4259</v>
      </c>
      <c r="E1223" s="13" t="s">
        <v>4260</v>
      </c>
      <c r="F1223" s="15"/>
      <c r="G1223" s="15"/>
      <c r="H1223" s="46"/>
      <c r="I1223" s="46"/>
      <c r="J1223" s="46"/>
      <c r="K1223" s="46"/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</row>
    <row r="1224" ht="22.5" customHeight="1">
      <c r="A1224" s="17">
        <v>1222.0</v>
      </c>
      <c r="B1224" s="20">
        <v>69.0</v>
      </c>
      <c r="C1224" s="13" t="s">
        <v>8858</v>
      </c>
      <c r="D1224" s="13" t="s">
        <v>8859</v>
      </c>
      <c r="E1224" s="13" t="s">
        <v>8860</v>
      </c>
      <c r="F1224" s="14" t="s">
        <v>18</v>
      </c>
      <c r="G1224" s="15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</row>
    <row r="1225" ht="22.5" customHeight="1">
      <c r="A1225" s="11">
        <v>1223.0</v>
      </c>
      <c r="B1225" s="20">
        <v>69.0</v>
      </c>
      <c r="C1225" s="13" t="s">
        <v>11394</v>
      </c>
      <c r="D1225" s="13" t="s">
        <v>11395</v>
      </c>
      <c r="E1225" s="13" t="s">
        <v>11396</v>
      </c>
      <c r="F1225" s="14" t="s">
        <v>18</v>
      </c>
      <c r="G1225" s="15"/>
      <c r="H1225" s="46"/>
      <c r="I1225" s="46"/>
      <c r="J1225" s="46"/>
      <c r="K1225" s="46"/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</row>
    <row r="1226" ht="22.5" customHeight="1">
      <c r="A1226" s="17">
        <v>1224.0</v>
      </c>
      <c r="B1226" s="20">
        <v>69.0</v>
      </c>
      <c r="C1226" s="13" t="s">
        <v>11397</v>
      </c>
      <c r="D1226" s="13" t="s">
        <v>11398</v>
      </c>
      <c r="E1226" s="13" t="s">
        <v>11399</v>
      </c>
      <c r="F1226" s="15"/>
      <c r="G1226" s="15"/>
      <c r="H1226" s="46"/>
      <c r="I1226" s="46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</row>
    <row r="1227" ht="22.5" customHeight="1">
      <c r="A1227" s="11">
        <v>1225.0</v>
      </c>
      <c r="B1227" s="20">
        <v>69.0</v>
      </c>
      <c r="C1227" s="13" t="s">
        <v>11400</v>
      </c>
      <c r="D1227" s="13" t="s">
        <v>11401</v>
      </c>
      <c r="E1227" s="13" t="s">
        <v>11402</v>
      </c>
      <c r="F1227" s="14" t="s">
        <v>18</v>
      </c>
      <c r="G1227" s="15"/>
      <c r="H1227" s="46"/>
      <c r="I1227" s="46"/>
      <c r="J1227" s="46"/>
      <c r="K1227" s="46"/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</row>
    <row r="1228" ht="22.5" customHeight="1">
      <c r="A1228" s="17">
        <v>1226.0</v>
      </c>
      <c r="B1228" s="20">
        <v>69.0</v>
      </c>
      <c r="C1228" s="13" t="s">
        <v>11403</v>
      </c>
      <c r="D1228" s="13" t="s">
        <v>11404</v>
      </c>
      <c r="E1228" s="13" t="s">
        <v>11405</v>
      </c>
      <c r="F1228" s="15"/>
      <c r="G1228" s="15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</row>
    <row r="1229" ht="22.5" customHeight="1">
      <c r="A1229" s="11">
        <v>1227.0</v>
      </c>
      <c r="B1229" s="20">
        <v>69.0</v>
      </c>
      <c r="C1229" s="13" t="s">
        <v>11406</v>
      </c>
      <c r="D1229" s="13" t="s">
        <v>11407</v>
      </c>
      <c r="E1229" s="13" t="s">
        <v>11408</v>
      </c>
      <c r="F1229" s="14" t="s">
        <v>18</v>
      </c>
      <c r="G1229" s="15"/>
      <c r="H1229" s="46"/>
      <c r="I1229" s="46"/>
      <c r="J1229" s="46"/>
      <c r="K1229" s="46"/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</row>
    <row r="1230" ht="22.5" customHeight="1">
      <c r="A1230" s="17">
        <v>1228.0</v>
      </c>
      <c r="B1230" s="20">
        <v>69.0</v>
      </c>
      <c r="C1230" s="13" t="s">
        <v>10332</v>
      </c>
      <c r="D1230" s="13" t="s">
        <v>10333</v>
      </c>
      <c r="E1230" s="13" t="s">
        <v>10334</v>
      </c>
      <c r="F1230" s="14" t="s">
        <v>18</v>
      </c>
      <c r="G1230" s="15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</row>
    <row r="1231" ht="22.5" customHeight="1">
      <c r="A1231" s="11">
        <v>1229.0</v>
      </c>
      <c r="B1231" s="20">
        <v>69.0</v>
      </c>
      <c r="C1231" s="13" t="s">
        <v>11409</v>
      </c>
      <c r="D1231" s="13" t="s">
        <v>11410</v>
      </c>
      <c r="E1231" s="13" t="s">
        <v>11411</v>
      </c>
      <c r="F1231" s="14" t="s">
        <v>18</v>
      </c>
      <c r="G1231" s="15"/>
      <c r="H1231" s="46"/>
      <c r="I1231" s="46"/>
      <c r="J1231" s="46"/>
      <c r="K1231" s="46"/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</row>
    <row r="1232" ht="22.5" customHeight="1">
      <c r="A1232" s="17">
        <v>1230.0</v>
      </c>
      <c r="B1232" s="20">
        <v>68.0</v>
      </c>
      <c r="C1232" s="13" t="s">
        <v>11412</v>
      </c>
      <c r="D1232" s="13" t="s">
        <v>11413</v>
      </c>
      <c r="E1232" s="13" t="s">
        <v>11414</v>
      </c>
      <c r="F1232" s="14" t="s">
        <v>18</v>
      </c>
      <c r="G1232" s="15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</row>
    <row r="1233" ht="22.5" customHeight="1">
      <c r="A1233" s="11">
        <v>1231.0</v>
      </c>
      <c r="B1233" s="20">
        <v>68.0</v>
      </c>
      <c r="C1233" s="13" t="s">
        <v>11011</v>
      </c>
      <c r="D1233" s="13" t="s">
        <v>1461</v>
      </c>
      <c r="E1233" s="13" t="s">
        <v>11012</v>
      </c>
      <c r="F1233" s="14" t="s">
        <v>18</v>
      </c>
      <c r="G1233" s="15"/>
      <c r="H1233" s="46"/>
      <c r="I1233" s="46"/>
      <c r="J1233" s="46"/>
      <c r="K1233" s="46"/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</row>
    <row r="1234" ht="22.5" customHeight="1">
      <c r="A1234" s="17">
        <v>1232.0</v>
      </c>
      <c r="B1234" s="20">
        <v>68.0</v>
      </c>
      <c r="C1234" s="13" t="s">
        <v>5784</v>
      </c>
      <c r="D1234" s="13" t="s">
        <v>5783</v>
      </c>
      <c r="E1234" s="13" t="s">
        <v>9292</v>
      </c>
      <c r="F1234" s="15"/>
      <c r="G1234" s="15"/>
      <c r="H1234" s="46"/>
      <c r="I1234" s="46"/>
      <c r="J1234" s="46"/>
      <c r="K1234" s="46"/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</row>
    <row r="1235" ht="22.5" customHeight="1">
      <c r="A1235" s="11">
        <v>1233.0</v>
      </c>
      <c r="B1235" s="20">
        <v>68.0</v>
      </c>
      <c r="C1235" s="13" t="s">
        <v>11415</v>
      </c>
      <c r="D1235" s="13" t="s">
        <v>11416</v>
      </c>
      <c r="E1235" s="13" t="s">
        <v>11417</v>
      </c>
      <c r="F1235" s="14" t="s">
        <v>18</v>
      </c>
      <c r="G1235" s="15"/>
      <c r="H1235" s="46"/>
      <c r="I1235" s="46"/>
      <c r="J1235" s="46"/>
      <c r="K1235" s="46"/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</row>
    <row r="1236" ht="22.5" customHeight="1">
      <c r="A1236" s="17">
        <v>1234.0</v>
      </c>
      <c r="B1236" s="20">
        <v>68.0</v>
      </c>
      <c r="C1236" s="13" t="s">
        <v>11418</v>
      </c>
      <c r="D1236" s="13" t="s">
        <v>11419</v>
      </c>
      <c r="E1236" s="13" t="s">
        <v>11420</v>
      </c>
      <c r="F1236" s="15"/>
      <c r="G1236" s="15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</row>
    <row r="1237" ht="22.5" customHeight="1">
      <c r="A1237" s="11">
        <v>1235.0</v>
      </c>
      <c r="B1237" s="20">
        <v>68.0</v>
      </c>
      <c r="C1237" s="13" t="s">
        <v>11421</v>
      </c>
      <c r="D1237" s="13" t="s">
        <v>11422</v>
      </c>
      <c r="E1237" s="13" t="s">
        <v>11423</v>
      </c>
      <c r="F1237" s="15"/>
      <c r="G1237" s="15"/>
      <c r="H1237" s="46"/>
      <c r="I1237" s="46"/>
      <c r="J1237" s="46"/>
      <c r="K1237" s="46"/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</row>
    <row r="1238" ht="22.5" customHeight="1">
      <c r="A1238" s="17">
        <v>1236.0</v>
      </c>
      <c r="B1238" s="20">
        <v>68.0</v>
      </c>
      <c r="C1238" s="13" t="s">
        <v>2021</v>
      </c>
      <c r="D1238" s="13" t="s">
        <v>4792</v>
      </c>
      <c r="E1238" s="13" t="s">
        <v>9852</v>
      </c>
      <c r="F1238" s="15"/>
      <c r="G1238" s="15"/>
      <c r="H1238" s="46"/>
      <c r="I1238" s="46"/>
      <c r="J1238" s="46"/>
      <c r="K1238" s="46"/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</row>
    <row r="1239" ht="22.5" customHeight="1">
      <c r="A1239" s="11">
        <v>1237.0</v>
      </c>
      <c r="B1239" s="20">
        <v>68.0</v>
      </c>
      <c r="C1239" s="13" t="s">
        <v>9056</v>
      </c>
      <c r="D1239" s="13" t="s">
        <v>9057</v>
      </c>
      <c r="E1239" s="13" t="s">
        <v>9058</v>
      </c>
      <c r="F1239" s="15"/>
      <c r="G1239" s="15"/>
      <c r="H1239" s="46"/>
      <c r="I1239" s="46"/>
      <c r="J1239" s="46"/>
      <c r="K1239" s="46"/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</row>
    <row r="1240" ht="22.5" customHeight="1">
      <c r="A1240" s="17">
        <v>1238.0</v>
      </c>
      <c r="B1240" s="20">
        <v>68.0</v>
      </c>
      <c r="C1240" s="13" t="s">
        <v>11424</v>
      </c>
      <c r="D1240" s="13" t="s">
        <v>11425</v>
      </c>
      <c r="E1240" s="13" t="s">
        <v>11426</v>
      </c>
      <c r="F1240" s="14" t="s">
        <v>18</v>
      </c>
      <c r="G1240" s="15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</row>
    <row r="1241" ht="22.5" customHeight="1">
      <c r="A1241" s="11">
        <v>1239.0</v>
      </c>
      <c r="B1241" s="20">
        <v>68.0</v>
      </c>
      <c r="C1241" s="13" t="s">
        <v>9512</v>
      </c>
      <c r="D1241" s="13" t="s">
        <v>9513</v>
      </c>
      <c r="E1241" s="13" t="s">
        <v>9514</v>
      </c>
      <c r="F1241" s="14" t="s">
        <v>18</v>
      </c>
      <c r="G1241" s="15"/>
      <c r="H1241" s="46"/>
      <c r="I1241" s="46"/>
      <c r="J1241" s="46"/>
      <c r="K1241" s="46"/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</row>
    <row r="1242" ht="22.5" customHeight="1">
      <c r="A1242" s="17">
        <v>1240.0</v>
      </c>
      <c r="B1242" s="20">
        <v>68.0</v>
      </c>
      <c r="C1242" s="13" t="s">
        <v>11427</v>
      </c>
      <c r="D1242" s="13" t="s">
        <v>11428</v>
      </c>
      <c r="E1242" s="13" t="s">
        <v>11429</v>
      </c>
      <c r="F1242" s="15"/>
      <c r="G1242" s="15"/>
      <c r="H1242" s="46"/>
      <c r="I1242" s="46"/>
      <c r="J1242" s="46"/>
      <c r="K1242" s="46"/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</row>
    <row r="1243" ht="22.5" customHeight="1">
      <c r="A1243" s="11">
        <v>1241.0</v>
      </c>
      <c r="B1243" s="20">
        <v>68.0</v>
      </c>
      <c r="C1243" s="13" t="s">
        <v>11430</v>
      </c>
      <c r="D1243" s="13" t="s">
        <v>11431</v>
      </c>
      <c r="E1243" s="13" t="s">
        <v>11432</v>
      </c>
      <c r="F1243" s="14" t="s">
        <v>18</v>
      </c>
      <c r="G1243" s="14" t="s">
        <v>18</v>
      </c>
      <c r="H1243" s="46"/>
      <c r="I1243" s="46"/>
      <c r="J1243" s="46"/>
      <c r="K1243" s="46"/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</row>
    <row r="1244" ht="22.5" customHeight="1">
      <c r="A1244" s="17">
        <v>1242.0</v>
      </c>
      <c r="B1244" s="20">
        <v>68.0</v>
      </c>
      <c r="C1244" s="13" t="s">
        <v>11433</v>
      </c>
      <c r="D1244" s="13" t="s">
        <v>11434</v>
      </c>
      <c r="E1244" s="13" t="s">
        <v>11435</v>
      </c>
      <c r="F1244" s="14" t="s">
        <v>18</v>
      </c>
      <c r="G1244" s="15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</row>
    <row r="1245" ht="22.5" customHeight="1">
      <c r="A1245" s="11">
        <v>1243.0</v>
      </c>
      <c r="B1245" s="20">
        <v>68.0</v>
      </c>
      <c r="C1245" s="13" t="s">
        <v>5465</v>
      </c>
      <c r="D1245" s="13" t="s">
        <v>5464</v>
      </c>
      <c r="E1245" s="13" t="s">
        <v>11436</v>
      </c>
      <c r="F1245" s="14" t="s">
        <v>18</v>
      </c>
      <c r="G1245" s="15"/>
      <c r="H1245" s="46"/>
      <c r="I1245" s="46"/>
      <c r="J1245" s="46"/>
      <c r="K1245" s="46"/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</row>
    <row r="1246" ht="22.5" customHeight="1">
      <c r="A1246" s="17">
        <v>1244.0</v>
      </c>
      <c r="B1246" s="20">
        <v>68.0</v>
      </c>
      <c r="C1246" s="13" t="s">
        <v>9715</v>
      </c>
      <c r="D1246" s="13" t="s">
        <v>9716</v>
      </c>
      <c r="E1246" s="13" t="s">
        <v>9717</v>
      </c>
      <c r="F1246" s="15"/>
      <c r="G1246" s="15"/>
      <c r="H1246" s="46"/>
      <c r="I1246" s="46"/>
      <c r="J1246" s="46"/>
      <c r="K1246" s="46"/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</row>
    <row r="1247" ht="22.5" customHeight="1">
      <c r="A1247" s="11">
        <v>1245.0</v>
      </c>
      <c r="B1247" s="20">
        <v>68.0</v>
      </c>
      <c r="C1247" s="13" t="s">
        <v>9009</v>
      </c>
      <c r="D1247" s="13" t="s">
        <v>9010</v>
      </c>
      <c r="E1247" s="13" t="s">
        <v>9011</v>
      </c>
      <c r="F1247" s="15"/>
      <c r="G1247" s="15"/>
      <c r="H1247" s="46"/>
      <c r="I1247" s="46"/>
      <c r="J1247" s="46"/>
      <c r="K1247" s="46"/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</row>
    <row r="1248" ht="22.5" customHeight="1">
      <c r="A1248" s="17">
        <v>1246.0</v>
      </c>
      <c r="B1248" s="20">
        <v>68.0</v>
      </c>
      <c r="C1248" s="13" t="s">
        <v>11437</v>
      </c>
      <c r="D1248" s="13" t="s">
        <v>11438</v>
      </c>
      <c r="E1248" s="13" t="s">
        <v>11439</v>
      </c>
      <c r="F1248" s="14" t="s">
        <v>18</v>
      </c>
      <c r="G1248" s="14" t="s">
        <v>18</v>
      </c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</row>
    <row r="1249" ht="22.5" customHeight="1">
      <c r="A1249" s="11">
        <v>1247.0</v>
      </c>
      <c r="B1249" s="20">
        <v>68.0</v>
      </c>
      <c r="C1249" s="13" t="s">
        <v>10587</v>
      </c>
      <c r="D1249" s="13" t="s">
        <v>10588</v>
      </c>
      <c r="E1249" s="13" t="s">
        <v>10589</v>
      </c>
      <c r="F1249" s="14" t="s">
        <v>18</v>
      </c>
      <c r="G1249" s="15"/>
      <c r="H1249" s="46"/>
      <c r="I1249" s="46"/>
      <c r="J1249" s="46"/>
      <c r="K1249" s="46"/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</row>
    <row r="1250" ht="22.5" customHeight="1">
      <c r="A1250" s="17">
        <v>1248.0</v>
      </c>
      <c r="B1250" s="20">
        <v>68.0</v>
      </c>
      <c r="C1250" s="13" t="s">
        <v>9186</v>
      </c>
      <c r="D1250" s="13" t="s">
        <v>9187</v>
      </c>
      <c r="E1250" s="13" t="s">
        <v>9188</v>
      </c>
      <c r="F1250" s="14" t="s">
        <v>18</v>
      </c>
      <c r="G1250" s="15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</row>
    <row r="1251" ht="22.5" customHeight="1">
      <c r="A1251" s="11">
        <v>1249.0</v>
      </c>
      <c r="B1251" s="20">
        <v>68.0</v>
      </c>
      <c r="C1251" s="13" t="s">
        <v>6118</v>
      </c>
      <c r="D1251" s="13" t="s">
        <v>6117</v>
      </c>
      <c r="E1251" s="13" t="s">
        <v>11440</v>
      </c>
      <c r="F1251" s="14" t="s">
        <v>18</v>
      </c>
      <c r="G1251" s="15"/>
      <c r="H1251" s="46"/>
      <c r="I1251" s="46"/>
      <c r="J1251" s="46"/>
      <c r="K1251" s="46"/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</row>
    <row r="1252" ht="22.5" customHeight="1">
      <c r="A1252" s="17">
        <v>1250.0</v>
      </c>
      <c r="B1252" s="20">
        <v>68.0</v>
      </c>
      <c r="C1252" s="13" t="s">
        <v>11441</v>
      </c>
      <c r="D1252" s="13" t="s">
        <v>11442</v>
      </c>
      <c r="E1252" s="13" t="s">
        <v>11443</v>
      </c>
      <c r="F1252" s="15"/>
      <c r="G1252" s="15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</row>
    <row r="1253" ht="22.5" customHeight="1">
      <c r="A1253" s="11">
        <v>1251.0</v>
      </c>
      <c r="B1253" s="20">
        <v>68.0</v>
      </c>
      <c r="C1253" s="13" t="s">
        <v>11444</v>
      </c>
      <c r="D1253" s="13" t="s">
        <v>11445</v>
      </c>
      <c r="E1253" s="13" t="s">
        <v>11446</v>
      </c>
      <c r="F1253" s="15"/>
      <c r="G1253" s="15"/>
      <c r="H1253" s="46"/>
      <c r="I1253" s="46"/>
      <c r="J1253" s="46"/>
      <c r="K1253" s="46"/>
      <c r="L1253" s="46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</row>
    <row r="1254" ht="22.5" customHeight="1">
      <c r="A1254" s="17">
        <v>1252.0</v>
      </c>
      <c r="B1254" s="20">
        <v>68.0</v>
      </c>
      <c r="C1254" s="13" t="s">
        <v>11447</v>
      </c>
      <c r="D1254" s="13" t="s">
        <v>11448</v>
      </c>
      <c r="E1254" s="13" t="s">
        <v>11449</v>
      </c>
      <c r="F1254" s="15"/>
      <c r="G1254" s="15"/>
      <c r="H1254" s="46"/>
      <c r="I1254" s="46"/>
      <c r="J1254" s="46"/>
      <c r="K1254" s="46"/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</row>
    <row r="1255" ht="22.5" customHeight="1">
      <c r="A1255" s="11">
        <v>1253.0</v>
      </c>
      <c r="B1255" s="20">
        <v>68.0</v>
      </c>
      <c r="C1255" s="13" t="s">
        <v>11450</v>
      </c>
      <c r="D1255" s="13" t="s">
        <v>11451</v>
      </c>
      <c r="E1255" s="13" t="s">
        <v>11452</v>
      </c>
      <c r="F1255" s="15"/>
      <c r="G1255" s="15"/>
      <c r="H1255" s="46"/>
      <c r="I1255" s="46"/>
      <c r="J1255" s="46"/>
      <c r="K1255" s="46"/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</row>
    <row r="1256" ht="22.5" customHeight="1">
      <c r="A1256" s="17">
        <v>1254.0</v>
      </c>
      <c r="B1256" s="20">
        <v>68.0</v>
      </c>
      <c r="C1256" s="13" t="s">
        <v>11453</v>
      </c>
      <c r="D1256" s="13" t="s">
        <v>11454</v>
      </c>
      <c r="E1256" s="13" t="s">
        <v>11455</v>
      </c>
      <c r="F1256" s="14" t="s">
        <v>18</v>
      </c>
      <c r="G1256" s="15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</row>
    <row r="1257" ht="22.5" customHeight="1">
      <c r="A1257" s="11">
        <v>1255.0</v>
      </c>
      <c r="B1257" s="20">
        <v>68.0</v>
      </c>
      <c r="C1257" s="13" t="s">
        <v>9680</v>
      </c>
      <c r="D1257" s="13" t="s">
        <v>9681</v>
      </c>
      <c r="E1257" s="13" t="s">
        <v>9682</v>
      </c>
      <c r="F1257" s="15"/>
      <c r="G1257" s="15"/>
      <c r="H1257" s="46"/>
      <c r="I1257" s="46"/>
      <c r="J1257" s="46"/>
      <c r="K1257" s="46"/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</row>
    <row r="1258" ht="22.5" customHeight="1">
      <c r="A1258" s="17">
        <v>1256.0</v>
      </c>
      <c r="B1258" s="20">
        <v>68.0</v>
      </c>
      <c r="C1258" s="13" t="s">
        <v>8830</v>
      </c>
      <c r="D1258" s="13" t="s">
        <v>8831</v>
      </c>
      <c r="E1258" s="13" t="s">
        <v>8832</v>
      </c>
      <c r="F1258" s="15"/>
      <c r="G1258" s="15"/>
      <c r="H1258" s="46"/>
      <c r="I1258" s="46"/>
      <c r="J1258" s="46"/>
      <c r="K1258" s="46"/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</row>
    <row r="1259" ht="22.5" customHeight="1">
      <c r="A1259" s="11">
        <v>1257.0</v>
      </c>
      <c r="B1259" s="20">
        <v>68.0</v>
      </c>
      <c r="C1259" s="13" t="s">
        <v>9691</v>
      </c>
      <c r="D1259" s="13" t="s">
        <v>9692</v>
      </c>
      <c r="E1259" s="13" t="s">
        <v>9693</v>
      </c>
      <c r="F1259" s="14" t="s">
        <v>18</v>
      </c>
      <c r="G1259" s="15"/>
      <c r="H1259" s="46"/>
      <c r="I1259" s="46"/>
      <c r="J1259" s="46"/>
      <c r="K1259" s="46"/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</row>
    <row r="1260" ht="22.5" customHeight="1">
      <c r="A1260" s="17">
        <v>1258.0</v>
      </c>
      <c r="B1260" s="20">
        <v>68.0</v>
      </c>
      <c r="C1260" s="13" t="s">
        <v>8736</v>
      </c>
      <c r="D1260" s="13" t="s">
        <v>8737</v>
      </c>
      <c r="E1260" s="13" t="s">
        <v>9484</v>
      </c>
      <c r="F1260" s="15"/>
      <c r="G1260" s="15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</row>
    <row r="1261" ht="22.5" customHeight="1">
      <c r="A1261" s="11">
        <v>1259.0</v>
      </c>
      <c r="B1261" s="20">
        <v>68.0</v>
      </c>
      <c r="C1261" s="13" t="s">
        <v>6231</v>
      </c>
      <c r="D1261" s="13" t="s">
        <v>6230</v>
      </c>
      <c r="E1261" s="13" t="s">
        <v>11456</v>
      </c>
      <c r="F1261" s="15"/>
      <c r="G1261" s="15"/>
      <c r="H1261" s="46"/>
      <c r="I1261" s="46"/>
      <c r="J1261" s="46"/>
      <c r="K1261" s="46"/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</row>
    <row r="1262" ht="22.5" customHeight="1">
      <c r="A1262" s="17">
        <v>1260.0</v>
      </c>
      <c r="B1262" s="20">
        <v>67.0</v>
      </c>
      <c r="C1262" s="13" t="s">
        <v>11457</v>
      </c>
      <c r="D1262" s="13" t="s">
        <v>11458</v>
      </c>
      <c r="E1262" s="13" t="s">
        <v>11459</v>
      </c>
      <c r="F1262" s="14" t="s">
        <v>18</v>
      </c>
      <c r="G1262" s="15"/>
      <c r="H1262" s="46"/>
      <c r="I1262" s="46"/>
      <c r="J1262" s="46"/>
      <c r="K1262" s="46"/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</row>
    <row r="1263" ht="22.5" customHeight="1">
      <c r="A1263" s="11">
        <v>1261.0</v>
      </c>
      <c r="B1263" s="20">
        <v>67.0</v>
      </c>
      <c r="C1263" s="13" t="s">
        <v>9410</v>
      </c>
      <c r="D1263" s="13" t="s">
        <v>9411</v>
      </c>
      <c r="E1263" s="13" t="s">
        <v>9412</v>
      </c>
      <c r="F1263" s="15"/>
      <c r="G1263" s="15"/>
      <c r="H1263" s="46"/>
      <c r="I1263" s="46"/>
      <c r="J1263" s="46"/>
      <c r="K1263" s="46"/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</row>
    <row r="1264" ht="22.5" customHeight="1">
      <c r="A1264" s="17">
        <v>1262.0</v>
      </c>
      <c r="B1264" s="20">
        <v>67.0</v>
      </c>
      <c r="C1264" s="13" t="s">
        <v>11460</v>
      </c>
      <c r="D1264" s="13" t="s">
        <v>11461</v>
      </c>
      <c r="E1264" s="13" t="s">
        <v>11462</v>
      </c>
      <c r="F1264" s="14" t="s">
        <v>18</v>
      </c>
      <c r="G1264" s="15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</row>
    <row r="1265" ht="22.5" customHeight="1">
      <c r="A1265" s="11">
        <v>1263.0</v>
      </c>
      <c r="B1265" s="20">
        <v>67.0</v>
      </c>
      <c r="C1265" s="13" t="s">
        <v>11463</v>
      </c>
      <c r="D1265" s="13" t="s">
        <v>11464</v>
      </c>
      <c r="E1265" s="13" t="s">
        <v>11465</v>
      </c>
      <c r="F1265" s="14" t="s">
        <v>18</v>
      </c>
      <c r="G1265" s="15"/>
      <c r="H1265" s="46"/>
      <c r="I1265" s="46"/>
      <c r="J1265" s="46"/>
      <c r="K1265" s="46"/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</row>
    <row r="1266" ht="22.5" customHeight="1">
      <c r="A1266" s="17">
        <v>1264.0</v>
      </c>
      <c r="B1266" s="20">
        <v>67.0</v>
      </c>
      <c r="C1266" s="13" t="s">
        <v>11466</v>
      </c>
      <c r="D1266" s="13" t="s">
        <v>11467</v>
      </c>
      <c r="E1266" s="13" t="s">
        <v>11468</v>
      </c>
      <c r="F1266" s="15"/>
      <c r="G1266" s="15"/>
      <c r="H1266" s="46"/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</row>
    <row r="1267" ht="22.5" customHeight="1">
      <c r="A1267" s="11">
        <v>1265.0</v>
      </c>
      <c r="B1267" s="20">
        <v>67.0</v>
      </c>
      <c r="C1267" s="13" t="s">
        <v>11469</v>
      </c>
      <c r="D1267" s="13" t="s">
        <v>11470</v>
      </c>
      <c r="E1267" s="13" t="s">
        <v>11471</v>
      </c>
      <c r="F1267" s="14" t="s">
        <v>18</v>
      </c>
      <c r="G1267" s="15"/>
      <c r="H1267" s="46"/>
      <c r="I1267" s="46"/>
      <c r="J1267" s="46"/>
      <c r="K1267" s="46"/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</row>
    <row r="1268" ht="22.5" customHeight="1">
      <c r="A1268" s="17">
        <v>1266.0</v>
      </c>
      <c r="B1268" s="20">
        <v>67.0</v>
      </c>
      <c r="C1268" s="13" t="s">
        <v>8990</v>
      </c>
      <c r="D1268" s="13" t="s">
        <v>8991</v>
      </c>
      <c r="E1268" s="13" t="s">
        <v>11472</v>
      </c>
      <c r="F1268" s="15"/>
      <c r="G1268" s="15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</row>
    <row r="1269" ht="22.5" customHeight="1">
      <c r="A1269" s="11">
        <v>1267.0</v>
      </c>
      <c r="B1269" s="20">
        <v>67.0</v>
      </c>
      <c r="C1269" s="13" t="s">
        <v>11473</v>
      </c>
      <c r="D1269" s="13" t="s">
        <v>11474</v>
      </c>
      <c r="E1269" s="13" t="s">
        <v>11475</v>
      </c>
      <c r="F1269" s="14" t="s">
        <v>18</v>
      </c>
      <c r="G1269" s="15"/>
      <c r="H1269" s="46"/>
      <c r="I1269" s="46"/>
      <c r="J1269" s="46"/>
      <c r="K1269" s="46"/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</row>
    <row r="1270" ht="22.5" customHeight="1">
      <c r="A1270" s="17">
        <v>1268.0</v>
      </c>
      <c r="B1270" s="20">
        <v>67.0</v>
      </c>
      <c r="C1270" s="13" t="s">
        <v>11476</v>
      </c>
      <c r="D1270" s="13" t="s">
        <v>3122</v>
      </c>
      <c r="E1270" s="13" t="s">
        <v>3123</v>
      </c>
      <c r="F1270" s="14" t="s">
        <v>18</v>
      </c>
      <c r="G1270" s="15"/>
      <c r="H1270" s="46"/>
      <c r="I1270" s="46"/>
      <c r="J1270" s="46"/>
      <c r="K1270" s="46"/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</row>
    <row r="1271" ht="22.5" customHeight="1">
      <c r="A1271" s="11">
        <v>1269.0</v>
      </c>
      <c r="B1271" s="20">
        <v>67.0</v>
      </c>
      <c r="C1271" s="13" t="s">
        <v>11477</v>
      </c>
      <c r="D1271" s="13" t="s">
        <v>11478</v>
      </c>
      <c r="E1271" s="13" t="s">
        <v>11479</v>
      </c>
      <c r="F1271" s="15"/>
      <c r="G1271" s="15"/>
      <c r="H1271" s="46"/>
      <c r="I1271" s="46"/>
      <c r="J1271" s="46"/>
      <c r="K1271" s="46"/>
      <c r="L1271" s="46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</row>
    <row r="1272" ht="22.5" customHeight="1">
      <c r="A1272" s="17">
        <v>1270.0</v>
      </c>
      <c r="B1272" s="20">
        <v>67.0</v>
      </c>
      <c r="C1272" s="13" t="s">
        <v>8913</v>
      </c>
      <c r="D1272" s="13" t="s">
        <v>8914</v>
      </c>
      <c r="E1272" s="13" t="s">
        <v>8915</v>
      </c>
      <c r="F1272" s="15"/>
      <c r="G1272" s="15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</row>
    <row r="1273" ht="22.5" customHeight="1">
      <c r="A1273" s="11">
        <v>1271.0</v>
      </c>
      <c r="B1273" s="20">
        <v>67.0</v>
      </c>
      <c r="C1273" s="13" t="s">
        <v>9724</v>
      </c>
      <c r="D1273" s="13" t="s">
        <v>9725</v>
      </c>
      <c r="E1273" s="13" t="s">
        <v>9726</v>
      </c>
      <c r="F1273" s="15"/>
      <c r="G1273" s="15"/>
      <c r="H1273" s="46"/>
      <c r="I1273" s="46"/>
      <c r="J1273" s="46"/>
      <c r="K1273" s="46"/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</row>
    <row r="1274" ht="22.5" customHeight="1">
      <c r="A1274" s="17">
        <v>1272.0</v>
      </c>
      <c r="B1274" s="20">
        <v>67.0</v>
      </c>
      <c r="C1274" s="13" t="s">
        <v>11480</v>
      </c>
      <c r="D1274" s="13" t="s">
        <v>11481</v>
      </c>
      <c r="E1274" s="13" t="s">
        <v>11482</v>
      </c>
      <c r="F1274" s="14" t="s">
        <v>18</v>
      </c>
      <c r="G1274" s="15"/>
      <c r="H1274" s="46"/>
      <c r="I1274" s="46"/>
      <c r="J1274" s="46"/>
      <c r="K1274" s="46"/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</row>
    <row r="1275" ht="22.5" customHeight="1">
      <c r="A1275" s="11">
        <v>1273.0</v>
      </c>
      <c r="B1275" s="20">
        <v>67.0</v>
      </c>
      <c r="C1275" s="13" t="s">
        <v>11483</v>
      </c>
      <c r="D1275" s="13" t="s">
        <v>11484</v>
      </c>
      <c r="E1275" s="13" t="s">
        <v>11485</v>
      </c>
      <c r="F1275" s="15"/>
      <c r="G1275" s="15"/>
      <c r="H1275" s="46"/>
      <c r="I1275" s="46"/>
      <c r="J1275" s="46"/>
      <c r="K1275" s="46"/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</row>
    <row r="1276" ht="22.5" customHeight="1">
      <c r="A1276" s="17">
        <v>1274.0</v>
      </c>
      <c r="B1276" s="20">
        <v>67.0</v>
      </c>
      <c r="C1276" s="13" t="s">
        <v>9066</v>
      </c>
      <c r="D1276" s="13" t="s">
        <v>9067</v>
      </c>
      <c r="E1276" s="13" t="s">
        <v>9068</v>
      </c>
      <c r="F1276" s="15"/>
      <c r="G1276" s="15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</row>
    <row r="1277" ht="22.5" customHeight="1">
      <c r="A1277" s="11">
        <v>1275.0</v>
      </c>
      <c r="B1277" s="20">
        <v>67.0</v>
      </c>
      <c r="C1277" s="13" t="s">
        <v>6082</v>
      </c>
      <c r="D1277" s="13" t="s">
        <v>11486</v>
      </c>
      <c r="E1277" s="13" t="s">
        <v>11487</v>
      </c>
      <c r="F1277" s="15"/>
      <c r="G1277" s="15"/>
      <c r="H1277" s="46"/>
      <c r="I1277" s="46"/>
      <c r="J1277" s="46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</row>
    <row r="1278" ht="22.5" customHeight="1">
      <c r="A1278" s="17">
        <v>1276.0</v>
      </c>
      <c r="B1278" s="20">
        <v>67.0</v>
      </c>
      <c r="C1278" s="13" t="s">
        <v>9400</v>
      </c>
      <c r="D1278" s="13" t="s">
        <v>9401</v>
      </c>
      <c r="E1278" s="13" t="s">
        <v>9402</v>
      </c>
      <c r="F1278" s="15"/>
      <c r="G1278" s="15"/>
      <c r="H1278" s="46"/>
      <c r="I1278" s="46"/>
      <c r="J1278" s="46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</row>
    <row r="1279" ht="22.5" customHeight="1">
      <c r="A1279" s="11">
        <v>1277.0</v>
      </c>
      <c r="B1279" s="20">
        <v>67.0</v>
      </c>
      <c r="C1279" s="13" t="s">
        <v>11488</v>
      </c>
      <c r="D1279" s="13" t="s">
        <v>11489</v>
      </c>
      <c r="E1279" s="13" t="s">
        <v>11490</v>
      </c>
      <c r="F1279" s="15"/>
      <c r="G1279" s="15"/>
      <c r="H1279" s="46"/>
      <c r="I1279" s="46"/>
      <c r="J1279" s="46"/>
      <c r="K1279" s="46"/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</row>
    <row r="1280" ht="22.5" customHeight="1">
      <c r="A1280" s="17">
        <v>1278.0</v>
      </c>
      <c r="B1280" s="20">
        <v>67.0</v>
      </c>
      <c r="C1280" s="13" t="s">
        <v>9976</v>
      </c>
      <c r="D1280" s="13" t="s">
        <v>9977</v>
      </c>
      <c r="E1280" s="13" t="s">
        <v>11491</v>
      </c>
      <c r="F1280" s="15"/>
      <c r="G1280" s="15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</row>
    <row r="1281" ht="22.5" customHeight="1">
      <c r="A1281" s="11">
        <v>1279.0</v>
      </c>
      <c r="B1281" s="20">
        <v>67.0</v>
      </c>
      <c r="C1281" s="13" t="s">
        <v>11492</v>
      </c>
      <c r="D1281" s="13" t="s">
        <v>11493</v>
      </c>
      <c r="E1281" s="13" t="s">
        <v>11494</v>
      </c>
      <c r="F1281" s="14" t="s">
        <v>18</v>
      </c>
      <c r="G1281" s="15"/>
      <c r="H1281" s="46"/>
      <c r="I1281" s="46"/>
      <c r="J1281" s="46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</row>
    <row r="1282" ht="22.5" customHeight="1">
      <c r="A1282" s="17">
        <v>1280.0</v>
      </c>
      <c r="B1282" s="20">
        <v>67.0</v>
      </c>
      <c r="C1282" s="13" t="s">
        <v>8895</v>
      </c>
      <c r="D1282" s="13" t="s">
        <v>8896</v>
      </c>
      <c r="E1282" s="13" t="s">
        <v>8897</v>
      </c>
      <c r="F1282" s="15"/>
      <c r="G1282" s="15"/>
      <c r="H1282" s="46"/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</row>
    <row r="1283" ht="22.5" customHeight="1">
      <c r="A1283" s="11">
        <v>1281.0</v>
      </c>
      <c r="B1283" s="20">
        <v>67.0</v>
      </c>
      <c r="C1283" s="13" t="s">
        <v>10155</v>
      </c>
      <c r="D1283" s="13" t="s">
        <v>10156</v>
      </c>
      <c r="E1283" s="13" t="s">
        <v>10157</v>
      </c>
      <c r="F1283" s="15"/>
      <c r="G1283" s="15"/>
      <c r="H1283" s="46"/>
      <c r="I1283" s="46"/>
      <c r="J1283" s="46"/>
      <c r="K1283" s="46"/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</row>
    <row r="1284" ht="22.5" customHeight="1">
      <c r="A1284" s="17">
        <v>1282.0</v>
      </c>
      <c r="B1284" s="20">
        <v>67.0</v>
      </c>
      <c r="C1284" s="13" t="s">
        <v>11495</v>
      </c>
      <c r="D1284" s="13" t="s">
        <v>11496</v>
      </c>
      <c r="E1284" s="13" t="s">
        <v>11497</v>
      </c>
      <c r="F1284" s="14" t="s">
        <v>18</v>
      </c>
      <c r="G1284" s="15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</row>
    <row r="1285" ht="22.5" customHeight="1">
      <c r="A1285" s="11">
        <v>1283.0</v>
      </c>
      <c r="B1285" s="20">
        <v>67.0</v>
      </c>
      <c r="C1285" s="13" t="s">
        <v>11498</v>
      </c>
      <c r="D1285" s="13" t="s">
        <v>11499</v>
      </c>
      <c r="E1285" s="13" t="s">
        <v>11500</v>
      </c>
      <c r="F1285" s="14" t="s">
        <v>18</v>
      </c>
      <c r="G1285" s="15"/>
      <c r="H1285" s="46"/>
      <c r="I1285" s="46"/>
      <c r="J1285" s="46"/>
      <c r="K1285" s="46"/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</row>
    <row r="1286" ht="22.5" customHeight="1">
      <c r="A1286" s="17">
        <v>1284.0</v>
      </c>
      <c r="B1286" s="20">
        <v>67.0</v>
      </c>
      <c r="C1286" s="13" t="s">
        <v>11501</v>
      </c>
      <c r="D1286" s="13" t="s">
        <v>11502</v>
      </c>
      <c r="E1286" s="13" t="s">
        <v>11503</v>
      </c>
      <c r="F1286" s="14" t="s">
        <v>18</v>
      </c>
      <c r="G1286" s="15"/>
      <c r="H1286" s="46"/>
      <c r="I1286" s="46"/>
      <c r="J1286" s="46"/>
      <c r="K1286" s="46"/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</row>
    <row r="1287" ht="22.5" customHeight="1">
      <c r="A1287" s="11">
        <v>1285.0</v>
      </c>
      <c r="B1287" s="20">
        <v>67.0</v>
      </c>
      <c r="C1287" s="13" t="s">
        <v>10025</v>
      </c>
      <c r="D1287" s="13" t="s">
        <v>2423</v>
      </c>
      <c r="E1287" s="13" t="s">
        <v>2937</v>
      </c>
      <c r="F1287" s="14" t="s">
        <v>18</v>
      </c>
      <c r="G1287" s="15"/>
      <c r="H1287" s="46"/>
      <c r="I1287" s="46"/>
      <c r="J1287" s="46"/>
      <c r="K1287" s="46"/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</row>
    <row r="1288" ht="22.5" customHeight="1">
      <c r="A1288" s="17">
        <v>1286.0</v>
      </c>
      <c r="B1288" s="20">
        <v>67.0</v>
      </c>
      <c r="C1288" s="13" t="s">
        <v>11160</v>
      </c>
      <c r="D1288" s="13" t="s">
        <v>11161</v>
      </c>
      <c r="E1288" s="13" t="s">
        <v>11162</v>
      </c>
      <c r="F1288" s="14" t="s">
        <v>18</v>
      </c>
      <c r="G1288" s="15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</row>
    <row r="1289" ht="22.5" customHeight="1">
      <c r="A1289" s="11">
        <v>1287.0</v>
      </c>
      <c r="B1289" s="20">
        <v>67.0</v>
      </c>
      <c r="C1289" s="13" t="s">
        <v>11124</v>
      </c>
      <c r="D1289" s="13" t="s">
        <v>11125</v>
      </c>
      <c r="E1289" s="13" t="s">
        <v>11126</v>
      </c>
      <c r="F1289" s="15"/>
      <c r="G1289" s="15"/>
      <c r="H1289" s="46"/>
      <c r="I1289" s="46"/>
      <c r="J1289" s="46"/>
      <c r="K1289" s="46"/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</row>
    <row r="1290" ht="22.5" customHeight="1">
      <c r="A1290" s="17">
        <v>1288.0</v>
      </c>
      <c r="B1290" s="20">
        <v>67.0</v>
      </c>
      <c r="C1290" s="13" t="s">
        <v>10164</v>
      </c>
      <c r="D1290" s="13" t="s">
        <v>10165</v>
      </c>
      <c r="E1290" s="13" t="s">
        <v>10166</v>
      </c>
      <c r="F1290" s="15"/>
      <c r="G1290" s="15"/>
      <c r="H1290" s="46"/>
      <c r="I1290" s="46"/>
      <c r="J1290" s="46"/>
      <c r="K1290" s="46"/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</row>
    <row r="1291" ht="22.5" customHeight="1">
      <c r="A1291" s="11">
        <v>1289.0</v>
      </c>
      <c r="B1291" s="20">
        <v>67.0</v>
      </c>
      <c r="C1291" s="13" t="s">
        <v>11504</v>
      </c>
      <c r="D1291" s="13" t="s">
        <v>11505</v>
      </c>
      <c r="E1291" s="13" t="s">
        <v>11506</v>
      </c>
      <c r="F1291" s="14" t="s">
        <v>18</v>
      </c>
      <c r="G1291" s="15"/>
      <c r="H1291" s="46"/>
      <c r="I1291" s="46"/>
      <c r="J1291" s="46"/>
      <c r="K1291" s="46"/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</row>
    <row r="1292" ht="22.5" customHeight="1">
      <c r="A1292" s="17">
        <v>1290.0</v>
      </c>
      <c r="B1292" s="20">
        <v>66.0</v>
      </c>
      <c r="C1292" s="13" t="s">
        <v>8864</v>
      </c>
      <c r="D1292" s="13" t="s">
        <v>8865</v>
      </c>
      <c r="E1292" s="13" t="s">
        <v>11507</v>
      </c>
      <c r="F1292" s="15"/>
      <c r="G1292" s="15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</row>
    <row r="1293" ht="22.5" customHeight="1">
      <c r="A1293" s="11">
        <v>1291.0</v>
      </c>
      <c r="B1293" s="20">
        <v>66.0</v>
      </c>
      <c r="C1293" s="13" t="s">
        <v>11508</v>
      </c>
      <c r="D1293" s="13" t="s">
        <v>11509</v>
      </c>
      <c r="E1293" s="13" t="s">
        <v>11510</v>
      </c>
      <c r="F1293" s="14" t="s">
        <v>18</v>
      </c>
      <c r="G1293" s="15"/>
      <c r="H1293" s="46"/>
      <c r="I1293" s="46"/>
      <c r="J1293" s="46"/>
      <c r="K1293" s="46"/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</row>
    <row r="1294" ht="22.5" customHeight="1">
      <c r="A1294" s="17">
        <v>1292.0</v>
      </c>
      <c r="B1294" s="20">
        <v>66.0</v>
      </c>
      <c r="C1294" s="13" t="s">
        <v>11511</v>
      </c>
      <c r="D1294" s="13" t="s">
        <v>11512</v>
      </c>
      <c r="E1294" s="13" t="s">
        <v>11513</v>
      </c>
      <c r="F1294" s="14" t="s">
        <v>18</v>
      </c>
      <c r="G1294" s="15"/>
      <c r="H1294" s="46"/>
      <c r="I1294" s="46"/>
      <c r="J1294" s="46"/>
      <c r="K1294" s="46"/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</row>
    <row r="1295" ht="22.5" customHeight="1">
      <c r="A1295" s="11">
        <v>1293.0</v>
      </c>
      <c r="B1295" s="20">
        <v>66.0</v>
      </c>
      <c r="C1295" s="13" t="s">
        <v>11514</v>
      </c>
      <c r="D1295" s="13" t="s">
        <v>11515</v>
      </c>
      <c r="E1295" s="13" t="s">
        <v>11516</v>
      </c>
      <c r="F1295" s="15"/>
      <c r="G1295" s="15"/>
      <c r="H1295" s="46"/>
      <c r="I1295" s="46"/>
      <c r="J1295" s="46"/>
      <c r="K1295" s="46"/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</row>
    <row r="1296" ht="22.5" customHeight="1">
      <c r="A1296" s="17">
        <v>1294.0</v>
      </c>
      <c r="B1296" s="20">
        <v>66.0</v>
      </c>
      <c r="C1296" s="13" t="s">
        <v>11517</v>
      </c>
      <c r="D1296" s="13" t="s">
        <v>11518</v>
      </c>
      <c r="E1296" s="13" t="s">
        <v>11519</v>
      </c>
      <c r="F1296" s="14" t="s">
        <v>18</v>
      </c>
      <c r="G1296" s="15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</row>
    <row r="1297" ht="22.5" customHeight="1">
      <c r="A1297" s="11">
        <v>1295.0</v>
      </c>
      <c r="B1297" s="20">
        <v>66.0</v>
      </c>
      <c r="C1297" s="13" t="s">
        <v>9343</v>
      </c>
      <c r="D1297" s="13" t="s">
        <v>9344</v>
      </c>
      <c r="E1297" s="13" t="s">
        <v>11520</v>
      </c>
      <c r="F1297" s="15"/>
      <c r="G1297" s="15"/>
      <c r="H1297" s="46"/>
      <c r="I1297" s="46"/>
      <c r="J1297" s="46"/>
      <c r="K1297" s="46"/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</row>
    <row r="1298" ht="22.5" customHeight="1">
      <c r="A1298" s="17">
        <v>1296.0</v>
      </c>
      <c r="B1298" s="20">
        <v>66.0</v>
      </c>
      <c r="C1298" s="13" t="s">
        <v>11521</v>
      </c>
      <c r="D1298" s="13" t="s">
        <v>11522</v>
      </c>
      <c r="E1298" s="13" t="s">
        <v>11523</v>
      </c>
      <c r="F1298" s="15"/>
      <c r="G1298" s="15"/>
      <c r="H1298" s="46"/>
      <c r="I1298" s="46"/>
      <c r="J1298" s="46"/>
      <c r="K1298" s="46"/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</row>
    <row r="1299" ht="22.5" customHeight="1">
      <c r="A1299" s="11">
        <v>1297.0</v>
      </c>
      <c r="B1299" s="20">
        <v>66.0</v>
      </c>
      <c r="C1299" s="13" t="s">
        <v>11524</v>
      </c>
      <c r="D1299" s="13" t="s">
        <v>11525</v>
      </c>
      <c r="E1299" s="13" t="s">
        <v>11526</v>
      </c>
      <c r="F1299" s="14" t="s">
        <v>18</v>
      </c>
      <c r="G1299" s="15"/>
      <c r="H1299" s="46"/>
      <c r="I1299" s="46"/>
      <c r="J1299" s="46"/>
      <c r="K1299" s="46"/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</row>
    <row r="1300" ht="22.5" customHeight="1">
      <c r="A1300" s="17">
        <v>1298.0</v>
      </c>
      <c r="B1300" s="20">
        <v>66.0</v>
      </c>
      <c r="C1300" s="13" t="s">
        <v>11527</v>
      </c>
      <c r="D1300" s="13" t="s">
        <v>11528</v>
      </c>
      <c r="E1300" s="13" t="s">
        <v>11529</v>
      </c>
      <c r="F1300" s="14" t="s">
        <v>18</v>
      </c>
      <c r="G1300" s="15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</row>
    <row r="1301" ht="22.5" customHeight="1">
      <c r="A1301" s="11">
        <v>1299.0</v>
      </c>
      <c r="B1301" s="20">
        <v>66.0</v>
      </c>
      <c r="C1301" s="13" t="s">
        <v>11530</v>
      </c>
      <c r="D1301" s="13" t="s">
        <v>11531</v>
      </c>
      <c r="E1301" s="13" t="s">
        <v>11532</v>
      </c>
      <c r="F1301" s="14" t="s">
        <v>18</v>
      </c>
      <c r="G1301" s="15"/>
      <c r="H1301" s="46"/>
      <c r="I1301" s="46"/>
      <c r="J1301" s="46"/>
      <c r="K1301" s="46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</row>
    <row r="1302" ht="22.5" customHeight="1">
      <c r="A1302" s="17">
        <v>1300.0</v>
      </c>
      <c r="B1302" s="20">
        <v>66.0</v>
      </c>
      <c r="C1302" s="13" t="s">
        <v>11533</v>
      </c>
      <c r="D1302" s="13" t="s">
        <v>11534</v>
      </c>
      <c r="E1302" s="13" t="s">
        <v>11535</v>
      </c>
      <c r="F1302" s="14" t="s">
        <v>18</v>
      </c>
      <c r="G1302" s="15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</row>
    <row r="1303" ht="22.5" customHeight="1">
      <c r="A1303" s="11">
        <v>1301.0</v>
      </c>
      <c r="B1303" s="20">
        <v>66.0</v>
      </c>
      <c r="C1303" s="13" t="s">
        <v>11536</v>
      </c>
      <c r="D1303" s="13" t="s">
        <v>11537</v>
      </c>
      <c r="E1303" s="13" t="s">
        <v>11538</v>
      </c>
      <c r="F1303" s="15"/>
      <c r="G1303" s="15"/>
      <c r="H1303" s="46"/>
      <c r="I1303" s="46"/>
      <c r="J1303" s="46"/>
      <c r="K1303" s="46"/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</row>
    <row r="1304" ht="22.5" customHeight="1">
      <c r="A1304" s="17">
        <v>1302.0</v>
      </c>
      <c r="B1304" s="20">
        <v>66.0</v>
      </c>
      <c r="C1304" s="13" t="s">
        <v>11539</v>
      </c>
      <c r="D1304" s="13" t="s">
        <v>11540</v>
      </c>
      <c r="E1304" s="13" t="s">
        <v>11541</v>
      </c>
      <c r="F1304" s="15"/>
      <c r="G1304" s="15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</row>
    <row r="1305" ht="22.5" customHeight="1">
      <c r="A1305" s="11">
        <v>1303.0</v>
      </c>
      <c r="B1305" s="20">
        <v>66.0</v>
      </c>
      <c r="C1305" s="13" t="s">
        <v>8990</v>
      </c>
      <c r="D1305" s="13" t="s">
        <v>8991</v>
      </c>
      <c r="E1305" s="13" t="s">
        <v>11472</v>
      </c>
      <c r="F1305" s="15"/>
      <c r="G1305" s="15"/>
      <c r="H1305" s="46"/>
      <c r="I1305" s="46"/>
      <c r="J1305" s="46"/>
      <c r="K1305" s="46"/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</row>
    <row r="1306" ht="22.5" customHeight="1">
      <c r="A1306" s="17">
        <v>1304.0</v>
      </c>
      <c r="B1306" s="20">
        <v>66.0</v>
      </c>
      <c r="C1306" s="13" t="s">
        <v>9347</v>
      </c>
      <c r="D1306" s="13" t="s">
        <v>9348</v>
      </c>
      <c r="E1306" s="13" t="s">
        <v>11542</v>
      </c>
      <c r="F1306" s="15"/>
      <c r="G1306" s="15"/>
      <c r="H1306" s="46"/>
      <c r="I1306" s="46"/>
      <c r="J1306" s="46"/>
      <c r="K1306" s="46"/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</row>
    <row r="1307" ht="22.5" customHeight="1">
      <c r="A1307" s="11">
        <v>1305.0</v>
      </c>
      <c r="B1307" s="20">
        <v>66.0</v>
      </c>
      <c r="C1307" s="13" t="s">
        <v>6364</v>
      </c>
      <c r="D1307" s="13" t="s">
        <v>11543</v>
      </c>
      <c r="E1307" s="13" t="s">
        <v>11544</v>
      </c>
      <c r="F1307" s="14" t="s">
        <v>18</v>
      </c>
      <c r="G1307" s="15"/>
      <c r="H1307" s="46"/>
      <c r="I1307" s="46"/>
      <c r="J1307" s="46"/>
      <c r="K1307" s="46"/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</row>
    <row r="1308" ht="22.5" customHeight="1">
      <c r="A1308" s="17">
        <v>1306.0</v>
      </c>
      <c r="B1308" s="20">
        <v>66.0</v>
      </c>
      <c r="C1308" s="13" t="s">
        <v>11545</v>
      </c>
      <c r="D1308" s="13" t="s">
        <v>1813</v>
      </c>
      <c r="E1308" s="13" t="s">
        <v>3665</v>
      </c>
      <c r="F1308" s="14" t="s">
        <v>18</v>
      </c>
      <c r="G1308" s="15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</row>
    <row r="1309" ht="22.5" customHeight="1">
      <c r="A1309" s="11">
        <v>1307.0</v>
      </c>
      <c r="B1309" s="20">
        <v>66.0</v>
      </c>
      <c r="C1309" s="13" t="s">
        <v>10460</v>
      </c>
      <c r="D1309" s="13" t="s">
        <v>10461</v>
      </c>
      <c r="E1309" s="13" t="s">
        <v>11546</v>
      </c>
      <c r="F1309" s="15"/>
      <c r="G1309" s="15"/>
      <c r="H1309" s="46"/>
      <c r="I1309" s="46"/>
      <c r="J1309" s="46"/>
      <c r="K1309" s="46"/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</row>
    <row r="1310" ht="22.5" customHeight="1">
      <c r="A1310" s="17">
        <v>1308.0</v>
      </c>
      <c r="B1310" s="20">
        <v>66.0</v>
      </c>
      <c r="C1310" s="13" t="s">
        <v>11547</v>
      </c>
      <c r="D1310" s="13" t="s">
        <v>11548</v>
      </c>
      <c r="E1310" s="13" t="s">
        <v>11549</v>
      </c>
      <c r="F1310" s="14" t="s">
        <v>18</v>
      </c>
      <c r="G1310" s="15"/>
      <c r="H1310" s="46"/>
      <c r="I1310" s="46"/>
      <c r="J1310" s="46"/>
      <c r="K1310" s="46"/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</row>
    <row r="1311" ht="22.5" customHeight="1">
      <c r="A1311" s="11">
        <v>1309.0</v>
      </c>
      <c r="B1311" s="20">
        <v>66.0</v>
      </c>
      <c r="C1311" s="13" t="s">
        <v>9259</v>
      </c>
      <c r="D1311" s="13" t="s">
        <v>9260</v>
      </c>
      <c r="E1311" s="13" t="s">
        <v>9261</v>
      </c>
      <c r="F1311" s="14" t="s">
        <v>18</v>
      </c>
      <c r="G1311" s="15"/>
      <c r="H1311" s="46"/>
      <c r="I1311" s="46"/>
      <c r="J1311" s="46"/>
      <c r="K1311" s="46"/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</row>
    <row r="1312" ht="22.5" customHeight="1">
      <c r="A1312" s="17">
        <v>1310.0</v>
      </c>
      <c r="B1312" s="20">
        <v>66.0</v>
      </c>
      <c r="C1312" s="13" t="s">
        <v>11550</v>
      </c>
      <c r="D1312" s="13" t="s">
        <v>11551</v>
      </c>
      <c r="E1312" s="13" t="s">
        <v>11552</v>
      </c>
      <c r="F1312" s="14" t="s">
        <v>18</v>
      </c>
      <c r="G1312" s="15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</row>
    <row r="1313" ht="22.5" customHeight="1">
      <c r="A1313" s="11">
        <v>1311.0</v>
      </c>
      <c r="B1313" s="20">
        <v>66.0</v>
      </c>
      <c r="C1313" s="13" t="s">
        <v>11553</v>
      </c>
      <c r="D1313" s="13" t="s">
        <v>11554</v>
      </c>
      <c r="E1313" s="13" t="s">
        <v>11555</v>
      </c>
      <c r="F1313" s="14" t="s">
        <v>18</v>
      </c>
      <c r="G1313" s="15"/>
      <c r="H1313" s="46"/>
      <c r="I1313" s="46"/>
      <c r="J1313" s="46"/>
      <c r="K1313" s="46"/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</row>
    <row r="1314" ht="22.5" customHeight="1">
      <c r="A1314" s="17">
        <v>1312.0</v>
      </c>
      <c r="B1314" s="20">
        <v>66.0</v>
      </c>
      <c r="C1314" s="13" t="s">
        <v>9577</v>
      </c>
      <c r="D1314" s="13" t="s">
        <v>9578</v>
      </c>
      <c r="E1314" s="13" t="s">
        <v>9579</v>
      </c>
      <c r="F1314" s="15"/>
      <c r="G1314" s="15"/>
      <c r="H1314" s="46"/>
      <c r="I1314" s="46"/>
      <c r="J1314" s="46"/>
      <c r="K1314" s="46"/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</row>
    <row r="1315" ht="22.5" customHeight="1">
      <c r="A1315" s="11">
        <v>1313.0</v>
      </c>
      <c r="B1315" s="20">
        <v>66.0</v>
      </c>
      <c r="C1315" s="13" t="s">
        <v>11556</v>
      </c>
      <c r="D1315" s="13" t="s">
        <v>11557</v>
      </c>
      <c r="E1315" s="13" t="s">
        <v>11558</v>
      </c>
      <c r="F1315" s="14" t="s">
        <v>18</v>
      </c>
      <c r="G1315" s="15"/>
      <c r="H1315" s="46"/>
      <c r="I1315" s="46"/>
      <c r="J1315" s="46"/>
      <c r="K1315" s="46"/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</row>
    <row r="1316" ht="22.5" customHeight="1">
      <c r="A1316" s="17">
        <v>1314.0</v>
      </c>
      <c r="B1316" s="20">
        <v>66.0</v>
      </c>
      <c r="C1316" s="13" t="s">
        <v>11559</v>
      </c>
      <c r="D1316" s="13" t="s">
        <v>11560</v>
      </c>
      <c r="E1316" s="13" t="s">
        <v>11561</v>
      </c>
      <c r="F1316" s="14" t="s">
        <v>18</v>
      </c>
      <c r="G1316" s="15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</row>
    <row r="1317" ht="22.5" customHeight="1">
      <c r="A1317" s="11">
        <v>1315.0</v>
      </c>
      <c r="B1317" s="20">
        <v>66.0</v>
      </c>
      <c r="C1317" s="13" t="s">
        <v>11562</v>
      </c>
      <c r="D1317" s="13" t="s">
        <v>11563</v>
      </c>
      <c r="E1317" s="13" t="s">
        <v>11564</v>
      </c>
      <c r="F1317" s="14" t="s">
        <v>18</v>
      </c>
      <c r="G1317" s="15"/>
      <c r="H1317" s="46"/>
      <c r="I1317" s="46"/>
      <c r="J1317" s="46"/>
      <c r="K1317" s="46"/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</row>
    <row r="1318" ht="22.5" customHeight="1">
      <c r="A1318" s="17">
        <v>1316.0</v>
      </c>
      <c r="B1318" s="20">
        <v>66.0</v>
      </c>
      <c r="C1318" s="13" t="s">
        <v>11565</v>
      </c>
      <c r="D1318" s="13" t="s">
        <v>11566</v>
      </c>
      <c r="E1318" s="13" t="s">
        <v>11567</v>
      </c>
      <c r="F1318" s="15"/>
      <c r="G1318" s="15"/>
      <c r="H1318" s="46"/>
      <c r="I1318" s="46"/>
      <c r="J1318" s="46"/>
      <c r="K1318" s="46"/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</row>
    <row r="1319" ht="22.5" customHeight="1">
      <c r="A1319" s="11">
        <v>1317.0</v>
      </c>
      <c r="B1319" s="20">
        <v>66.0</v>
      </c>
      <c r="C1319" s="13" t="s">
        <v>11568</v>
      </c>
      <c r="D1319" s="13" t="s">
        <v>11569</v>
      </c>
      <c r="E1319" s="13" t="s">
        <v>11570</v>
      </c>
      <c r="F1319" s="14" t="s">
        <v>18</v>
      </c>
      <c r="G1319" s="15"/>
      <c r="H1319" s="46"/>
      <c r="I1319" s="46"/>
      <c r="J1319" s="46"/>
      <c r="K1319" s="46"/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</row>
    <row r="1320" ht="22.5" customHeight="1">
      <c r="A1320" s="17">
        <v>1318.0</v>
      </c>
      <c r="B1320" s="20">
        <v>66.0</v>
      </c>
      <c r="C1320" s="13" t="s">
        <v>8901</v>
      </c>
      <c r="D1320" s="13" t="s">
        <v>8902</v>
      </c>
      <c r="E1320" s="13" t="s">
        <v>8903</v>
      </c>
      <c r="F1320" s="15"/>
      <c r="G1320" s="15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</row>
    <row r="1321" ht="22.5" customHeight="1">
      <c r="A1321" s="11">
        <v>1319.0</v>
      </c>
      <c r="B1321" s="20">
        <v>66.0</v>
      </c>
      <c r="C1321" s="13" t="s">
        <v>5316</v>
      </c>
      <c r="D1321" s="13" t="s">
        <v>5315</v>
      </c>
      <c r="E1321" s="13" t="s">
        <v>10126</v>
      </c>
      <c r="F1321" s="15"/>
      <c r="G1321" s="15"/>
      <c r="H1321" s="46"/>
      <c r="I1321" s="46"/>
      <c r="J1321" s="46"/>
      <c r="K1321" s="46"/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</row>
    <row r="1322" ht="22.5" customHeight="1">
      <c r="A1322" s="17">
        <v>1320.0</v>
      </c>
      <c r="B1322" s="20">
        <v>65.0</v>
      </c>
      <c r="C1322" s="13" t="s">
        <v>11571</v>
      </c>
      <c r="D1322" s="13" t="s">
        <v>11572</v>
      </c>
      <c r="E1322" s="13" t="s">
        <v>11573</v>
      </c>
      <c r="F1322" s="14" t="s">
        <v>18</v>
      </c>
      <c r="G1322" s="15"/>
      <c r="H1322" s="46"/>
      <c r="I1322" s="46"/>
      <c r="J1322" s="46"/>
      <c r="K1322" s="46"/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</row>
    <row r="1323" ht="22.5" customHeight="1">
      <c r="A1323" s="11">
        <v>1321.0</v>
      </c>
      <c r="B1323" s="20">
        <v>65.0</v>
      </c>
      <c r="C1323" s="13" t="s">
        <v>9687</v>
      </c>
      <c r="D1323" s="13" t="s">
        <v>9688</v>
      </c>
      <c r="E1323" s="13" t="s">
        <v>9689</v>
      </c>
      <c r="F1323" s="15"/>
      <c r="G1323" s="15"/>
      <c r="H1323" s="46"/>
      <c r="I1323" s="46"/>
      <c r="J1323" s="46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</row>
    <row r="1324" ht="22.5" customHeight="1">
      <c r="A1324" s="17">
        <v>1322.0</v>
      </c>
      <c r="B1324" s="20">
        <v>65.0</v>
      </c>
      <c r="C1324" s="13" t="s">
        <v>5543</v>
      </c>
      <c r="D1324" s="13" t="s">
        <v>5542</v>
      </c>
      <c r="E1324" s="13" t="s">
        <v>11574</v>
      </c>
      <c r="F1324" s="14" t="s">
        <v>18</v>
      </c>
      <c r="G1324" s="15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</row>
    <row r="1325" ht="22.5" customHeight="1">
      <c r="A1325" s="11">
        <v>1323.0</v>
      </c>
      <c r="B1325" s="20">
        <v>65.0</v>
      </c>
      <c r="C1325" s="13" t="s">
        <v>4023</v>
      </c>
      <c r="D1325" s="13" t="s">
        <v>8812</v>
      </c>
      <c r="E1325" s="13" t="s">
        <v>8813</v>
      </c>
      <c r="F1325" s="15"/>
      <c r="G1325" s="15"/>
      <c r="H1325" s="46"/>
      <c r="I1325" s="46"/>
      <c r="J1325" s="46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</row>
    <row r="1326" ht="22.5" customHeight="1">
      <c r="A1326" s="17">
        <v>1324.0</v>
      </c>
      <c r="B1326" s="20">
        <v>65.0</v>
      </c>
      <c r="C1326" s="13" t="s">
        <v>11575</v>
      </c>
      <c r="D1326" s="13" t="s">
        <v>8069</v>
      </c>
      <c r="E1326" s="13" t="s">
        <v>8070</v>
      </c>
      <c r="F1326" s="14" t="s">
        <v>18</v>
      </c>
      <c r="G1326" s="15"/>
      <c r="H1326" s="46"/>
      <c r="I1326" s="46"/>
      <c r="J1326" s="46"/>
      <c r="K1326" s="46"/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</row>
    <row r="1327" ht="22.5" customHeight="1">
      <c r="A1327" s="11">
        <v>1325.0</v>
      </c>
      <c r="B1327" s="20">
        <v>65.0</v>
      </c>
      <c r="C1327" s="13" t="s">
        <v>11121</v>
      </c>
      <c r="D1327" s="13" t="s">
        <v>11576</v>
      </c>
      <c r="E1327" s="13" t="s">
        <v>11123</v>
      </c>
      <c r="F1327" s="14" t="s">
        <v>18</v>
      </c>
      <c r="G1327" s="15"/>
      <c r="H1327" s="46"/>
      <c r="I1327" s="46"/>
      <c r="J1327" s="46"/>
      <c r="K1327" s="46"/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</row>
    <row r="1328" ht="22.5" customHeight="1">
      <c r="A1328" s="17">
        <v>1326.0</v>
      </c>
      <c r="B1328" s="20">
        <v>65.0</v>
      </c>
      <c r="C1328" s="13" t="s">
        <v>11533</v>
      </c>
      <c r="D1328" s="13" t="s">
        <v>11534</v>
      </c>
      <c r="E1328" s="13" t="s">
        <v>11535</v>
      </c>
      <c r="F1328" s="15"/>
      <c r="G1328" s="15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</row>
    <row r="1329" ht="22.5" customHeight="1">
      <c r="A1329" s="11">
        <v>1327.0</v>
      </c>
      <c r="B1329" s="20">
        <v>65.0</v>
      </c>
      <c r="C1329" s="13" t="s">
        <v>11577</v>
      </c>
      <c r="D1329" s="13" t="s">
        <v>11578</v>
      </c>
      <c r="E1329" s="13" t="s">
        <v>11579</v>
      </c>
      <c r="F1329" s="14" t="s">
        <v>18</v>
      </c>
      <c r="G1329" s="15"/>
      <c r="H1329" s="46"/>
      <c r="I1329" s="46"/>
      <c r="J1329" s="46"/>
      <c r="K1329" s="46"/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</row>
    <row r="1330" ht="22.5" customHeight="1">
      <c r="A1330" s="17">
        <v>1328.0</v>
      </c>
      <c r="B1330" s="20">
        <v>65.0</v>
      </c>
      <c r="C1330" s="13" t="s">
        <v>10883</v>
      </c>
      <c r="D1330" s="13" t="s">
        <v>10884</v>
      </c>
      <c r="E1330" s="13" t="s">
        <v>11580</v>
      </c>
      <c r="F1330" s="14" t="s">
        <v>18</v>
      </c>
      <c r="G1330" s="15"/>
      <c r="H1330" s="46"/>
      <c r="I1330" s="46"/>
      <c r="J1330" s="46"/>
      <c r="K1330" s="46"/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</row>
    <row r="1331" ht="22.5" customHeight="1">
      <c r="A1331" s="11">
        <v>1329.0</v>
      </c>
      <c r="B1331" s="20">
        <v>65.0</v>
      </c>
      <c r="C1331" s="13" t="s">
        <v>9724</v>
      </c>
      <c r="D1331" s="13" t="s">
        <v>9725</v>
      </c>
      <c r="E1331" s="13" t="s">
        <v>9726</v>
      </c>
      <c r="F1331" s="15"/>
      <c r="G1331" s="15"/>
      <c r="H1331" s="46"/>
      <c r="I1331" s="46"/>
      <c r="J1331" s="46"/>
      <c r="K1331" s="46"/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</row>
    <row r="1332" ht="22.5" customHeight="1">
      <c r="A1332" s="17">
        <v>1330.0</v>
      </c>
      <c r="B1332" s="20">
        <v>65.0</v>
      </c>
      <c r="C1332" s="13" t="s">
        <v>11581</v>
      </c>
      <c r="D1332" s="13" t="s">
        <v>11582</v>
      </c>
      <c r="E1332" s="13" t="s">
        <v>11583</v>
      </c>
      <c r="F1332" s="15"/>
      <c r="G1332" s="15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</row>
    <row r="1333" ht="22.5" customHeight="1">
      <c r="A1333" s="11">
        <v>1331.0</v>
      </c>
      <c r="B1333" s="20">
        <v>65.0</v>
      </c>
      <c r="C1333" s="13" t="s">
        <v>11584</v>
      </c>
      <c r="D1333" s="13" t="s">
        <v>11585</v>
      </c>
      <c r="E1333" s="13" t="s">
        <v>11586</v>
      </c>
      <c r="F1333" s="15"/>
      <c r="G1333" s="15"/>
      <c r="H1333" s="46"/>
      <c r="I1333" s="46"/>
      <c r="J1333" s="46"/>
      <c r="K1333" s="46"/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</row>
    <row r="1334" ht="22.5" customHeight="1">
      <c r="A1334" s="17">
        <v>1332.0</v>
      </c>
      <c r="B1334" s="20">
        <v>65.0</v>
      </c>
      <c r="C1334" s="13" t="s">
        <v>9929</v>
      </c>
      <c r="D1334" s="13" t="s">
        <v>9930</v>
      </c>
      <c r="E1334" s="13" t="s">
        <v>9931</v>
      </c>
      <c r="F1334" s="15"/>
      <c r="G1334" s="15"/>
      <c r="H1334" s="46"/>
      <c r="I1334" s="46"/>
      <c r="J1334" s="46"/>
      <c r="K1334" s="46"/>
      <c r="L1334" s="46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</row>
    <row r="1335" ht="22.5" customHeight="1">
      <c r="A1335" s="11">
        <v>1333.0</v>
      </c>
      <c r="B1335" s="20">
        <v>65.0</v>
      </c>
      <c r="C1335" s="13" t="s">
        <v>11587</v>
      </c>
      <c r="D1335" s="13" t="s">
        <v>11588</v>
      </c>
      <c r="E1335" s="13" t="s">
        <v>11589</v>
      </c>
      <c r="F1335" s="14" t="s">
        <v>18</v>
      </c>
      <c r="G1335" s="15"/>
      <c r="H1335" s="46"/>
      <c r="I1335" s="46"/>
      <c r="J1335" s="46"/>
      <c r="K1335" s="46"/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</row>
    <row r="1336" ht="22.5" customHeight="1">
      <c r="A1336" s="17">
        <v>1334.0</v>
      </c>
      <c r="B1336" s="20">
        <v>65.0</v>
      </c>
      <c r="C1336" s="13" t="s">
        <v>11590</v>
      </c>
      <c r="D1336" s="13" t="s">
        <v>11591</v>
      </c>
      <c r="E1336" s="13" t="s">
        <v>11592</v>
      </c>
      <c r="F1336" s="15"/>
      <c r="G1336" s="15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</row>
    <row r="1337" ht="22.5" customHeight="1">
      <c r="A1337" s="11">
        <v>1335.0</v>
      </c>
      <c r="B1337" s="20">
        <v>65.0</v>
      </c>
      <c r="C1337" s="13" t="s">
        <v>4968</v>
      </c>
      <c r="D1337" s="13" t="s">
        <v>1491</v>
      </c>
      <c r="E1337" s="13" t="s">
        <v>2814</v>
      </c>
      <c r="F1337" s="14" t="s">
        <v>18</v>
      </c>
      <c r="G1337" s="15"/>
      <c r="H1337" s="46"/>
      <c r="I1337" s="46"/>
      <c r="J1337" s="46"/>
      <c r="K1337" s="46"/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</row>
    <row r="1338" ht="22.5" customHeight="1">
      <c r="A1338" s="17">
        <v>1336.0</v>
      </c>
      <c r="B1338" s="20">
        <v>65.0</v>
      </c>
      <c r="C1338" s="13" t="s">
        <v>10226</v>
      </c>
      <c r="D1338" s="13" t="s">
        <v>10227</v>
      </c>
      <c r="E1338" s="13" t="s">
        <v>10228</v>
      </c>
      <c r="F1338" s="15"/>
      <c r="G1338" s="15"/>
      <c r="H1338" s="46"/>
      <c r="I1338" s="46"/>
      <c r="J1338" s="46"/>
      <c r="K1338" s="46"/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</row>
    <row r="1339" ht="22.5" customHeight="1">
      <c r="A1339" s="11">
        <v>1337.0</v>
      </c>
      <c r="B1339" s="20">
        <v>65.0</v>
      </c>
      <c r="C1339" s="13" t="s">
        <v>4775</v>
      </c>
      <c r="D1339" s="13" t="s">
        <v>4774</v>
      </c>
      <c r="E1339" s="13" t="s">
        <v>11593</v>
      </c>
      <c r="F1339" s="14" t="s">
        <v>18</v>
      </c>
      <c r="G1339" s="15"/>
      <c r="H1339" s="46"/>
      <c r="I1339" s="46"/>
      <c r="J1339" s="46"/>
      <c r="K1339" s="46"/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</row>
    <row r="1340" ht="22.5" customHeight="1">
      <c r="A1340" s="17">
        <v>1338.0</v>
      </c>
      <c r="B1340" s="20">
        <v>65.0</v>
      </c>
      <c r="C1340" s="13" t="s">
        <v>11594</v>
      </c>
      <c r="D1340" s="13" t="s">
        <v>11595</v>
      </c>
      <c r="E1340" s="13" t="s">
        <v>11596</v>
      </c>
      <c r="F1340" s="15"/>
      <c r="G1340" s="15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</row>
    <row r="1341" ht="22.5" customHeight="1">
      <c r="A1341" s="11">
        <v>1339.0</v>
      </c>
      <c r="B1341" s="20">
        <v>65.0</v>
      </c>
      <c r="C1341" s="13" t="s">
        <v>11597</v>
      </c>
      <c r="D1341" s="13" t="s">
        <v>11598</v>
      </c>
      <c r="E1341" s="13" t="s">
        <v>11599</v>
      </c>
      <c r="F1341" s="14" t="s">
        <v>18</v>
      </c>
      <c r="G1341" s="15"/>
      <c r="H1341" s="46"/>
      <c r="I1341" s="46"/>
      <c r="J1341" s="46"/>
      <c r="K1341" s="46"/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</row>
    <row r="1342" ht="22.5" customHeight="1">
      <c r="A1342" s="17">
        <v>1340.0</v>
      </c>
      <c r="B1342" s="20">
        <v>65.0</v>
      </c>
      <c r="C1342" s="13" t="s">
        <v>11600</v>
      </c>
      <c r="D1342" s="13" t="s">
        <v>11601</v>
      </c>
      <c r="E1342" s="13" t="s">
        <v>11602</v>
      </c>
      <c r="F1342" s="14" t="s">
        <v>18</v>
      </c>
      <c r="G1342" s="15"/>
      <c r="H1342" s="46"/>
      <c r="I1342" s="46"/>
      <c r="J1342" s="46"/>
      <c r="K1342" s="46"/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</row>
    <row r="1343" ht="22.5" customHeight="1">
      <c r="A1343" s="11">
        <v>1341.0</v>
      </c>
      <c r="B1343" s="20">
        <v>65.0</v>
      </c>
      <c r="C1343" s="13" t="s">
        <v>11603</v>
      </c>
      <c r="D1343" s="13" t="s">
        <v>11604</v>
      </c>
      <c r="E1343" s="13" t="s">
        <v>11605</v>
      </c>
      <c r="F1343" s="14" t="s">
        <v>18</v>
      </c>
      <c r="G1343" s="15"/>
      <c r="H1343" s="46"/>
      <c r="I1343" s="46"/>
      <c r="J1343" s="46"/>
      <c r="K1343" s="46"/>
      <c r="L1343" s="46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</row>
    <row r="1344" ht="22.5" customHeight="1">
      <c r="A1344" s="17">
        <v>1342.0</v>
      </c>
      <c r="B1344" s="20">
        <v>65.0</v>
      </c>
      <c r="C1344" s="13" t="s">
        <v>11606</v>
      </c>
      <c r="D1344" s="13" t="s">
        <v>11607</v>
      </c>
      <c r="E1344" s="13" t="s">
        <v>11608</v>
      </c>
      <c r="F1344" s="14" t="s">
        <v>18</v>
      </c>
      <c r="G1344" s="15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</row>
    <row r="1345" ht="22.5" customHeight="1">
      <c r="A1345" s="11">
        <v>1343.0</v>
      </c>
      <c r="B1345" s="20">
        <v>65.0</v>
      </c>
      <c r="C1345" s="13" t="s">
        <v>9130</v>
      </c>
      <c r="D1345" s="13" t="s">
        <v>9131</v>
      </c>
      <c r="E1345" s="13" t="s">
        <v>11609</v>
      </c>
      <c r="F1345" s="15"/>
      <c r="G1345" s="15"/>
      <c r="H1345" s="46"/>
      <c r="I1345" s="46"/>
      <c r="J1345" s="46"/>
      <c r="K1345" s="46"/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</row>
    <row r="1346" ht="22.5" customHeight="1">
      <c r="A1346" s="17">
        <v>1344.0</v>
      </c>
      <c r="B1346" s="20">
        <v>65.0</v>
      </c>
      <c r="C1346" s="13" t="s">
        <v>11610</v>
      </c>
      <c r="D1346" s="13" t="s">
        <v>11611</v>
      </c>
      <c r="E1346" s="13" t="s">
        <v>11612</v>
      </c>
      <c r="F1346" s="15"/>
      <c r="G1346" s="15"/>
      <c r="H1346" s="46"/>
      <c r="I1346" s="46"/>
      <c r="J1346" s="46"/>
      <c r="K1346" s="46"/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</row>
    <row r="1347" ht="22.5" customHeight="1">
      <c r="A1347" s="11">
        <v>1345.0</v>
      </c>
      <c r="B1347" s="20">
        <v>65.0</v>
      </c>
      <c r="C1347" s="13" t="s">
        <v>10768</v>
      </c>
      <c r="D1347" s="13" t="s">
        <v>10769</v>
      </c>
      <c r="E1347" s="13" t="s">
        <v>10770</v>
      </c>
      <c r="F1347" s="15"/>
      <c r="G1347" s="15"/>
      <c r="H1347" s="46"/>
      <c r="I1347" s="46"/>
      <c r="J1347" s="46"/>
      <c r="K1347" s="46"/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</row>
    <row r="1348" ht="22.5" customHeight="1">
      <c r="A1348" s="17">
        <v>1346.0</v>
      </c>
      <c r="B1348" s="20">
        <v>65.0</v>
      </c>
      <c r="C1348" s="13" t="s">
        <v>11613</v>
      </c>
      <c r="D1348" s="13" t="s">
        <v>11614</v>
      </c>
      <c r="E1348" s="13" t="s">
        <v>11615</v>
      </c>
      <c r="F1348" s="14" t="s">
        <v>18</v>
      </c>
      <c r="G1348" s="15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</row>
    <row r="1349" ht="22.5" customHeight="1">
      <c r="A1349" s="11">
        <v>1347.0</v>
      </c>
      <c r="B1349" s="20">
        <v>65.0</v>
      </c>
      <c r="C1349" s="13" t="s">
        <v>9326</v>
      </c>
      <c r="D1349" s="13" t="s">
        <v>9327</v>
      </c>
      <c r="E1349" s="13" t="s">
        <v>11616</v>
      </c>
      <c r="F1349" s="15"/>
      <c r="G1349" s="15"/>
      <c r="H1349" s="46"/>
      <c r="I1349" s="46"/>
      <c r="J1349" s="46"/>
      <c r="K1349" s="46"/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</row>
    <row r="1350" ht="22.5" customHeight="1">
      <c r="A1350" s="17">
        <v>1348.0</v>
      </c>
      <c r="B1350" s="20">
        <v>65.0</v>
      </c>
      <c r="C1350" s="13" t="s">
        <v>9500</v>
      </c>
      <c r="D1350" s="13" t="s">
        <v>9501</v>
      </c>
      <c r="E1350" s="13" t="s">
        <v>9502</v>
      </c>
      <c r="F1350" s="15"/>
      <c r="G1350" s="15"/>
      <c r="H1350" s="46"/>
      <c r="I1350" s="46"/>
      <c r="J1350" s="46"/>
      <c r="K1350" s="46"/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</row>
    <row r="1351" ht="22.5" customHeight="1">
      <c r="A1351" s="11">
        <v>1349.0</v>
      </c>
      <c r="B1351" s="20">
        <v>65.0</v>
      </c>
      <c r="C1351" s="13" t="s">
        <v>11617</v>
      </c>
      <c r="D1351" s="13" t="s">
        <v>11618</v>
      </c>
      <c r="E1351" s="13" t="s">
        <v>11619</v>
      </c>
      <c r="F1351" s="14" t="s">
        <v>18</v>
      </c>
      <c r="G1351" s="15"/>
      <c r="H1351" s="46"/>
      <c r="I1351" s="46"/>
      <c r="J1351" s="46"/>
      <c r="K1351" s="46"/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</row>
    <row r="1352" ht="22.5" customHeight="1">
      <c r="A1352" s="17">
        <v>1350.0</v>
      </c>
      <c r="B1352" s="20">
        <v>64.0</v>
      </c>
      <c r="C1352" s="13" t="s">
        <v>11620</v>
      </c>
      <c r="D1352" s="13" t="s">
        <v>11621</v>
      </c>
      <c r="E1352" s="13" t="s">
        <v>11622</v>
      </c>
      <c r="F1352" s="15"/>
      <c r="G1352" s="15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</row>
    <row r="1353" ht="22.5" customHeight="1">
      <c r="A1353" s="11">
        <v>1351.0</v>
      </c>
      <c r="B1353" s="20">
        <v>64.0</v>
      </c>
      <c r="C1353" s="13" t="s">
        <v>8978</v>
      </c>
      <c r="D1353" s="13" t="s">
        <v>8979</v>
      </c>
      <c r="E1353" s="13" t="s">
        <v>11623</v>
      </c>
      <c r="F1353" s="15"/>
      <c r="G1353" s="15"/>
      <c r="H1353" s="46"/>
      <c r="I1353" s="46"/>
      <c r="J1353" s="46"/>
      <c r="K1353" s="46"/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  <c r="Y1353" s="46"/>
      <c r="Z1353" s="46"/>
    </row>
    <row r="1354" ht="22.5" customHeight="1">
      <c r="A1354" s="17">
        <v>1352.0</v>
      </c>
      <c r="B1354" s="20">
        <v>64.0</v>
      </c>
      <c r="C1354" s="13" t="s">
        <v>11624</v>
      </c>
      <c r="D1354" s="13" t="s">
        <v>11625</v>
      </c>
      <c r="E1354" s="13" t="s">
        <v>11626</v>
      </c>
      <c r="F1354" s="15"/>
      <c r="G1354" s="15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</row>
    <row r="1355" ht="22.5" customHeight="1">
      <c r="A1355" s="11">
        <v>1353.0</v>
      </c>
      <c r="B1355" s="20">
        <v>64.0</v>
      </c>
      <c r="C1355" s="13" t="s">
        <v>11627</v>
      </c>
      <c r="D1355" s="13" t="s">
        <v>11628</v>
      </c>
      <c r="E1355" s="13" t="s">
        <v>11629</v>
      </c>
      <c r="F1355" s="15"/>
      <c r="G1355" s="15"/>
      <c r="H1355" s="46"/>
      <c r="I1355" s="46"/>
      <c r="J1355" s="46"/>
      <c r="K1355" s="46"/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</row>
    <row r="1356" ht="22.5" customHeight="1">
      <c r="A1356" s="17">
        <v>1354.0</v>
      </c>
      <c r="B1356" s="20">
        <v>64.0</v>
      </c>
      <c r="C1356" s="13" t="s">
        <v>11630</v>
      </c>
      <c r="D1356" s="13" t="s">
        <v>11631</v>
      </c>
      <c r="E1356" s="13" t="s">
        <v>11632</v>
      </c>
      <c r="F1356" s="14" t="s">
        <v>18</v>
      </c>
      <c r="G1356" s="15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</row>
    <row r="1357" ht="22.5" customHeight="1">
      <c r="A1357" s="11">
        <v>1355.0</v>
      </c>
      <c r="B1357" s="20">
        <v>64.0</v>
      </c>
      <c r="C1357" s="13" t="s">
        <v>11633</v>
      </c>
      <c r="D1357" s="13" t="s">
        <v>11634</v>
      </c>
      <c r="E1357" s="13" t="s">
        <v>11635</v>
      </c>
      <c r="F1357" s="15"/>
      <c r="G1357" s="15"/>
      <c r="H1357" s="46"/>
      <c r="I1357" s="46"/>
      <c r="J1357" s="46"/>
      <c r="K1357" s="46"/>
      <c r="L1357" s="46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  <c r="Y1357" s="46"/>
      <c r="Z1357" s="46"/>
    </row>
    <row r="1358" ht="22.5" customHeight="1">
      <c r="A1358" s="17">
        <v>1356.0</v>
      </c>
      <c r="B1358" s="20">
        <v>64.0</v>
      </c>
      <c r="C1358" s="13" t="s">
        <v>11636</v>
      </c>
      <c r="D1358" s="13" t="s">
        <v>11637</v>
      </c>
      <c r="E1358" s="13" t="s">
        <v>11638</v>
      </c>
      <c r="F1358" s="14" t="s">
        <v>18</v>
      </c>
      <c r="G1358" s="15"/>
      <c r="H1358" s="46"/>
      <c r="I1358" s="46"/>
      <c r="J1358" s="46"/>
      <c r="K1358" s="46"/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  <c r="Y1358" s="46"/>
      <c r="Z1358" s="46"/>
    </row>
    <row r="1359" ht="22.5" customHeight="1">
      <c r="A1359" s="11">
        <v>1357.0</v>
      </c>
      <c r="B1359" s="20">
        <v>64.0</v>
      </c>
      <c r="C1359" s="13" t="s">
        <v>11639</v>
      </c>
      <c r="D1359" s="13" t="s">
        <v>11640</v>
      </c>
      <c r="E1359" s="13" t="s">
        <v>11641</v>
      </c>
      <c r="F1359" s="14" t="s">
        <v>18</v>
      </c>
      <c r="G1359" s="15"/>
      <c r="H1359" s="46"/>
      <c r="I1359" s="46"/>
      <c r="J1359" s="46"/>
      <c r="K1359" s="46"/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</row>
    <row r="1360" ht="22.5" customHeight="1">
      <c r="A1360" s="17">
        <v>1358.0</v>
      </c>
      <c r="B1360" s="20">
        <v>64.0</v>
      </c>
      <c r="C1360" s="13" t="s">
        <v>11642</v>
      </c>
      <c r="D1360" s="13" t="s">
        <v>3254</v>
      </c>
      <c r="E1360" s="13" t="s">
        <v>3255</v>
      </c>
      <c r="F1360" s="14" t="s">
        <v>18</v>
      </c>
      <c r="G1360" s="15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  <c r="Y1360" s="46"/>
      <c r="Z1360" s="46"/>
    </row>
    <row r="1361" ht="22.5" customHeight="1">
      <c r="A1361" s="11">
        <v>1359.0</v>
      </c>
      <c r="B1361" s="20">
        <v>64.0</v>
      </c>
      <c r="C1361" s="13" t="s">
        <v>4475</v>
      </c>
      <c r="D1361" s="13" t="s">
        <v>4474</v>
      </c>
      <c r="E1361" s="13" t="s">
        <v>10281</v>
      </c>
      <c r="F1361" s="15"/>
      <c r="G1361" s="15"/>
      <c r="H1361" s="46"/>
      <c r="I1361" s="46"/>
      <c r="J1361" s="46"/>
      <c r="K1361" s="46"/>
      <c r="L1361" s="46"/>
      <c r="M1361" s="46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  <c r="X1361" s="46"/>
      <c r="Y1361" s="46"/>
      <c r="Z1361" s="46"/>
    </row>
    <row r="1362" ht="22.5" customHeight="1">
      <c r="A1362" s="17">
        <v>1360.0</v>
      </c>
      <c r="B1362" s="20">
        <v>64.0</v>
      </c>
      <c r="C1362" s="13" t="s">
        <v>4856</v>
      </c>
      <c r="D1362" s="13" t="s">
        <v>4855</v>
      </c>
      <c r="E1362" s="13" t="s">
        <v>9614</v>
      </c>
      <c r="F1362" s="15"/>
      <c r="G1362" s="15"/>
      <c r="H1362" s="46"/>
      <c r="I1362" s="46"/>
      <c r="J1362" s="46"/>
      <c r="K1362" s="46"/>
      <c r="L1362" s="46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  <c r="Y1362" s="46"/>
      <c r="Z1362" s="46"/>
    </row>
    <row r="1363" ht="22.5" customHeight="1">
      <c r="A1363" s="11">
        <v>1361.0</v>
      </c>
      <c r="B1363" s="20">
        <v>64.0</v>
      </c>
      <c r="C1363" s="13" t="s">
        <v>11643</v>
      </c>
      <c r="D1363" s="13" t="s">
        <v>11644</v>
      </c>
      <c r="E1363" s="13" t="s">
        <v>11645</v>
      </c>
      <c r="F1363" s="14" t="s">
        <v>18</v>
      </c>
      <c r="G1363" s="15"/>
      <c r="H1363" s="46"/>
      <c r="I1363" s="46"/>
      <c r="J1363" s="46"/>
      <c r="K1363" s="46"/>
      <c r="L1363" s="46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</row>
    <row r="1364" ht="22.5" customHeight="1">
      <c r="A1364" s="17">
        <v>1362.0</v>
      </c>
      <c r="B1364" s="20">
        <v>64.0</v>
      </c>
      <c r="C1364" s="13" t="s">
        <v>9890</v>
      </c>
      <c r="D1364" s="13" t="s">
        <v>9891</v>
      </c>
      <c r="E1364" s="13" t="s">
        <v>11646</v>
      </c>
      <c r="F1364" s="15"/>
      <c r="G1364" s="15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  <c r="Y1364" s="46"/>
      <c r="Z1364" s="46"/>
    </row>
    <row r="1365" ht="22.5" customHeight="1">
      <c r="A1365" s="11">
        <v>1363.0</v>
      </c>
      <c r="B1365" s="20">
        <v>64.0</v>
      </c>
      <c r="C1365" s="13" t="s">
        <v>11647</v>
      </c>
      <c r="D1365" s="13" t="s">
        <v>11648</v>
      </c>
      <c r="E1365" s="13" t="s">
        <v>11649</v>
      </c>
      <c r="F1365" s="14" t="s">
        <v>18</v>
      </c>
      <c r="G1365" s="15"/>
      <c r="H1365" s="46"/>
      <c r="I1365" s="46"/>
      <c r="J1365" s="46"/>
      <c r="K1365" s="46"/>
      <c r="L1365" s="46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</row>
    <row r="1366" ht="22.5" customHeight="1">
      <c r="A1366" s="17">
        <v>1364.0</v>
      </c>
      <c r="B1366" s="20">
        <v>64.0</v>
      </c>
      <c r="C1366" s="13" t="s">
        <v>11650</v>
      </c>
      <c r="D1366" s="13" t="s">
        <v>11651</v>
      </c>
      <c r="E1366" s="13" t="s">
        <v>11652</v>
      </c>
      <c r="F1366" s="14" t="s">
        <v>18</v>
      </c>
      <c r="G1366" s="15"/>
      <c r="H1366" s="46"/>
      <c r="I1366" s="46"/>
      <c r="J1366" s="46"/>
      <c r="K1366" s="46"/>
      <c r="L1366" s="46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  <c r="Y1366" s="46"/>
      <c r="Z1366" s="46"/>
    </row>
    <row r="1367" ht="22.5" customHeight="1">
      <c r="A1367" s="11">
        <v>1365.0</v>
      </c>
      <c r="B1367" s="20">
        <v>64.0</v>
      </c>
      <c r="C1367" s="13" t="s">
        <v>11653</v>
      </c>
      <c r="D1367" s="13" t="s">
        <v>11654</v>
      </c>
      <c r="E1367" s="13" t="s">
        <v>11655</v>
      </c>
      <c r="F1367" s="14" t="s">
        <v>18</v>
      </c>
      <c r="G1367" s="15"/>
      <c r="H1367" s="46"/>
      <c r="I1367" s="46"/>
      <c r="J1367" s="46"/>
      <c r="K1367" s="46"/>
      <c r="L1367" s="46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</row>
    <row r="1368" ht="22.5" customHeight="1">
      <c r="A1368" s="17">
        <v>1366.0</v>
      </c>
      <c r="B1368" s="20">
        <v>64.0</v>
      </c>
      <c r="C1368" s="13" t="s">
        <v>10584</v>
      </c>
      <c r="D1368" s="13" t="s">
        <v>10585</v>
      </c>
      <c r="E1368" s="13" t="s">
        <v>10586</v>
      </c>
      <c r="F1368" s="14" t="s">
        <v>18</v>
      </c>
      <c r="G1368" s="15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</row>
    <row r="1369" ht="22.5" customHeight="1">
      <c r="A1369" s="11">
        <v>1367.0</v>
      </c>
      <c r="B1369" s="20">
        <v>64.0</v>
      </c>
      <c r="C1369" s="13" t="s">
        <v>8795</v>
      </c>
      <c r="D1369" s="13" t="s">
        <v>4259</v>
      </c>
      <c r="E1369" s="13" t="s">
        <v>4260</v>
      </c>
      <c r="F1369" s="15"/>
      <c r="G1369" s="15"/>
      <c r="H1369" s="46"/>
      <c r="I1369" s="46"/>
      <c r="J1369" s="46"/>
      <c r="K1369" s="46"/>
      <c r="L1369" s="46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/>
    </row>
    <row r="1370" ht="22.5" customHeight="1">
      <c r="A1370" s="17">
        <v>1368.0</v>
      </c>
      <c r="B1370" s="20">
        <v>64.0</v>
      </c>
      <c r="C1370" s="13" t="s">
        <v>11656</v>
      </c>
      <c r="D1370" s="13" t="s">
        <v>11657</v>
      </c>
      <c r="E1370" s="13" t="s">
        <v>11658</v>
      </c>
      <c r="F1370" s="14" t="s">
        <v>18</v>
      </c>
      <c r="G1370" s="15"/>
      <c r="H1370" s="46"/>
      <c r="I1370" s="46"/>
      <c r="J1370" s="46"/>
      <c r="K1370" s="46"/>
      <c r="L1370" s="46"/>
      <c r="M1370" s="46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  <c r="X1370" s="46"/>
      <c r="Y1370" s="46"/>
      <c r="Z1370" s="46"/>
    </row>
    <row r="1371" ht="22.5" customHeight="1">
      <c r="A1371" s="11">
        <v>1369.0</v>
      </c>
      <c r="B1371" s="20">
        <v>64.0</v>
      </c>
      <c r="C1371" s="13" t="s">
        <v>11659</v>
      </c>
      <c r="D1371" s="13" t="s">
        <v>11660</v>
      </c>
      <c r="E1371" s="13" t="s">
        <v>11661</v>
      </c>
      <c r="F1371" s="15"/>
      <c r="G1371" s="15"/>
      <c r="H1371" s="46"/>
      <c r="I1371" s="46"/>
      <c r="J1371" s="46"/>
      <c r="K1371" s="46"/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  <c r="Y1371" s="46"/>
      <c r="Z1371" s="46"/>
    </row>
    <row r="1372" ht="22.5" customHeight="1">
      <c r="A1372" s="17">
        <v>1370.0</v>
      </c>
      <c r="B1372" s="20">
        <v>64.0</v>
      </c>
      <c r="C1372" s="13" t="s">
        <v>9539</v>
      </c>
      <c r="D1372" s="13" t="s">
        <v>9540</v>
      </c>
      <c r="E1372" s="13" t="s">
        <v>9541</v>
      </c>
      <c r="F1372" s="15"/>
      <c r="G1372" s="15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</row>
    <row r="1373" ht="22.5" customHeight="1">
      <c r="A1373" s="11">
        <v>1371.0</v>
      </c>
      <c r="B1373" s="20">
        <v>64.0</v>
      </c>
      <c r="C1373" s="13" t="s">
        <v>11662</v>
      </c>
      <c r="D1373" s="13" t="s">
        <v>11663</v>
      </c>
      <c r="E1373" s="13" t="s">
        <v>11664</v>
      </c>
      <c r="F1373" s="15"/>
      <c r="G1373" s="15"/>
      <c r="H1373" s="46"/>
      <c r="I1373" s="46"/>
      <c r="J1373" s="46"/>
      <c r="K1373" s="46"/>
      <c r="L1373" s="46"/>
      <c r="M1373" s="46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  <c r="X1373" s="46"/>
      <c r="Y1373" s="46"/>
      <c r="Z1373" s="46"/>
    </row>
    <row r="1374" ht="22.5" customHeight="1">
      <c r="A1374" s="17">
        <v>1372.0</v>
      </c>
      <c r="B1374" s="20">
        <v>64.0</v>
      </c>
      <c r="C1374" s="13" t="s">
        <v>11665</v>
      </c>
      <c r="D1374" s="13" t="s">
        <v>11666</v>
      </c>
      <c r="E1374" s="13" t="s">
        <v>11667</v>
      </c>
      <c r="F1374" s="14" t="s">
        <v>18</v>
      </c>
      <c r="G1374" s="15"/>
      <c r="H1374" s="46"/>
      <c r="I1374" s="46"/>
      <c r="J1374" s="46"/>
      <c r="K1374" s="46"/>
      <c r="L1374" s="46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  <c r="Y1374" s="46"/>
      <c r="Z1374" s="46"/>
    </row>
    <row r="1375" ht="22.5" customHeight="1">
      <c r="A1375" s="11">
        <v>1373.0</v>
      </c>
      <c r="B1375" s="20">
        <v>64.0</v>
      </c>
      <c r="C1375" s="13" t="s">
        <v>10392</v>
      </c>
      <c r="D1375" s="13" t="s">
        <v>10393</v>
      </c>
      <c r="E1375" s="13" t="s">
        <v>10394</v>
      </c>
      <c r="F1375" s="15"/>
      <c r="G1375" s="15"/>
      <c r="H1375" s="46"/>
      <c r="I1375" s="46"/>
      <c r="J1375" s="46"/>
      <c r="K1375" s="46"/>
      <c r="L1375" s="46"/>
      <c r="M1375" s="46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  <c r="X1375" s="46"/>
      <c r="Y1375" s="46"/>
      <c r="Z1375" s="46"/>
    </row>
    <row r="1376" ht="22.5" customHeight="1">
      <c r="A1376" s="17">
        <v>1374.0</v>
      </c>
      <c r="B1376" s="20">
        <v>64.0</v>
      </c>
      <c r="C1376" s="13" t="s">
        <v>5909</v>
      </c>
      <c r="D1376" s="13" t="s">
        <v>5906</v>
      </c>
      <c r="E1376" s="13" t="s">
        <v>11668</v>
      </c>
      <c r="F1376" s="15"/>
      <c r="G1376" s="15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46"/>
      <c r="Y1376" s="46"/>
      <c r="Z1376" s="46"/>
    </row>
    <row r="1377" ht="22.5" customHeight="1">
      <c r="A1377" s="11">
        <v>1375.0</v>
      </c>
      <c r="B1377" s="20">
        <v>64.0</v>
      </c>
      <c r="C1377" s="13" t="s">
        <v>11669</v>
      </c>
      <c r="D1377" s="13" t="s">
        <v>11670</v>
      </c>
      <c r="E1377" s="13" t="s">
        <v>11671</v>
      </c>
      <c r="F1377" s="15"/>
      <c r="G1377" s="15"/>
      <c r="H1377" s="46"/>
      <c r="I1377" s="46"/>
      <c r="J1377" s="46"/>
      <c r="K1377" s="46"/>
      <c r="L1377" s="46"/>
      <c r="M1377" s="46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46"/>
      <c r="Y1377" s="46"/>
      <c r="Z1377" s="46"/>
    </row>
    <row r="1378" ht="22.5" customHeight="1">
      <c r="A1378" s="17">
        <v>1376.0</v>
      </c>
      <c r="B1378" s="20">
        <v>64.0</v>
      </c>
      <c r="C1378" s="13" t="s">
        <v>5884</v>
      </c>
      <c r="D1378" s="13" t="s">
        <v>5881</v>
      </c>
      <c r="E1378" s="13" t="s">
        <v>11672</v>
      </c>
      <c r="F1378" s="14" t="s">
        <v>18</v>
      </c>
      <c r="G1378" s="15"/>
      <c r="H1378" s="46"/>
      <c r="I1378" s="46"/>
      <c r="J1378" s="46"/>
      <c r="K1378" s="46"/>
      <c r="L1378" s="46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</row>
    <row r="1379" ht="22.5" customHeight="1">
      <c r="A1379" s="11">
        <v>1377.0</v>
      </c>
      <c r="B1379" s="20">
        <v>64.0</v>
      </c>
      <c r="C1379" s="13" t="s">
        <v>11673</v>
      </c>
      <c r="D1379" s="13" t="s">
        <v>11674</v>
      </c>
      <c r="E1379" s="13" t="s">
        <v>11675</v>
      </c>
      <c r="F1379" s="14" t="s">
        <v>18</v>
      </c>
      <c r="G1379" s="15"/>
      <c r="H1379" s="46"/>
      <c r="I1379" s="46"/>
      <c r="J1379" s="46"/>
      <c r="K1379" s="46"/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</row>
    <row r="1380" ht="22.5" customHeight="1">
      <c r="A1380" s="17">
        <v>1378.0</v>
      </c>
      <c r="B1380" s="20">
        <v>64.0</v>
      </c>
      <c r="C1380" s="13" t="s">
        <v>11676</v>
      </c>
      <c r="D1380" s="13" t="s">
        <v>11677</v>
      </c>
      <c r="E1380" s="13" t="s">
        <v>11678</v>
      </c>
      <c r="F1380" s="14" t="s">
        <v>18</v>
      </c>
      <c r="G1380" s="15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</row>
    <row r="1381" ht="22.5" customHeight="1">
      <c r="A1381" s="11">
        <v>1379.0</v>
      </c>
      <c r="B1381" s="20">
        <v>64.0</v>
      </c>
      <c r="C1381" s="13" t="s">
        <v>4803</v>
      </c>
      <c r="D1381" s="13" t="s">
        <v>11679</v>
      </c>
      <c r="E1381" s="13" t="s">
        <v>11680</v>
      </c>
      <c r="F1381" s="14" t="s">
        <v>18</v>
      </c>
      <c r="G1381" s="15"/>
      <c r="H1381" s="46"/>
      <c r="I1381" s="46"/>
      <c r="J1381" s="46"/>
      <c r="K1381" s="46"/>
      <c r="L1381" s="46"/>
      <c r="M1381" s="46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46"/>
      <c r="Y1381" s="46"/>
      <c r="Z1381" s="46"/>
    </row>
    <row r="1382" ht="22.5" customHeight="1">
      <c r="A1382" s="17">
        <v>1380.0</v>
      </c>
      <c r="B1382" s="20">
        <v>63.0</v>
      </c>
      <c r="C1382" s="13" t="s">
        <v>11444</v>
      </c>
      <c r="D1382" s="13" t="s">
        <v>11445</v>
      </c>
      <c r="E1382" s="13" t="s">
        <v>11446</v>
      </c>
      <c r="F1382" s="15"/>
      <c r="G1382" s="15"/>
      <c r="H1382" s="46"/>
      <c r="I1382" s="46"/>
      <c r="J1382" s="46"/>
      <c r="K1382" s="46"/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</row>
    <row r="1383" ht="22.5" customHeight="1">
      <c r="A1383" s="11">
        <v>1381.0</v>
      </c>
      <c r="B1383" s="20">
        <v>63.0</v>
      </c>
      <c r="C1383" s="13" t="s">
        <v>11681</v>
      </c>
      <c r="D1383" s="13" t="s">
        <v>2309</v>
      </c>
      <c r="E1383" s="13" t="s">
        <v>2310</v>
      </c>
      <c r="F1383" s="14" t="s">
        <v>18</v>
      </c>
      <c r="G1383" s="15"/>
      <c r="H1383" s="46"/>
      <c r="I1383" s="46"/>
      <c r="J1383" s="46"/>
      <c r="K1383" s="46"/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</row>
    <row r="1384" ht="22.5" customHeight="1">
      <c r="A1384" s="17">
        <v>1382.0</v>
      </c>
      <c r="B1384" s="20">
        <v>63.0</v>
      </c>
      <c r="C1384" s="13" t="s">
        <v>11682</v>
      </c>
      <c r="D1384" s="13" t="s">
        <v>11683</v>
      </c>
      <c r="E1384" s="13" t="s">
        <v>11684</v>
      </c>
      <c r="F1384" s="14" t="s">
        <v>18</v>
      </c>
      <c r="G1384" s="15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</row>
    <row r="1385" ht="22.5" customHeight="1">
      <c r="A1385" s="11">
        <v>1383.0</v>
      </c>
      <c r="B1385" s="20">
        <v>63.0</v>
      </c>
      <c r="C1385" s="13" t="s">
        <v>11685</v>
      </c>
      <c r="D1385" s="13" t="s">
        <v>11686</v>
      </c>
      <c r="E1385" s="13" t="s">
        <v>11687</v>
      </c>
      <c r="F1385" s="14" t="s">
        <v>18</v>
      </c>
      <c r="G1385" s="15"/>
      <c r="H1385" s="46"/>
      <c r="I1385" s="46"/>
      <c r="J1385" s="46"/>
      <c r="K1385" s="46"/>
      <c r="L1385" s="46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</row>
    <row r="1386" ht="22.5" customHeight="1">
      <c r="A1386" s="17">
        <v>1384.0</v>
      </c>
      <c r="B1386" s="20">
        <v>63.0</v>
      </c>
      <c r="C1386" s="13" t="s">
        <v>9384</v>
      </c>
      <c r="D1386" s="13" t="s">
        <v>9385</v>
      </c>
      <c r="E1386" s="13" t="s">
        <v>11688</v>
      </c>
      <c r="F1386" s="15"/>
      <c r="G1386" s="15"/>
      <c r="H1386" s="46"/>
      <c r="I1386" s="46"/>
      <c r="J1386" s="46"/>
      <c r="K1386" s="46"/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</row>
    <row r="1387" ht="22.5" customHeight="1">
      <c r="A1387" s="11">
        <v>1385.0</v>
      </c>
      <c r="B1387" s="20">
        <v>63.0</v>
      </c>
      <c r="C1387" s="13" t="s">
        <v>11689</v>
      </c>
      <c r="D1387" s="13" t="s">
        <v>11690</v>
      </c>
      <c r="E1387" s="13" t="s">
        <v>11691</v>
      </c>
      <c r="F1387" s="14" t="s">
        <v>18</v>
      </c>
      <c r="G1387" s="15"/>
      <c r="H1387" s="46"/>
      <c r="I1387" s="46"/>
      <c r="J1387" s="46"/>
      <c r="K1387" s="46"/>
      <c r="L1387" s="46"/>
      <c r="M1387" s="46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  <c r="X1387" s="46"/>
      <c r="Y1387" s="46"/>
      <c r="Z1387" s="46"/>
    </row>
    <row r="1388" ht="22.5" customHeight="1">
      <c r="A1388" s="17">
        <v>1386.0</v>
      </c>
      <c r="B1388" s="20">
        <v>63.0</v>
      </c>
      <c r="C1388" s="13" t="s">
        <v>11692</v>
      </c>
      <c r="D1388" s="13" t="s">
        <v>11693</v>
      </c>
      <c r="E1388" s="13" t="s">
        <v>11694</v>
      </c>
      <c r="F1388" s="14" t="s">
        <v>18</v>
      </c>
      <c r="G1388" s="15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</row>
    <row r="1389" ht="22.5" customHeight="1">
      <c r="A1389" s="11">
        <v>1387.0</v>
      </c>
      <c r="B1389" s="20">
        <v>63.0</v>
      </c>
      <c r="C1389" s="13" t="s">
        <v>11695</v>
      </c>
      <c r="D1389" s="13" t="s">
        <v>11696</v>
      </c>
      <c r="E1389" s="13" t="s">
        <v>11697</v>
      </c>
      <c r="F1389" s="15"/>
      <c r="G1389" s="15"/>
      <c r="H1389" s="46"/>
      <c r="I1389" s="46"/>
      <c r="J1389" s="46"/>
      <c r="K1389" s="46"/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</row>
    <row r="1390" ht="22.5" customHeight="1">
      <c r="A1390" s="17">
        <v>1388.0</v>
      </c>
      <c r="B1390" s="20">
        <v>63.0</v>
      </c>
      <c r="C1390" s="13" t="s">
        <v>11698</v>
      </c>
      <c r="D1390" s="13" t="s">
        <v>11699</v>
      </c>
      <c r="E1390" s="13" t="s">
        <v>11700</v>
      </c>
      <c r="F1390" s="14" t="s">
        <v>18</v>
      </c>
      <c r="G1390" s="15"/>
      <c r="H1390" s="46"/>
      <c r="I1390" s="46"/>
      <c r="J1390" s="46"/>
      <c r="K1390" s="46"/>
      <c r="L1390" s="46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</row>
    <row r="1391" ht="22.5" customHeight="1">
      <c r="A1391" s="11">
        <v>1389.0</v>
      </c>
      <c r="B1391" s="20">
        <v>63.0</v>
      </c>
      <c r="C1391" s="13" t="s">
        <v>10637</v>
      </c>
      <c r="D1391" s="13" t="s">
        <v>10638</v>
      </c>
      <c r="E1391" s="13" t="s">
        <v>10639</v>
      </c>
      <c r="F1391" s="15"/>
      <c r="G1391" s="15"/>
      <c r="H1391" s="46"/>
      <c r="I1391" s="46"/>
      <c r="J1391" s="46"/>
      <c r="K1391" s="46"/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  <c r="Y1391" s="46"/>
      <c r="Z1391" s="46"/>
    </row>
    <row r="1392" ht="22.5" customHeight="1">
      <c r="A1392" s="17">
        <v>1390.0</v>
      </c>
      <c r="B1392" s="20">
        <v>63.0</v>
      </c>
      <c r="C1392" s="13" t="s">
        <v>5570</v>
      </c>
      <c r="D1392" s="13" t="s">
        <v>1716</v>
      </c>
      <c r="E1392" s="13" t="s">
        <v>1946</v>
      </c>
      <c r="F1392" s="14" t="s">
        <v>18</v>
      </c>
      <c r="G1392" s="15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</row>
    <row r="1393" ht="22.5" customHeight="1">
      <c r="A1393" s="11">
        <v>1391.0</v>
      </c>
      <c r="B1393" s="20">
        <v>63.0</v>
      </c>
      <c r="C1393" s="13" t="s">
        <v>11701</v>
      </c>
      <c r="D1393" s="13" t="s">
        <v>11702</v>
      </c>
      <c r="E1393" s="13" t="s">
        <v>11703</v>
      </c>
      <c r="F1393" s="14" t="s">
        <v>18</v>
      </c>
      <c r="G1393" s="15"/>
      <c r="H1393" s="46"/>
      <c r="I1393" s="46"/>
      <c r="J1393" s="46"/>
      <c r="K1393" s="46"/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</row>
    <row r="1394" ht="22.5" customHeight="1">
      <c r="A1394" s="17">
        <v>1392.0</v>
      </c>
      <c r="B1394" s="20">
        <v>63.0</v>
      </c>
      <c r="C1394" s="13" t="s">
        <v>11704</v>
      </c>
      <c r="D1394" s="13" t="s">
        <v>11705</v>
      </c>
      <c r="E1394" s="13" t="s">
        <v>11706</v>
      </c>
      <c r="F1394" s="15"/>
      <c r="G1394" s="15"/>
      <c r="H1394" s="46"/>
      <c r="I1394" s="46"/>
      <c r="J1394" s="46"/>
      <c r="K1394" s="46"/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</row>
    <row r="1395" ht="22.5" customHeight="1">
      <c r="A1395" s="11">
        <v>1393.0</v>
      </c>
      <c r="B1395" s="20">
        <v>63.0</v>
      </c>
      <c r="C1395" s="13" t="s">
        <v>10325</v>
      </c>
      <c r="D1395" s="13" t="s">
        <v>10326</v>
      </c>
      <c r="E1395" s="13" t="s">
        <v>11707</v>
      </c>
      <c r="F1395" s="15"/>
      <c r="G1395" s="15"/>
      <c r="H1395" s="46"/>
      <c r="I1395" s="46"/>
      <c r="J1395" s="46"/>
      <c r="K1395" s="46"/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</row>
    <row r="1396" ht="22.5" customHeight="1">
      <c r="A1396" s="17">
        <v>1394.0</v>
      </c>
      <c r="B1396" s="20">
        <v>63.0</v>
      </c>
      <c r="C1396" s="13" t="s">
        <v>5671</v>
      </c>
      <c r="D1396" s="13" t="s">
        <v>11708</v>
      </c>
      <c r="E1396" s="13" t="s">
        <v>11709</v>
      </c>
      <c r="F1396" s="14" t="s">
        <v>18</v>
      </c>
      <c r="G1396" s="15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  <c r="Y1396" s="46"/>
      <c r="Z1396" s="46"/>
    </row>
    <row r="1397" ht="22.5" customHeight="1">
      <c r="A1397" s="11">
        <v>1395.0</v>
      </c>
      <c r="B1397" s="20">
        <v>63.0</v>
      </c>
      <c r="C1397" s="13" t="s">
        <v>11127</v>
      </c>
      <c r="D1397" s="13" t="s">
        <v>11128</v>
      </c>
      <c r="E1397" s="13" t="s">
        <v>11710</v>
      </c>
      <c r="F1397" s="14" t="s">
        <v>18</v>
      </c>
      <c r="G1397" s="15"/>
      <c r="H1397" s="46"/>
      <c r="I1397" s="46"/>
      <c r="J1397" s="46"/>
      <c r="K1397" s="46"/>
      <c r="L1397" s="46"/>
      <c r="M1397" s="46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  <c r="X1397" s="46"/>
      <c r="Y1397" s="46"/>
      <c r="Z1397" s="46"/>
    </row>
    <row r="1398" ht="22.5" customHeight="1">
      <c r="A1398" s="17">
        <v>1396.0</v>
      </c>
      <c r="B1398" s="20">
        <v>63.0</v>
      </c>
      <c r="C1398" s="13" t="s">
        <v>11121</v>
      </c>
      <c r="D1398" s="13" t="s">
        <v>11576</v>
      </c>
      <c r="E1398" s="13" t="s">
        <v>11123</v>
      </c>
      <c r="F1398" s="15"/>
      <c r="G1398" s="15"/>
      <c r="H1398" s="46"/>
      <c r="I1398" s="46"/>
      <c r="J1398" s="46"/>
      <c r="K1398" s="46"/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</row>
    <row r="1399" ht="22.5" customHeight="1">
      <c r="A1399" s="11">
        <v>1397.0</v>
      </c>
      <c r="B1399" s="20">
        <v>63.0</v>
      </c>
      <c r="C1399" s="13" t="s">
        <v>11711</v>
      </c>
      <c r="D1399" s="13" t="s">
        <v>11712</v>
      </c>
      <c r="E1399" s="13" t="s">
        <v>11713</v>
      </c>
      <c r="F1399" s="14" t="s">
        <v>18</v>
      </c>
      <c r="G1399" s="15"/>
      <c r="H1399" s="46"/>
      <c r="I1399" s="46"/>
      <c r="J1399" s="46"/>
      <c r="K1399" s="46"/>
      <c r="L1399" s="46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</row>
    <row r="1400" ht="22.5" customHeight="1">
      <c r="A1400" s="17">
        <v>1398.0</v>
      </c>
      <c r="B1400" s="20">
        <v>63.0</v>
      </c>
      <c r="C1400" s="13" t="s">
        <v>11283</v>
      </c>
      <c r="D1400" s="13" t="s">
        <v>11284</v>
      </c>
      <c r="E1400" s="13" t="s">
        <v>11714</v>
      </c>
      <c r="F1400" s="15"/>
      <c r="G1400" s="15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</row>
    <row r="1401" ht="22.5" customHeight="1">
      <c r="A1401" s="11">
        <v>1399.0</v>
      </c>
      <c r="B1401" s="20">
        <v>63.0</v>
      </c>
      <c r="C1401" s="13" t="s">
        <v>11715</v>
      </c>
      <c r="D1401" s="13" t="s">
        <v>11716</v>
      </c>
      <c r="E1401" s="13" t="s">
        <v>11717</v>
      </c>
      <c r="F1401" s="14" t="s">
        <v>18</v>
      </c>
      <c r="G1401" s="15"/>
      <c r="H1401" s="46"/>
      <c r="I1401" s="46"/>
      <c r="J1401" s="46"/>
      <c r="K1401" s="46"/>
      <c r="L1401" s="46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/>
    </row>
    <row r="1402" ht="22.5" customHeight="1">
      <c r="A1402" s="17">
        <v>1400.0</v>
      </c>
      <c r="B1402" s="20">
        <v>63.0</v>
      </c>
      <c r="C1402" s="13" t="s">
        <v>10161</v>
      </c>
      <c r="D1402" s="13" t="s">
        <v>10162</v>
      </c>
      <c r="E1402" s="13" t="s">
        <v>10163</v>
      </c>
      <c r="F1402" s="15"/>
      <c r="G1402" s="15"/>
      <c r="H1402" s="46"/>
      <c r="I1402" s="46"/>
      <c r="J1402" s="46"/>
      <c r="K1402" s="46"/>
      <c r="L1402" s="46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  <c r="Y1402" s="46"/>
      <c r="Z1402" s="46"/>
    </row>
    <row r="1403" ht="22.5" customHeight="1">
      <c r="A1403" s="11">
        <v>1401.0</v>
      </c>
      <c r="B1403" s="20">
        <v>63.0</v>
      </c>
      <c r="C1403" s="13" t="s">
        <v>11718</v>
      </c>
      <c r="D1403" s="13" t="s">
        <v>11719</v>
      </c>
      <c r="E1403" s="13" t="s">
        <v>11720</v>
      </c>
      <c r="F1403" s="14" t="s">
        <v>18</v>
      </c>
      <c r="G1403" s="15"/>
      <c r="H1403" s="46"/>
      <c r="I1403" s="46"/>
      <c r="J1403" s="46"/>
      <c r="K1403" s="46"/>
      <c r="L1403" s="46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  <c r="Y1403" s="46"/>
      <c r="Z1403" s="46"/>
    </row>
    <row r="1404" ht="22.5" customHeight="1">
      <c r="A1404" s="17">
        <v>1402.0</v>
      </c>
      <c r="B1404" s="20">
        <v>63.0</v>
      </c>
      <c r="C1404" s="13" t="s">
        <v>11013</v>
      </c>
      <c r="D1404" s="13" t="s">
        <v>11014</v>
      </c>
      <c r="E1404" s="13" t="s">
        <v>11015</v>
      </c>
      <c r="F1404" s="15"/>
      <c r="G1404" s="15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  <c r="Y1404" s="46"/>
      <c r="Z1404" s="46"/>
    </row>
    <row r="1405" ht="22.5" customHeight="1">
      <c r="A1405" s="11">
        <v>1403.0</v>
      </c>
      <c r="B1405" s="20">
        <v>63.0</v>
      </c>
      <c r="C1405" s="13" t="s">
        <v>11721</v>
      </c>
      <c r="D1405" s="13" t="s">
        <v>11722</v>
      </c>
      <c r="E1405" s="13" t="s">
        <v>11723</v>
      </c>
      <c r="F1405" s="14" t="s">
        <v>18</v>
      </c>
      <c r="G1405" s="15"/>
      <c r="H1405" s="46"/>
      <c r="I1405" s="46"/>
      <c r="J1405" s="46"/>
      <c r="K1405" s="46"/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</row>
    <row r="1406" ht="22.5" customHeight="1">
      <c r="A1406" s="17">
        <v>1404.0</v>
      </c>
      <c r="B1406" s="20">
        <v>63.0</v>
      </c>
      <c r="C1406" s="13" t="s">
        <v>11022</v>
      </c>
      <c r="D1406" s="13" t="s">
        <v>11023</v>
      </c>
      <c r="E1406" s="13" t="s">
        <v>11024</v>
      </c>
      <c r="F1406" s="14" t="s">
        <v>18</v>
      </c>
      <c r="G1406" s="15"/>
      <c r="H1406" s="46"/>
      <c r="I1406" s="46"/>
      <c r="J1406" s="46"/>
      <c r="K1406" s="46"/>
      <c r="L1406" s="46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</row>
    <row r="1407" ht="22.5" customHeight="1">
      <c r="A1407" s="11">
        <v>1405.0</v>
      </c>
      <c r="B1407" s="20">
        <v>63.0</v>
      </c>
      <c r="C1407" s="13" t="s">
        <v>9523</v>
      </c>
      <c r="D1407" s="13" t="s">
        <v>9524</v>
      </c>
      <c r="E1407" s="13" t="s">
        <v>9525</v>
      </c>
      <c r="F1407" s="15"/>
      <c r="G1407" s="15"/>
      <c r="H1407" s="46"/>
      <c r="I1407" s="46"/>
      <c r="J1407" s="46"/>
      <c r="K1407" s="46"/>
      <c r="L1407" s="46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</row>
    <row r="1408" ht="22.5" customHeight="1">
      <c r="A1408" s="17">
        <v>1406.0</v>
      </c>
      <c r="B1408" s="20">
        <v>63.0</v>
      </c>
      <c r="C1408" s="13" t="s">
        <v>8827</v>
      </c>
      <c r="D1408" s="13" t="s">
        <v>8828</v>
      </c>
      <c r="E1408" s="13" t="s">
        <v>11724</v>
      </c>
      <c r="F1408" s="15"/>
      <c r="G1408" s="15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</row>
    <row r="1409" ht="22.5" customHeight="1">
      <c r="A1409" s="11">
        <v>1407.0</v>
      </c>
      <c r="B1409" s="20">
        <v>63.0</v>
      </c>
      <c r="C1409" s="13" t="s">
        <v>11725</v>
      </c>
      <c r="D1409" s="13" t="s">
        <v>11726</v>
      </c>
      <c r="E1409" s="13" t="s">
        <v>11727</v>
      </c>
      <c r="F1409" s="14" t="s">
        <v>18</v>
      </c>
      <c r="G1409" s="15"/>
      <c r="H1409" s="46"/>
      <c r="I1409" s="46"/>
      <c r="J1409" s="46"/>
      <c r="K1409" s="46"/>
      <c r="L1409" s="46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</row>
    <row r="1410" ht="22.5" customHeight="1">
      <c r="A1410" s="17">
        <v>1408.0</v>
      </c>
      <c r="B1410" s="20">
        <v>63.0</v>
      </c>
      <c r="C1410" s="13" t="s">
        <v>11728</v>
      </c>
      <c r="D1410" s="13" t="s">
        <v>11729</v>
      </c>
      <c r="E1410" s="13" t="s">
        <v>11730</v>
      </c>
      <c r="F1410" s="14" t="s">
        <v>18</v>
      </c>
      <c r="G1410" s="15"/>
      <c r="H1410" s="46"/>
      <c r="I1410" s="46"/>
      <c r="J1410" s="46"/>
      <c r="K1410" s="46"/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</row>
    <row r="1411" ht="22.5" customHeight="1">
      <c r="A1411" s="11">
        <v>1409.0</v>
      </c>
      <c r="B1411" s="20">
        <v>63.0</v>
      </c>
      <c r="C1411" s="13" t="s">
        <v>11204</v>
      </c>
      <c r="D1411" s="13" t="s">
        <v>11205</v>
      </c>
      <c r="E1411" s="13" t="s">
        <v>11206</v>
      </c>
      <c r="F1411" s="15"/>
      <c r="G1411" s="15"/>
      <c r="H1411" s="46"/>
      <c r="I1411" s="46"/>
      <c r="J1411" s="46"/>
      <c r="K1411" s="46"/>
      <c r="L1411" s="46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  <c r="Y1411" s="46"/>
      <c r="Z1411" s="46"/>
    </row>
    <row r="1412" ht="22.5" customHeight="1">
      <c r="A1412" s="17">
        <v>1410.0</v>
      </c>
      <c r="B1412" s="20">
        <v>62.0</v>
      </c>
      <c r="C1412" s="13" t="s">
        <v>11731</v>
      </c>
      <c r="D1412" s="13" t="s">
        <v>11732</v>
      </c>
      <c r="E1412" s="13" t="s">
        <v>11733</v>
      </c>
      <c r="F1412" s="14" t="s">
        <v>18</v>
      </c>
      <c r="G1412" s="15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  <c r="Y1412" s="46"/>
      <c r="Z1412" s="46"/>
    </row>
    <row r="1413" ht="22.5" customHeight="1">
      <c r="A1413" s="11">
        <v>1411.0</v>
      </c>
      <c r="B1413" s="20">
        <v>62.0</v>
      </c>
      <c r="C1413" s="13" t="s">
        <v>11734</v>
      </c>
      <c r="D1413" s="13" t="s">
        <v>11735</v>
      </c>
      <c r="E1413" s="13" t="s">
        <v>11736</v>
      </c>
      <c r="F1413" s="14" t="s">
        <v>18</v>
      </c>
      <c r="G1413" s="14" t="s">
        <v>18</v>
      </c>
      <c r="H1413" s="46"/>
      <c r="I1413" s="46"/>
      <c r="J1413" s="46"/>
      <c r="K1413" s="46"/>
      <c r="L1413" s="46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  <c r="Y1413" s="46"/>
      <c r="Z1413" s="46"/>
    </row>
    <row r="1414" ht="22.5" customHeight="1">
      <c r="A1414" s="17">
        <v>1412.0</v>
      </c>
      <c r="B1414" s="20">
        <v>62.0</v>
      </c>
      <c r="C1414" s="13" t="s">
        <v>11737</v>
      </c>
      <c r="D1414" s="13" t="s">
        <v>11738</v>
      </c>
      <c r="E1414" s="13" t="s">
        <v>11739</v>
      </c>
      <c r="F1414" s="14" t="s">
        <v>18</v>
      </c>
      <c r="G1414" s="15"/>
      <c r="H1414" s="46"/>
      <c r="I1414" s="46"/>
      <c r="J1414" s="46"/>
      <c r="K1414" s="46"/>
      <c r="L1414" s="46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6"/>
    </row>
    <row r="1415" ht="22.5" customHeight="1">
      <c r="A1415" s="11">
        <v>1413.0</v>
      </c>
      <c r="B1415" s="20">
        <v>62.0</v>
      </c>
      <c r="C1415" s="13" t="s">
        <v>11740</v>
      </c>
      <c r="D1415" s="13" t="s">
        <v>11741</v>
      </c>
      <c r="E1415" s="13" t="s">
        <v>11742</v>
      </c>
      <c r="F1415" s="15"/>
      <c r="G1415" s="15"/>
      <c r="H1415" s="46"/>
      <c r="I1415" s="46"/>
      <c r="J1415" s="46"/>
      <c r="K1415" s="46"/>
      <c r="L1415" s="46"/>
      <c r="M1415" s="46"/>
      <c r="N1415" s="46"/>
      <c r="O1415" s="46"/>
      <c r="P1415" s="46"/>
      <c r="Q1415" s="46"/>
      <c r="R1415" s="46"/>
      <c r="S1415" s="46"/>
      <c r="T1415" s="46"/>
      <c r="U1415" s="46"/>
      <c r="V1415" s="46"/>
      <c r="W1415" s="46"/>
      <c r="X1415" s="46"/>
      <c r="Y1415" s="46"/>
      <c r="Z1415" s="46"/>
    </row>
    <row r="1416" ht="22.5" customHeight="1">
      <c r="A1416" s="17">
        <v>1414.0</v>
      </c>
      <c r="B1416" s="20">
        <v>62.0</v>
      </c>
      <c r="C1416" s="13" t="s">
        <v>11743</v>
      </c>
      <c r="D1416" s="13" t="s">
        <v>11744</v>
      </c>
      <c r="E1416" s="13" t="s">
        <v>11745</v>
      </c>
      <c r="F1416" s="14" t="s">
        <v>18</v>
      </c>
      <c r="G1416" s="15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  <c r="Y1416" s="46"/>
      <c r="Z1416" s="46"/>
    </row>
    <row r="1417" ht="22.5" customHeight="1">
      <c r="A1417" s="11">
        <v>1415.0</v>
      </c>
      <c r="B1417" s="20">
        <v>62.0</v>
      </c>
      <c r="C1417" s="13" t="s">
        <v>5539</v>
      </c>
      <c r="D1417" s="13" t="s">
        <v>6246</v>
      </c>
      <c r="E1417" s="13" t="s">
        <v>11746</v>
      </c>
      <c r="F1417" s="14" t="s">
        <v>18</v>
      </c>
      <c r="G1417" s="15"/>
      <c r="H1417" s="46"/>
      <c r="I1417" s="46"/>
      <c r="J1417" s="46"/>
      <c r="K1417" s="46"/>
      <c r="L1417" s="46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  <c r="Y1417" s="46"/>
      <c r="Z1417" s="46"/>
    </row>
    <row r="1418" ht="22.5" customHeight="1">
      <c r="A1418" s="17">
        <v>1416.0</v>
      </c>
      <c r="B1418" s="20">
        <v>62.0</v>
      </c>
      <c r="C1418" s="13" t="s">
        <v>8736</v>
      </c>
      <c r="D1418" s="13" t="s">
        <v>8737</v>
      </c>
      <c r="E1418" s="13" t="s">
        <v>9484</v>
      </c>
      <c r="F1418" s="15"/>
      <c r="G1418" s="15"/>
      <c r="H1418" s="46"/>
      <c r="I1418" s="46"/>
      <c r="J1418" s="46"/>
      <c r="K1418" s="46"/>
      <c r="L1418" s="46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6"/>
    </row>
    <row r="1419" ht="22.5" customHeight="1">
      <c r="A1419" s="11">
        <v>1417.0</v>
      </c>
      <c r="B1419" s="20">
        <v>62.0</v>
      </c>
      <c r="C1419" s="13" t="s">
        <v>11747</v>
      </c>
      <c r="D1419" s="13" t="s">
        <v>11748</v>
      </c>
      <c r="E1419" s="13" t="s">
        <v>11749</v>
      </c>
      <c r="F1419" s="15"/>
      <c r="G1419" s="15"/>
      <c r="H1419" s="46"/>
      <c r="I1419" s="46"/>
      <c r="J1419" s="46"/>
      <c r="K1419" s="46"/>
      <c r="L1419" s="46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/>
    </row>
    <row r="1420" ht="22.5" customHeight="1">
      <c r="A1420" s="17">
        <v>1418.0</v>
      </c>
      <c r="B1420" s="20">
        <v>62.0</v>
      </c>
      <c r="C1420" s="13" t="s">
        <v>8839</v>
      </c>
      <c r="D1420" s="13" t="s">
        <v>3477</v>
      </c>
      <c r="E1420" s="13" t="s">
        <v>3478</v>
      </c>
      <c r="F1420" s="14" t="s">
        <v>18</v>
      </c>
      <c r="G1420" s="15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  <c r="Y1420" s="46"/>
      <c r="Z1420" s="46"/>
    </row>
    <row r="1421" ht="22.5" customHeight="1">
      <c r="A1421" s="11">
        <v>1419.0</v>
      </c>
      <c r="B1421" s="20">
        <v>62.0</v>
      </c>
      <c r="C1421" s="13" t="s">
        <v>11750</v>
      </c>
      <c r="D1421" s="13" t="s">
        <v>11751</v>
      </c>
      <c r="E1421" s="13" t="s">
        <v>11752</v>
      </c>
      <c r="F1421" s="14" t="s">
        <v>18</v>
      </c>
      <c r="G1421" s="15"/>
      <c r="H1421" s="46"/>
      <c r="I1421" s="46"/>
      <c r="J1421" s="46"/>
      <c r="K1421" s="46"/>
      <c r="L1421" s="46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</row>
    <row r="1422" ht="22.5" customHeight="1">
      <c r="A1422" s="17">
        <v>1420.0</v>
      </c>
      <c r="B1422" s="20">
        <v>62.0</v>
      </c>
      <c r="C1422" s="13" t="s">
        <v>11753</v>
      </c>
      <c r="D1422" s="13" t="s">
        <v>11754</v>
      </c>
      <c r="E1422" s="13" t="s">
        <v>11755</v>
      </c>
      <c r="F1422" s="15"/>
      <c r="G1422" s="15"/>
      <c r="H1422" s="46"/>
      <c r="I1422" s="46"/>
      <c r="J1422" s="46"/>
      <c r="K1422" s="46"/>
      <c r="L1422" s="46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</row>
    <row r="1423" ht="22.5" customHeight="1">
      <c r="A1423" s="11">
        <v>1421.0</v>
      </c>
      <c r="B1423" s="20">
        <v>62.0</v>
      </c>
      <c r="C1423" s="13" t="s">
        <v>11756</v>
      </c>
      <c r="D1423" s="13" t="s">
        <v>11757</v>
      </c>
      <c r="E1423" s="13" t="s">
        <v>11758</v>
      </c>
      <c r="F1423" s="15"/>
      <c r="G1423" s="15"/>
      <c r="H1423" s="46"/>
      <c r="I1423" s="46"/>
      <c r="J1423" s="46"/>
      <c r="K1423" s="46"/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  <c r="Y1423" s="46"/>
      <c r="Z1423" s="46"/>
    </row>
    <row r="1424" ht="22.5" customHeight="1">
      <c r="A1424" s="17">
        <v>1422.0</v>
      </c>
      <c r="B1424" s="20">
        <v>62.0</v>
      </c>
      <c r="C1424" s="13" t="s">
        <v>11046</v>
      </c>
      <c r="D1424" s="13" t="s">
        <v>11759</v>
      </c>
      <c r="E1424" s="13" t="s">
        <v>11760</v>
      </c>
      <c r="F1424" s="15"/>
      <c r="G1424" s="15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</row>
    <row r="1425" ht="22.5" customHeight="1">
      <c r="A1425" s="11">
        <v>1423.0</v>
      </c>
      <c r="B1425" s="20">
        <v>62.0</v>
      </c>
      <c r="C1425" s="13" t="s">
        <v>11761</v>
      </c>
      <c r="D1425" s="13" t="s">
        <v>11762</v>
      </c>
      <c r="E1425" s="13" t="s">
        <v>11763</v>
      </c>
      <c r="F1425" s="15"/>
      <c r="G1425" s="15"/>
      <c r="H1425" s="46"/>
      <c r="I1425" s="46"/>
      <c r="J1425" s="46"/>
      <c r="K1425" s="46"/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</row>
    <row r="1426" ht="22.5" customHeight="1">
      <c r="A1426" s="17">
        <v>1424.0</v>
      </c>
      <c r="B1426" s="20">
        <v>62.0</v>
      </c>
      <c r="C1426" s="13" t="s">
        <v>5034</v>
      </c>
      <c r="D1426" s="13" t="s">
        <v>5033</v>
      </c>
      <c r="E1426" s="13" t="s">
        <v>11764</v>
      </c>
      <c r="F1426" s="15"/>
      <c r="G1426" s="15"/>
      <c r="H1426" s="46"/>
      <c r="I1426" s="46"/>
      <c r="J1426" s="46"/>
      <c r="K1426" s="46"/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</row>
    <row r="1427" ht="22.5" customHeight="1">
      <c r="A1427" s="11">
        <v>1425.0</v>
      </c>
      <c r="B1427" s="20">
        <v>62.0</v>
      </c>
      <c r="C1427" s="13" t="s">
        <v>11765</v>
      </c>
      <c r="D1427" s="13" t="s">
        <v>11766</v>
      </c>
      <c r="E1427" s="13" t="s">
        <v>11767</v>
      </c>
      <c r="F1427" s="15"/>
      <c r="G1427" s="15"/>
      <c r="H1427" s="46"/>
      <c r="I1427" s="46"/>
      <c r="J1427" s="46"/>
      <c r="K1427" s="46"/>
      <c r="L1427" s="46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</row>
    <row r="1428" ht="22.5" customHeight="1">
      <c r="A1428" s="17">
        <v>1426.0</v>
      </c>
      <c r="B1428" s="20">
        <v>62.0</v>
      </c>
      <c r="C1428" s="13" t="s">
        <v>9056</v>
      </c>
      <c r="D1428" s="13" t="s">
        <v>9057</v>
      </c>
      <c r="E1428" s="13" t="s">
        <v>9058</v>
      </c>
      <c r="F1428" s="15"/>
      <c r="G1428" s="15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</row>
    <row r="1429" ht="22.5" customHeight="1">
      <c r="A1429" s="11">
        <v>1427.0</v>
      </c>
      <c r="B1429" s="20">
        <v>62.0</v>
      </c>
      <c r="C1429" s="13" t="s">
        <v>11768</v>
      </c>
      <c r="D1429" s="13" t="s">
        <v>11769</v>
      </c>
      <c r="E1429" s="13" t="s">
        <v>11770</v>
      </c>
      <c r="F1429" s="14" t="s">
        <v>18</v>
      </c>
      <c r="G1429" s="15"/>
      <c r="H1429" s="46"/>
      <c r="I1429" s="46"/>
      <c r="J1429" s="46"/>
      <c r="K1429" s="46"/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</row>
    <row r="1430" ht="22.5" customHeight="1">
      <c r="A1430" s="17">
        <v>1428.0</v>
      </c>
      <c r="B1430" s="20">
        <v>62.0</v>
      </c>
      <c r="C1430" s="13" t="s">
        <v>8871</v>
      </c>
      <c r="D1430" s="13" t="s">
        <v>8872</v>
      </c>
      <c r="E1430" s="13" t="s">
        <v>8873</v>
      </c>
      <c r="F1430" s="15"/>
      <c r="G1430" s="15"/>
      <c r="H1430" s="46"/>
      <c r="I1430" s="46"/>
      <c r="J1430" s="46"/>
      <c r="K1430" s="46"/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</row>
    <row r="1431" ht="22.5" customHeight="1">
      <c r="A1431" s="11">
        <v>1429.0</v>
      </c>
      <c r="B1431" s="20">
        <v>62.0</v>
      </c>
      <c r="C1431" s="13" t="s">
        <v>9985</v>
      </c>
      <c r="D1431" s="13" t="s">
        <v>9986</v>
      </c>
      <c r="E1431" s="13" t="s">
        <v>9987</v>
      </c>
      <c r="F1431" s="14" t="s">
        <v>18</v>
      </c>
      <c r="G1431" s="15"/>
      <c r="H1431" s="46"/>
      <c r="I1431" s="46"/>
      <c r="J1431" s="46"/>
      <c r="K1431" s="46"/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</row>
    <row r="1432" ht="22.5" customHeight="1">
      <c r="A1432" s="17">
        <v>1430.0</v>
      </c>
      <c r="B1432" s="20">
        <v>62.0</v>
      </c>
      <c r="C1432" s="13" t="s">
        <v>5477</v>
      </c>
      <c r="D1432" s="13" t="s">
        <v>5476</v>
      </c>
      <c r="E1432" s="13" t="s">
        <v>11771</v>
      </c>
      <c r="F1432" s="15"/>
      <c r="G1432" s="15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</row>
    <row r="1433" ht="22.5" customHeight="1">
      <c r="A1433" s="11">
        <v>1431.0</v>
      </c>
      <c r="B1433" s="20">
        <v>62.0</v>
      </c>
      <c r="C1433" s="13" t="s">
        <v>11772</v>
      </c>
      <c r="D1433" s="13" t="s">
        <v>11773</v>
      </c>
      <c r="E1433" s="13" t="s">
        <v>11774</v>
      </c>
      <c r="F1433" s="14" t="s">
        <v>18</v>
      </c>
      <c r="G1433" s="15"/>
      <c r="H1433" s="46"/>
      <c r="I1433" s="46"/>
      <c r="J1433" s="46"/>
      <c r="K1433" s="46"/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</row>
    <row r="1434" ht="22.5" customHeight="1">
      <c r="A1434" s="17">
        <v>1432.0</v>
      </c>
      <c r="B1434" s="20">
        <v>62.0</v>
      </c>
      <c r="C1434" s="13" t="s">
        <v>10064</v>
      </c>
      <c r="D1434" s="13" t="s">
        <v>10065</v>
      </c>
      <c r="E1434" s="13" t="s">
        <v>11775</v>
      </c>
      <c r="F1434" s="15"/>
      <c r="G1434" s="15"/>
      <c r="H1434" s="46"/>
      <c r="I1434" s="46"/>
      <c r="J1434" s="46"/>
      <c r="K1434" s="46"/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</row>
    <row r="1435" ht="22.5" customHeight="1">
      <c r="A1435" s="11">
        <v>1433.0</v>
      </c>
      <c r="B1435" s="20">
        <v>62.0</v>
      </c>
      <c r="C1435" s="13" t="s">
        <v>9009</v>
      </c>
      <c r="D1435" s="13" t="s">
        <v>9010</v>
      </c>
      <c r="E1435" s="13" t="s">
        <v>9011</v>
      </c>
      <c r="F1435" s="15"/>
      <c r="G1435" s="15"/>
      <c r="H1435" s="46"/>
      <c r="I1435" s="46"/>
      <c r="J1435" s="46"/>
      <c r="K1435" s="46"/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</row>
    <row r="1436" ht="22.5" customHeight="1">
      <c r="A1436" s="17">
        <v>1434.0</v>
      </c>
      <c r="B1436" s="20">
        <v>62.0</v>
      </c>
      <c r="C1436" s="13" t="s">
        <v>9399</v>
      </c>
      <c r="D1436" s="13" t="s">
        <v>2072</v>
      </c>
      <c r="E1436" s="13" t="s">
        <v>2073</v>
      </c>
      <c r="F1436" s="14" t="s">
        <v>18</v>
      </c>
      <c r="G1436" s="14" t="s">
        <v>18</v>
      </c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</row>
    <row r="1437" ht="22.5" customHeight="1">
      <c r="A1437" s="11">
        <v>1435.0</v>
      </c>
      <c r="B1437" s="20">
        <v>62.0</v>
      </c>
      <c r="C1437" s="13" t="s">
        <v>8990</v>
      </c>
      <c r="D1437" s="13" t="s">
        <v>8991</v>
      </c>
      <c r="E1437" s="13" t="s">
        <v>11472</v>
      </c>
      <c r="F1437" s="14" t="s">
        <v>18</v>
      </c>
      <c r="G1437" s="15"/>
      <c r="H1437" s="46"/>
      <c r="I1437" s="46"/>
      <c r="J1437" s="46"/>
      <c r="K1437" s="46"/>
      <c r="L1437" s="46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</row>
    <row r="1438" ht="22.5" customHeight="1">
      <c r="A1438" s="17">
        <v>1436.0</v>
      </c>
      <c r="B1438" s="20">
        <v>62.0</v>
      </c>
      <c r="C1438" s="13" t="s">
        <v>10556</v>
      </c>
      <c r="D1438" s="13" t="s">
        <v>10557</v>
      </c>
      <c r="E1438" s="13" t="s">
        <v>10558</v>
      </c>
      <c r="F1438" s="15"/>
      <c r="G1438" s="15"/>
      <c r="H1438" s="46"/>
      <c r="I1438" s="46"/>
      <c r="J1438" s="46"/>
      <c r="K1438" s="46"/>
      <c r="L1438" s="46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  <c r="Y1438" s="46"/>
      <c r="Z1438" s="46"/>
    </row>
    <row r="1439" ht="22.5" customHeight="1">
      <c r="A1439" s="11">
        <v>1437.0</v>
      </c>
      <c r="B1439" s="20">
        <v>62.0</v>
      </c>
      <c r="C1439" s="13" t="s">
        <v>9323</v>
      </c>
      <c r="D1439" s="13" t="s">
        <v>9324</v>
      </c>
      <c r="E1439" s="13" t="s">
        <v>9325</v>
      </c>
      <c r="F1439" s="15"/>
      <c r="G1439" s="15"/>
      <c r="H1439" s="46"/>
      <c r="I1439" s="46"/>
      <c r="J1439" s="46"/>
      <c r="K1439" s="46"/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  <c r="Y1439" s="46"/>
      <c r="Z1439" s="46"/>
    </row>
    <row r="1440" ht="22.5" customHeight="1">
      <c r="A1440" s="17">
        <v>1438.0</v>
      </c>
      <c r="B1440" s="20">
        <v>62.0</v>
      </c>
      <c r="C1440" s="13" t="s">
        <v>11776</v>
      </c>
      <c r="D1440" s="13" t="s">
        <v>11777</v>
      </c>
      <c r="E1440" s="13" t="s">
        <v>11778</v>
      </c>
      <c r="F1440" s="15"/>
      <c r="G1440" s="15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</row>
    <row r="1441" ht="22.5" customHeight="1">
      <c r="A1441" s="11">
        <v>1439.0</v>
      </c>
      <c r="B1441" s="20">
        <v>62.0</v>
      </c>
      <c r="C1441" s="13" t="s">
        <v>11779</v>
      </c>
      <c r="D1441" s="13" t="s">
        <v>11780</v>
      </c>
      <c r="E1441" s="13" t="s">
        <v>11781</v>
      </c>
      <c r="F1441" s="15"/>
      <c r="G1441" s="15"/>
      <c r="H1441" s="46"/>
      <c r="I1441" s="46"/>
      <c r="J1441" s="46"/>
      <c r="K1441" s="46"/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</row>
    <row r="1442" ht="22.5" customHeight="1">
      <c r="A1442" s="17">
        <v>1440.0</v>
      </c>
      <c r="B1442" s="20">
        <v>61.0</v>
      </c>
      <c r="C1442" s="13" t="s">
        <v>11782</v>
      </c>
      <c r="D1442" s="13" t="s">
        <v>11783</v>
      </c>
      <c r="E1442" s="13" t="s">
        <v>11784</v>
      </c>
      <c r="F1442" s="14" t="s">
        <v>18</v>
      </c>
      <c r="G1442" s="15"/>
      <c r="H1442" s="46"/>
      <c r="I1442" s="46"/>
      <c r="J1442" s="46"/>
      <c r="K1442" s="46"/>
      <c r="L1442" s="46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</row>
    <row r="1443" ht="22.5" customHeight="1">
      <c r="A1443" s="11">
        <v>1441.0</v>
      </c>
      <c r="B1443" s="20">
        <v>61.0</v>
      </c>
      <c r="C1443" s="13" t="s">
        <v>11785</v>
      </c>
      <c r="D1443" s="13" t="s">
        <v>11786</v>
      </c>
      <c r="E1443" s="13" t="s">
        <v>11787</v>
      </c>
      <c r="F1443" s="15"/>
      <c r="G1443" s="15"/>
      <c r="H1443" s="46"/>
      <c r="I1443" s="46"/>
      <c r="J1443" s="46"/>
      <c r="K1443" s="46"/>
      <c r="L1443" s="46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</row>
    <row r="1444" ht="22.5" customHeight="1">
      <c r="A1444" s="17">
        <v>1442.0</v>
      </c>
      <c r="B1444" s="20">
        <v>61.0</v>
      </c>
      <c r="C1444" s="13" t="s">
        <v>11788</v>
      </c>
      <c r="D1444" s="13" t="s">
        <v>11789</v>
      </c>
      <c r="E1444" s="13" t="s">
        <v>11790</v>
      </c>
      <c r="F1444" s="15"/>
      <c r="G1444" s="15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  <c r="Y1444" s="46"/>
      <c r="Z1444" s="46"/>
    </row>
    <row r="1445" ht="22.5" customHeight="1">
      <c r="A1445" s="11">
        <v>1443.0</v>
      </c>
      <c r="B1445" s="20">
        <v>61.0</v>
      </c>
      <c r="C1445" s="13" t="s">
        <v>11791</v>
      </c>
      <c r="D1445" s="13" t="s">
        <v>11792</v>
      </c>
      <c r="E1445" s="13" t="s">
        <v>11793</v>
      </c>
      <c r="F1445" s="14" t="s">
        <v>18</v>
      </c>
      <c r="G1445" s="15"/>
      <c r="H1445" s="46"/>
      <c r="I1445" s="46"/>
      <c r="J1445" s="46"/>
      <c r="K1445" s="46"/>
      <c r="L1445" s="46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  <c r="Y1445" s="46"/>
      <c r="Z1445" s="46"/>
    </row>
    <row r="1446" ht="22.5" customHeight="1">
      <c r="A1446" s="17">
        <v>1444.0</v>
      </c>
      <c r="B1446" s="20">
        <v>61.0</v>
      </c>
      <c r="C1446" s="13" t="s">
        <v>8756</v>
      </c>
      <c r="D1446" s="13" t="s">
        <v>8757</v>
      </c>
      <c r="E1446" s="13" t="s">
        <v>8758</v>
      </c>
      <c r="F1446" s="15"/>
      <c r="G1446" s="15"/>
      <c r="H1446" s="46"/>
      <c r="I1446" s="46"/>
      <c r="J1446" s="46"/>
      <c r="K1446" s="46"/>
      <c r="L1446" s="46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  <c r="Y1446" s="46"/>
      <c r="Z1446" s="46"/>
    </row>
    <row r="1447" ht="22.5" customHeight="1">
      <c r="A1447" s="11">
        <v>1445.0</v>
      </c>
      <c r="B1447" s="20">
        <v>61.0</v>
      </c>
      <c r="C1447" s="13" t="s">
        <v>11794</v>
      </c>
      <c r="D1447" s="13" t="s">
        <v>11795</v>
      </c>
      <c r="E1447" s="13" t="s">
        <v>11796</v>
      </c>
      <c r="F1447" s="15"/>
      <c r="G1447" s="15"/>
      <c r="H1447" s="46"/>
      <c r="I1447" s="46"/>
      <c r="J1447" s="46"/>
      <c r="K1447" s="46"/>
      <c r="L1447" s="46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</row>
    <row r="1448" ht="22.5" customHeight="1">
      <c r="A1448" s="17">
        <v>1446.0</v>
      </c>
      <c r="B1448" s="20">
        <v>61.0</v>
      </c>
      <c r="C1448" s="13" t="s">
        <v>6421</v>
      </c>
      <c r="D1448" s="13" t="s">
        <v>11797</v>
      </c>
      <c r="E1448" s="13" t="s">
        <v>11798</v>
      </c>
      <c r="F1448" s="15"/>
      <c r="G1448" s="15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</row>
    <row r="1449" ht="22.5" customHeight="1">
      <c r="A1449" s="11">
        <v>1447.0</v>
      </c>
      <c r="B1449" s="20">
        <v>61.0</v>
      </c>
      <c r="C1449" s="13" t="s">
        <v>11799</v>
      </c>
      <c r="D1449" s="13" t="s">
        <v>11800</v>
      </c>
      <c r="E1449" s="13" t="s">
        <v>11801</v>
      </c>
      <c r="F1449" s="14" t="s">
        <v>18</v>
      </c>
      <c r="G1449" s="15"/>
      <c r="H1449" s="46"/>
      <c r="I1449" s="46"/>
      <c r="J1449" s="46"/>
      <c r="K1449" s="46"/>
      <c r="L1449" s="46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6"/>
    </row>
    <row r="1450" ht="22.5" customHeight="1">
      <c r="A1450" s="17">
        <v>1448.0</v>
      </c>
      <c r="B1450" s="20">
        <v>61.0</v>
      </c>
      <c r="C1450" s="13" t="s">
        <v>11802</v>
      </c>
      <c r="D1450" s="13" t="s">
        <v>11803</v>
      </c>
      <c r="E1450" s="13" t="s">
        <v>11804</v>
      </c>
      <c r="F1450" s="14" t="s">
        <v>18</v>
      </c>
      <c r="G1450" s="14" t="s">
        <v>18</v>
      </c>
      <c r="H1450" s="46"/>
      <c r="I1450" s="46"/>
      <c r="J1450" s="46"/>
      <c r="K1450" s="46"/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</row>
    <row r="1451" ht="22.5" customHeight="1">
      <c r="A1451" s="11">
        <v>1449.0</v>
      </c>
      <c r="B1451" s="20">
        <v>61.0</v>
      </c>
      <c r="C1451" s="13" t="s">
        <v>11805</v>
      </c>
      <c r="D1451" s="13" t="s">
        <v>11806</v>
      </c>
      <c r="E1451" s="13" t="s">
        <v>11807</v>
      </c>
      <c r="F1451" s="14" t="s">
        <v>18</v>
      </c>
      <c r="G1451" s="15"/>
      <c r="H1451" s="46"/>
      <c r="I1451" s="46"/>
      <c r="J1451" s="46"/>
      <c r="K1451" s="46"/>
      <c r="L1451" s="46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</row>
    <row r="1452" ht="22.5" customHeight="1">
      <c r="A1452" s="17">
        <v>1450.0</v>
      </c>
      <c r="B1452" s="20">
        <v>61.0</v>
      </c>
      <c r="C1452" s="13" t="s">
        <v>8780</v>
      </c>
      <c r="D1452" s="13" t="s">
        <v>8781</v>
      </c>
      <c r="E1452" s="13" t="s">
        <v>8782</v>
      </c>
      <c r="F1452" s="15"/>
      <c r="G1452" s="15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</row>
    <row r="1453" ht="22.5" customHeight="1">
      <c r="A1453" s="11">
        <v>1451.0</v>
      </c>
      <c r="B1453" s="20">
        <v>61.0</v>
      </c>
      <c r="C1453" s="13" t="s">
        <v>10422</v>
      </c>
      <c r="D1453" s="13" t="s">
        <v>10423</v>
      </c>
      <c r="E1453" s="13" t="s">
        <v>11808</v>
      </c>
      <c r="F1453" s="15"/>
      <c r="G1453" s="15"/>
      <c r="H1453" s="46"/>
      <c r="I1453" s="46"/>
      <c r="J1453" s="46"/>
      <c r="K1453" s="46"/>
      <c r="L1453" s="46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  <c r="Y1453" s="46"/>
      <c r="Z1453" s="46"/>
    </row>
    <row r="1454" ht="22.5" customHeight="1">
      <c r="A1454" s="17">
        <v>1452.0</v>
      </c>
      <c r="B1454" s="20">
        <v>61.0</v>
      </c>
      <c r="C1454" s="13" t="s">
        <v>10346</v>
      </c>
      <c r="D1454" s="13" t="s">
        <v>1539</v>
      </c>
      <c r="E1454" s="13" t="s">
        <v>2354</v>
      </c>
      <c r="F1454" s="15"/>
      <c r="G1454" s="15"/>
      <c r="H1454" s="46"/>
      <c r="I1454" s="46"/>
      <c r="J1454" s="46"/>
      <c r="K1454" s="46"/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</row>
    <row r="1455" ht="22.5" customHeight="1">
      <c r="A1455" s="11">
        <v>1453.0</v>
      </c>
      <c r="B1455" s="20">
        <v>61.0</v>
      </c>
      <c r="C1455" s="13" t="s">
        <v>11809</v>
      </c>
      <c r="D1455" s="13" t="s">
        <v>11810</v>
      </c>
      <c r="E1455" s="13" t="s">
        <v>11811</v>
      </c>
      <c r="F1455" s="14" t="s">
        <v>18</v>
      </c>
      <c r="G1455" s="15"/>
      <c r="H1455" s="46"/>
      <c r="I1455" s="46"/>
      <c r="J1455" s="46"/>
      <c r="K1455" s="46"/>
      <c r="L1455" s="46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  <c r="Y1455" s="46"/>
      <c r="Z1455" s="46"/>
    </row>
    <row r="1456" ht="22.5" customHeight="1">
      <c r="A1456" s="17">
        <v>1454.0</v>
      </c>
      <c r="B1456" s="20">
        <v>61.0</v>
      </c>
      <c r="C1456" s="13" t="s">
        <v>9698</v>
      </c>
      <c r="D1456" s="13" t="s">
        <v>9699</v>
      </c>
      <c r="E1456" s="13" t="s">
        <v>9700</v>
      </c>
      <c r="F1456" s="15"/>
      <c r="G1456" s="15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</row>
    <row r="1457" ht="22.5" customHeight="1">
      <c r="A1457" s="11">
        <v>1455.0</v>
      </c>
      <c r="B1457" s="20">
        <v>61.0</v>
      </c>
      <c r="C1457" s="13" t="s">
        <v>11812</v>
      </c>
      <c r="D1457" s="13" t="s">
        <v>11813</v>
      </c>
      <c r="E1457" s="13" t="s">
        <v>11814</v>
      </c>
      <c r="F1457" s="14" t="s">
        <v>18</v>
      </c>
      <c r="G1457" s="15"/>
      <c r="H1457" s="46"/>
      <c r="I1457" s="46"/>
      <c r="J1457" s="46"/>
      <c r="K1457" s="46"/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  <c r="Y1457" s="46"/>
      <c r="Z1457" s="46"/>
    </row>
    <row r="1458" ht="22.5" customHeight="1">
      <c r="A1458" s="17">
        <v>1456.0</v>
      </c>
      <c r="B1458" s="20">
        <v>61.0</v>
      </c>
      <c r="C1458" s="13" t="s">
        <v>11815</v>
      </c>
      <c r="D1458" s="13" t="s">
        <v>11816</v>
      </c>
      <c r="E1458" s="13" t="s">
        <v>11817</v>
      </c>
      <c r="F1458" s="14" t="s">
        <v>18</v>
      </c>
      <c r="G1458" s="15"/>
      <c r="H1458" s="46"/>
      <c r="I1458" s="46"/>
      <c r="J1458" s="46"/>
      <c r="K1458" s="46"/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</row>
    <row r="1459" ht="22.5" customHeight="1">
      <c r="A1459" s="11">
        <v>1457.0</v>
      </c>
      <c r="B1459" s="20">
        <v>61.0</v>
      </c>
      <c r="C1459" s="13" t="s">
        <v>11818</v>
      </c>
      <c r="D1459" s="13" t="s">
        <v>11819</v>
      </c>
      <c r="E1459" s="13" t="s">
        <v>11820</v>
      </c>
      <c r="F1459" s="15"/>
      <c r="G1459" s="15"/>
      <c r="H1459" s="46"/>
      <c r="I1459" s="46"/>
      <c r="J1459" s="46"/>
      <c r="K1459" s="46"/>
      <c r="L1459" s="46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  <c r="Y1459" s="46"/>
      <c r="Z1459" s="46"/>
    </row>
    <row r="1460" ht="22.5" customHeight="1">
      <c r="A1460" s="17">
        <v>1458.0</v>
      </c>
      <c r="B1460" s="20">
        <v>61.0</v>
      </c>
      <c r="C1460" s="13" t="s">
        <v>11441</v>
      </c>
      <c r="D1460" s="13" t="s">
        <v>11442</v>
      </c>
      <c r="E1460" s="13" t="s">
        <v>11443</v>
      </c>
      <c r="F1460" s="15"/>
      <c r="G1460" s="15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</row>
    <row r="1461" ht="22.5" customHeight="1">
      <c r="A1461" s="11">
        <v>1459.0</v>
      </c>
      <c r="B1461" s="20">
        <v>61.0</v>
      </c>
      <c r="C1461" s="13" t="s">
        <v>11022</v>
      </c>
      <c r="D1461" s="13" t="s">
        <v>11023</v>
      </c>
      <c r="E1461" s="13" t="s">
        <v>11024</v>
      </c>
      <c r="F1461" s="15"/>
      <c r="G1461" s="15"/>
      <c r="H1461" s="46"/>
      <c r="I1461" s="46"/>
      <c r="J1461" s="46"/>
      <c r="K1461" s="46"/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  <c r="Y1461" s="46"/>
      <c r="Z1461" s="46"/>
    </row>
    <row r="1462" ht="22.5" customHeight="1">
      <c r="A1462" s="17">
        <v>1460.0</v>
      </c>
      <c r="B1462" s="20">
        <v>61.0</v>
      </c>
      <c r="C1462" s="13" t="s">
        <v>8910</v>
      </c>
      <c r="D1462" s="13" t="s">
        <v>8911</v>
      </c>
      <c r="E1462" s="13" t="s">
        <v>11821</v>
      </c>
      <c r="F1462" s="15"/>
      <c r="G1462" s="15"/>
      <c r="H1462" s="46"/>
      <c r="I1462" s="46"/>
      <c r="J1462" s="46"/>
      <c r="K1462" s="46"/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</row>
    <row r="1463" ht="22.5" customHeight="1">
      <c r="A1463" s="11">
        <v>1461.0</v>
      </c>
      <c r="B1463" s="20">
        <v>61.0</v>
      </c>
      <c r="C1463" s="13" t="s">
        <v>11822</v>
      </c>
      <c r="D1463" s="13" t="s">
        <v>11823</v>
      </c>
      <c r="E1463" s="13" t="s">
        <v>11824</v>
      </c>
      <c r="F1463" s="14" t="s">
        <v>18</v>
      </c>
      <c r="G1463" s="15"/>
      <c r="H1463" s="46"/>
      <c r="I1463" s="46"/>
      <c r="J1463" s="46"/>
      <c r="K1463" s="46"/>
      <c r="L1463" s="46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  <c r="Y1463" s="46"/>
      <c r="Z1463" s="46"/>
    </row>
    <row r="1464" ht="22.5" customHeight="1">
      <c r="A1464" s="17">
        <v>1462.0</v>
      </c>
      <c r="B1464" s="20">
        <v>61.0</v>
      </c>
      <c r="C1464" s="13" t="s">
        <v>11825</v>
      </c>
      <c r="D1464" s="13" t="s">
        <v>11826</v>
      </c>
      <c r="E1464" s="13" t="s">
        <v>11827</v>
      </c>
      <c r="F1464" s="14" t="s">
        <v>18</v>
      </c>
      <c r="G1464" s="15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  <c r="Y1464" s="46"/>
      <c r="Z1464" s="46"/>
    </row>
    <row r="1465" ht="22.5" customHeight="1">
      <c r="A1465" s="11">
        <v>1463.0</v>
      </c>
      <c r="B1465" s="20">
        <v>61.0</v>
      </c>
      <c r="C1465" s="13" t="s">
        <v>11828</v>
      </c>
      <c r="D1465" s="13" t="s">
        <v>11829</v>
      </c>
      <c r="E1465" s="13" t="s">
        <v>11830</v>
      </c>
      <c r="F1465" s="14" t="s">
        <v>18</v>
      </c>
      <c r="G1465" s="15"/>
      <c r="H1465" s="46"/>
      <c r="I1465" s="46"/>
      <c r="J1465" s="46"/>
      <c r="K1465" s="46"/>
      <c r="L1465" s="46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  <c r="Y1465" s="46"/>
      <c r="Z1465" s="46"/>
    </row>
    <row r="1466" ht="22.5" customHeight="1">
      <c r="A1466" s="17">
        <v>1464.0</v>
      </c>
      <c r="B1466" s="20">
        <v>61.0</v>
      </c>
      <c r="C1466" s="13" t="s">
        <v>9360</v>
      </c>
      <c r="D1466" s="13" t="s">
        <v>9361</v>
      </c>
      <c r="E1466" s="13" t="s">
        <v>9362</v>
      </c>
      <c r="F1466" s="15"/>
      <c r="G1466" s="15"/>
      <c r="H1466" s="46"/>
      <c r="I1466" s="46"/>
      <c r="J1466" s="46"/>
      <c r="K1466" s="46"/>
      <c r="L1466" s="46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</row>
    <row r="1467" ht="22.5" customHeight="1">
      <c r="A1467" s="11">
        <v>1465.0</v>
      </c>
      <c r="B1467" s="20">
        <v>61.0</v>
      </c>
      <c r="C1467" s="13" t="s">
        <v>9887</v>
      </c>
      <c r="D1467" s="13" t="s">
        <v>9888</v>
      </c>
      <c r="E1467" s="13" t="s">
        <v>9889</v>
      </c>
      <c r="F1467" s="15"/>
      <c r="G1467" s="15"/>
      <c r="H1467" s="46"/>
      <c r="I1467" s="46"/>
      <c r="J1467" s="46"/>
      <c r="K1467" s="46"/>
      <c r="L1467" s="46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  <c r="Y1467" s="46"/>
      <c r="Z1467" s="46"/>
    </row>
    <row r="1468" ht="22.5" customHeight="1">
      <c r="A1468" s="17">
        <v>1466.0</v>
      </c>
      <c r="B1468" s="20">
        <v>61.0</v>
      </c>
      <c r="C1468" s="13" t="s">
        <v>11831</v>
      </c>
      <c r="D1468" s="13" t="s">
        <v>11832</v>
      </c>
      <c r="E1468" s="13" t="s">
        <v>11833</v>
      </c>
      <c r="F1468" s="14" t="s">
        <v>18</v>
      </c>
      <c r="G1468" s="15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</row>
    <row r="1469" ht="22.5" customHeight="1">
      <c r="A1469" s="11">
        <v>1467.0</v>
      </c>
      <c r="B1469" s="20">
        <v>61.0</v>
      </c>
      <c r="C1469" s="13" t="s">
        <v>10809</v>
      </c>
      <c r="D1469" s="13" t="s">
        <v>10810</v>
      </c>
      <c r="E1469" s="13" t="s">
        <v>10811</v>
      </c>
      <c r="F1469" s="14" t="s">
        <v>18</v>
      </c>
      <c r="G1469" s="15"/>
      <c r="H1469" s="46"/>
      <c r="I1469" s="46"/>
      <c r="J1469" s="46"/>
      <c r="K1469" s="46"/>
      <c r="L1469" s="46"/>
      <c r="M1469" s="46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  <c r="X1469" s="46"/>
      <c r="Y1469" s="46"/>
      <c r="Z1469" s="46"/>
    </row>
    <row r="1470" ht="22.5" customHeight="1">
      <c r="A1470" s="17">
        <v>1468.0</v>
      </c>
      <c r="B1470" s="20">
        <v>61.0</v>
      </c>
      <c r="C1470" s="13" t="s">
        <v>10142</v>
      </c>
      <c r="D1470" s="13" t="s">
        <v>10143</v>
      </c>
      <c r="E1470" s="13" t="s">
        <v>10144</v>
      </c>
      <c r="F1470" s="14" t="s">
        <v>18</v>
      </c>
      <c r="G1470" s="15"/>
      <c r="H1470" s="46"/>
      <c r="I1470" s="46"/>
      <c r="J1470" s="46"/>
      <c r="K1470" s="46"/>
      <c r="L1470" s="46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</row>
    <row r="1471" ht="22.5" customHeight="1">
      <c r="A1471" s="11">
        <v>1469.0</v>
      </c>
      <c r="B1471" s="20">
        <v>61.0</v>
      </c>
      <c r="C1471" s="13" t="s">
        <v>9218</v>
      </c>
      <c r="D1471" s="13" t="s">
        <v>9219</v>
      </c>
      <c r="E1471" s="13" t="s">
        <v>9220</v>
      </c>
      <c r="F1471" s="14" t="s">
        <v>18</v>
      </c>
      <c r="G1471" s="15"/>
      <c r="H1471" s="46"/>
      <c r="I1471" s="46"/>
      <c r="J1471" s="46"/>
      <c r="K1471" s="46"/>
      <c r="L1471" s="46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</row>
    <row r="1472" ht="22.5" customHeight="1">
      <c r="A1472" s="17">
        <v>1470.0</v>
      </c>
      <c r="B1472" s="20">
        <v>60.0</v>
      </c>
      <c r="C1472" s="13" t="s">
        <v>9082</v>
      </c>
      <c r="D1472" s="13" t="s">
        <v>9083</v>
      </c>
      <c r="E1472" s="13" t="s">
        <v>9084</v>
      </c>
      <c r="F1472" s="15"/>
      <c r="G1472" s="15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  <c r="Y1472" s="46"/>
      <c r="Z1472" s="46"/>
    </row>
    <row r="1473" ht="22.5" customHeight="1">
      <c r="A1473" s="11">
        <v>1471.0</v>
      </c>
      <c r="B1473" s="20">
        <v>60.0</v>
      </c>
      <c r="C1473" s="13" t="s">
        <v>11834</v>
      </c>
      <c r="D1473" s="13" t="s">
        <v>11835</v>
      </c>
      <c r="E1473" s="13" t="s">
        <v>11836</v>
      </c>
      <c r="F1473" s="14" t="s">
        <v>18</v>
      </c>
      <c r="G1473" s="15"/>
      <c r="H1473" s="46"/>
      <c r="I1473" s="46"/>
      <c r="J1473" s="46"/>
      <c r="K1473" s="46"/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</row>
    <row r="1474" ht="22.5" customHeight="1">
      <c r="A1474" s="17">
        <v>1472.0</v>
      </c>
      <c r="B1474" s="20">
        <v>60.0</v>
      </c>
      <c r="C1474" s="13" t="s">
        <v>9041</v>
      </c>
      <c r="D1474" s="13" t="s">
        <v>9042</v>
      </c>
      <c r="E1474" s="13" t="s">
        <v>11837</v>
      </c>
      <c r="F1474" s="15"/>
      <c r="G1474" s="15"/>
      <c r="H1474" s="46"/>
      <c r="I1474" s="46"/>
      <c r="J1474" s="46"/>
      <c r="K1474" s="46"/>
      <c r="L1474" s="46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  <c r="Y1474" s="46"/>
      <c r="Z1474" s="46"/>
    </row>
    <row r="1475" ht="22.5" customHeight="1">
      <c r="A1475" s="11">
        <v>1473.0</v>
      </c>
      <c r="B1475" s="20">
        <v>60.0</v>
      </c>
      <c r="C1475" s="13" t="s">
        <v>11838</v>
      </c>
      <c r="D1475" s="13" t="s">
        <v>11839</v>
      </c>
      <c r="E1475" s="13" t="s">
        <v>11840</v>
      </c>
      <c r="F1475" s="15"/>
      <c r="G1475" s="15"/>
      <c r="H1475" s="46"/>
      <c r="I1475" s="46"/>
      <c r="J1475" s="46"/>
      <c r="K1475" s="46"/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</row>
    <row r="1476" ht="22.5" customHeight="1">
      <c r="A1476" s="17">
        <v>1474.0</v>
      </c>
      <c r="B1476" s="20">
        <v>60.0</v>
      </c>
      <c r="C1476" s="13" t="s">
        <v>11441</v>
      </c>
      <c r="D1476" s="13" t="s">
        <v>11442</v>
      </c>
      <c r="E1476" s="13" t="s">
        <v>11443</v>
      </c>
      <c r="F1476" s="15"/>
      <c r="G1476" s="15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</row>
    <row r="1477" ht="22.5" customHeight="1">
      <c r="A1477" s="11">
        <v>1475.0</v>
      </c>
      <c r="B1477" s="20">
        <v>60.0</v>
      </c>
      <c r="C1477" s="13" t="s">
        <v>11841</v>
      </c>
      <c r="D1477" s="13" t="s">
        <v>11842</v>
      </c>
      <c r="E1477" s="13" t="s">
        <v>11843</v>
      </c>
      <c r="F1477" s="14" t="s">
        <v>18</v>
      </c>
      <c r="G1477" s="15"/>
      <c r="H1477" s="46"/>
      <c r="I1477" s="46"/>
      <c r="J1477" s="46"/>
      <c r="K1477" s="46"/>
      <c r="L1477" s="46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  <c r="Y1477" s="46"/>
      <c r="Z1477" s="46"/>
    </row>
    <row r="1478" ht="22.5" customHeight="1">
      <c r="A1478" s="17">
        <v>1476.0</v>
      </c>
      <c r="B1478" s="20">
        <v>60.0</v>
      </c>
      <c r="C1478" s="13" t="s">
        <v>11844</v>
      </c>
      <c r="D1478" s="13" t="s">
        <v>11845</v>
      </c>
      <c r="E1478" s="13" t="s">
        <v>11846</v>
      </c>
      <c r="F1478" s="15"/>
      <c r="G1478" s="15"/>
      <c r="H1478" s="46"/>
      <c r="I1478" s="46"/>
      <c r="J1478" s="46"/>
      <c r="K1478" s="46"/>
      <c r="L1478" s="46"/>
      <c r="M1478" s="46"/>
      <c r="N1478" s="46"/>
      <c r="O1478" s="46"/>
      <c r="P1478" s="46"/>
      <c r="Q1478" s="46"/>
      <c r="R1478" s="46"/>
      <c r="S1478" s="46"/>
      <c r="T1478" s="46"/>
      <c r="U1478" s="46"/>
      <c r="V1478" s="46"/>
      <c r="W1478" s="46"/>
      <c r="X1478" s="46"/>
      <c r="Y1478" s="46"/>
      <c r="Z1478" s="46"/>
    </row>
    <row r="1479" ht="22.5" customHeight="1">
      <c r="A1479" s="11">
        <v>1477.0</v>
      </c>
      <c r="B1479" s="20">
        <v>60.0</v>
      </c>
      <c r="C1479" s="13" t="s">
        <v>11847</v>
      </c>
      <c r="D1479" s="13" t="s">
        <v>11848</v>
      </c>
      <c r="E1479" s="13" t="s">
        <v>11849</v>
      </c>
      <c r="F1479" s="15"/>
      <c r="G1479" s="15"/>
      <c r="H1479" s="46"/>
      <c r="I1479" s="46"/>
      <c r="J1479" s="46"/>
      <c r="K1479" s="46"/>
      <c r="L1479" s="46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  <c r="Y1479" s="46"/>
      <c r="Z1479" s="46"/>
    </row>
    <row r="1480" ht="22.5" customHeight="1">
      <c r="A1480" s="17">
        <v>1478.0</v>
      </c>
      <c r="B1480" s="20">
        <v>60.0</v>
      </c>
      <c r="C1480" s="13" t="s">
        <v>11850</v>
      </c>
      <c r="D1480" s="13" t="s">
        <v>11851</v>
      </c>
      <c r="E1480" s="13" t="s">
        <v>11852</v>
      </c>
      <c r="F1480" s="15"/>
      <c r="G1480" s="15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  <c r="Y1480" s="46"/>
      <c r="Z1480" s="46"/>
    </row>
    <row r="1481" ht="22.5" customHeight="1">
      <c r="A1481" s="11">
        <v>1479.0</v>
      </c>
      <c r="B1481" s="20">
        <v>60.0</v>
      </c>
      <c r="C1481" s="13" t="s">
        <v>8774</v>
      </c>
      <c r="D1481" s="13" t="s">
        <v>8775</v>
      </c>
      <c r="E1481" s="13" t="s">
        <v>8776</v>
      </c>
      <c r="F1481" s="15"/>
      <c r="G1481" s="15"/>
      <c r="H1481" s="46"/>
      <c r="I1481" s="46"/>
      <c r="J1481" s="46"/>
      <c r="K1481" s="46"/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</row>
    <row r="1482" ht="22.5" customHeight="1">
      <c r="A1482" s="17">
        <v>1480.0</v>
      </c>
      <c r="B1482" s="20">
        <v>60.0</v>
      </c>
      <c r="C1482" s="13" t="s">
        <v>11853</v>
      </c>
      <c r="D1482" s="13" t="s">
        <v>11854</v>
      </c>
      <c r="E1482" s="13" t="s">
        <v>11855</v>
      </c>
      <c r="F1482" s="15"/>
      <c r="G1482" s="15"/>
      <c r="H1482" s="46"/>
      <c r="I1482" s="46"/>
      <c r="J1482" s="46"/>
      <c r="K1482" s="46"/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</row>
    <row r="1483" ht="22.5" customHeight="1">
      <c r="A1483" s="11">
        <v>1481.0</v>
      </c>
      <c r="B1483" s="20">
        <v>60.0</v>
      </c>
      <c r="C1483" s="13" t="s">
        <v>9440</v>
      </c>
      <c r="D1483" s="13" t="s">
        <v>3681</v>
      </c>
      <c r="E1483" s="13" t="s">
        <v>11856</v>
      </c>
      <c r="F1483" s="15"/>
      <c r="G1483" s="15"/>
      <c r="H1483" s="46"/>
      <c r="I1483" s="46"/>
      <c r="J1483" s="46"/>
      <c r="K1483" s="46"/>
      <c r="L1483" s="46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  <c r="Y1483" s="46"/>
      <c r="Z1483" s="46"/>
    </row>
    <row r="1484" ht="22.5" customHeight="1">
      <c r="A1484" s="17">
        <v>1482.0</v>
      </c>
      <c r="B1484" s="20">
        <v>60.0</v>
      </c>
      <c r="C1484" s="13" t="s">
        <v>11857</v>
      </c>
      <c r="D1484" s="13" t="s">
        <v>11858</v>
      </c>
      <c r="E1484" s="13" t="s">
        <v>11859</v>
      </c>
      <c r="F1484" s="14" t="s">
        <v>18</v>
      </c>
      <c r="G1484" s="15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</row>
    <row r="1485" ht="22.5" customHeight="1">
      <c r="A1485" s="11">
        <v>1483.0</v>
      </c>
      <c r="B1485" s="20">
        <v>60.0</v>
      </c>
      <c r="C1485" s="13" t="s">
        <v>9253</v>
      </c>
      <c r="D1485" s="13" t="s">
        <v>9254</v>
      </c>
      <c r="E1485" s="13" t="s">
        <v>9255</v>
      </c>
      <c r="F1485" s="15"/>
      <c r="G1485" s="15"/>
      <c r="H1485" s="46"/>
      <c r="I1485" s="46"/>
      <c r="J1485" s="46"/>
      <c r="K1485" s="46"/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</row>
    <row r="1486" ht="22.5" customHeight="1">
      <c r="A1486" s="17">
        <v>1484.0</v>
      </c>
      <c r="B1486" s="20">
        <v>60.0</v>
      </c>
      <c r="C1486" s="13" t="s">
        <v>6142</v>
      </c>
      <c r="D1486" s="13" t="s">
        <v>6141</v>
      </c>
      <c r="E1486" s="13" t="s">
        <v>9765</v>
      </c>
      <c r="F1486" s="15"/>
      <c r="G1486" s="15"/>
      <c r="H1486" s="46"/>
      <c r="I1486" s="46"/>
      <c r="J1486" s="46"/>
      <c r="K1486" s="46"/>
      <c r="L1486" s="46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</row>
    <row r="1487" ht="22.5" customHeight="1">
      <c r="A1487" s="11">
        <v>1485.0</v>
      </c>
      <c r="B1487" s="20">
        <v>60.0</v>
      </c>
      <c r="C1487" s="13" t="s">
        <v>11860</v>
      </c>
      <c r="D1487" s="13" t="s">
        <v>11861</v>
      </c>
      <c r="E1487" s="13" t="s">
        <v>11862</v>
      </c>
      <c r="F1487" s="14" t="s">
        <v>18</v>
      </c>
      <c r="G1487" s="15"/>
      <c r="H1487" s="46"/>
      <c r="I1487" s="46"/>
      <c r="J1487" s="46"/>
      <c r="K1487" s="46"/>
      <c r="L1487" s="46"/>
      <c r="M1487" s="46"/>
      <c r="N1487" s="46"/>
      <c r="O1487" s="46"/>
      <c r="P1487" s="46"/>
      <c r="Q1487" s="46"/>
      <c r="R1487" s="46"/>
      <c r="S1487" s="46"/>
      <c r="T1487" s="46"/>
      <c r="U1487" s="46"/>
      <c r="V1487" s="46"/>
      <c r="W1487" s="46"/>
      <c r="X1487" s="46"/>
      <c r="Y1487" s="46"/>
      <c r="Z1487" s="46"/>
    </row>
    <row r="1488" ht="22.5" customHeight="1">
      <c r="A1488" s="17">
        <v>1486.0</v>
      </c>
      <c r="B1488" s="20">
        <v>60.0</v>
      </c>
      <c r="C1488" s="13" t="s">
        <v>8975</v>
      </c>
      <c r="D1488" s="13" t="s">
        <v>8976</v>
      </c>
      <c r="E1488" s="13" t="s">
        <v>11863</v>
      </c>
      <c r="F1488" s="15"/>
      <c r="G1488" s="15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  <c r="Y1488" s="46"/>
      <c r="Z1488" s="46"/>
    </row>
    <row r="1489" ht="22.5" customHeight="1">
      <c r="A1489" s="11">
        <v>1487.0</v>
      </c>
      <c r="B1489" s="20">
        <v>60.0</v>
      </c>
      <c r="C1489" s="13" t="s">
        <v>11864</v>
      </c>
      <c r="D1489" s="13" t="s">
        <v>11865</v>
      </c>
      <c r="E1489" s="13" t="s">
        <v>11866</v>
      </c>
      <c r="F1489" s="15"/>
      <c r="G1489" s="15"/>
      <c r="H1489" s="46"/>
      <c r="I1489" s="46"/>
      <c r="J1489" s="46"/>
      <c r="K1489" s="46"/>
      <c r="L1489" s="46"/>
      <c r="M1489" s="46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  <c r="X1489" s="46"/>
      <c r="Y1489" s="46"/>
      <c r="Z1489" s="46"/>
    </row>
    <row r="1490" ht="22.5" customHeight="1">
      <c r="A1490" s="17">
        <v>1488.0</v>
      </c>
      <c r="B1490" s="20">
        <v>60.0</v>
      </c>
      <c r="C1490" s="13" t="s">
        <v>11867</v>
      </c>
      <c r="D1490" s="13" t="s">
        <v>11868</v>
      </c>
      <c r="E1490" s="13" t="s">
        <v>11869</v>
      </c>
      <c r="F1490" s="15"/>
      <c r="G1490" s="15"/>
      <c r="H1490" s="46"/>
      <c r="I1490" s="46"/>
      <c r="J1490" s="46"/>
      <c r="K1490" s="46"/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</row>
    <row r="1491" ht="22.5" customHeight="1">
      <c r="A1491" s="11">
        <v>1489.0</v>
      </c>
      <c r="B1491" s="20">
        <v>60.0</v>
      </c>
      <c r="C1491" s="13" t="s">
        <v>4475</v>
      </c>
      <c r="D1491" s="13" t="s">
        <v>4474</v>
      </c>
      <c r="E1491" s="13" t="s">
        <v>10281</v>
      </c>
      <c r="F1491" s="14" t="s">
        <v>18</v>
      </c>
      <c r="G1491" s="15"/>
      <c r="H1491" s="46"/>
      <c r="I1491" s="46"/>
      <c r="J1491" s="46"/>
      <c r="K1491" s="46"/>
      <c r="L1491" s="46"/>
      <c r="M1491" s="46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</row>
    <row r="1492" ht="22.5" customHeight="1">
      <c r="A1492" s="17">
        <v>1490.0</v>
      </c>
      <c r="B1492" s="20">
        <v>60.0</v>
      </c>
      <c r="C1492" s="13" t="s">
        <v>4868</v>
      </c>
      <c r="D1492" s="13" t="s">
        <v>4867</v>
      </c>
      <c r="E1492" s="13" t="s">
        <v>11362</v>
      </c>
      <c r="F1492" s="15"/>
      <c r="G1492" s="15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</row>
    <row r="1493" ht="22.5" customHeight="1">
      <c r="A1493" s="11">
        <v>1491.0</v>
      </c>
      <c r="B1493" s="20">
        <v>60.0</v>
      </c>
      <c r="C1493" s="13" t="s">
        <v>4892</v>
      </c>
      <c r="D1493" s="13" t="s">
        <v>4891</v>
      </c>
      <c r="E1493" s="13" t="s">
        <v>7954</v>
      </c>
      <c r="F1493" s="14" t="s">
        <v>18</v>
      </c>
      <c r="G1493" s="15"/>
      <c r="H1493" s="46"/>
      <c r="I1493" s="46"/>
      <c r="J1493" s="46"/>
      <c r="K1493" s="46"/>
      <c r="L1493" s="46"/>
      <c r="M1493" s="46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  <c r="Y1493" s="46"/>
      <c r="Z1493" s="46"/>
    </row>
    <row r="1494" ht="22.5" customHeight="1">
      <c r="A1494" s="17">
        <v>1492.0</v>
      </c>
      <c r="B1494" s="20">
        <v>60.0</v>
      </c>
      <c r="C1494" s="13" t="s">
        <v>11659</v>
      </c>
      <c r="D1494" s="13" t="s">
        <v>11660</v>
      </c>
      <c r="E1494" s="13" t="s">
        <v>11661</v>
      </c>
      <c r="F1494" s="15"/>
      <c r="G1494" s="15"/>
      <c r="H1494" s="46"/>
      <c r="I1494" s="46"/>
      <c r="J1494" s="46"/>
      <c r="K1494" s="46"/>
      <c r="L1494" s="46"/>
      <c r="M1494" s="46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  <c r="X1494" s="46"/>
      <c r="Y1494" s="46"/>
      <c r="Z1494" s="46"/>
    </row>
    <row r="1495" ht="22.5" customHeight="1">
      <c r="A1495" s="11">
        <v>1493.0</v>
      </c>
      <c r="B1495" s="20">
        <v>60.0</v>
      </c>
      <c r="C1495" s="13" t="s">
        <v>4563</v>
      </c>
      <c r="D1495" s="13" t="s">
        <v>4562</v>
      </c>
      <c r="E1495" s="13" t="s">
        <v>11870</v>
      </c>
      <c r="F1495" s="15"/>
      <c r="G1495" s="15"/>
      <c r="H1495" s="46"/>
      <c r="I1495" s="46"/>
      <c r="J1495" s="46"/>
      <c r="K1495" s="46"/>
      <c r="L1495" s="46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  <c r="Y1495" s="46"/>
      <c r="Z1495" s="46"/>
    </row>
    <row r="1496" ht="22.5" customHeight="1">
      <c r="A1496" s="17">
        <v>1494.0</v>
      </c>
      <c r="B1496" s="20">
        <v>60.0</v>
      </c>
      <c r="C1496" s="13" t="s">
        <v>9724</v>
      </c>
      <c r="D1496" s="13" t="s">
        <v>9725</v>
      </c>
      <c r="E1496" s="13" t="s">
        <v>9726</v>
      </c>
      <c r="F1496" s="15"/>
      <c r="G1496" s="15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  <c r="X1496" s="46"/>
      <c r="Y1496" s="46"/>
      <c r="Z1496" s="46"/>
    </row>
    <row r="1497" ht="22.5" customHeight="1">
      <c r="A1497" s="11">
        <v>1495.0</v>
      </c>
      <c r="B1497" s="20">
        <v>60.0</v>
      </c>
      <c r="C1497" s="13" t="s">
        <v>4519</v>
      </c>
      <c r="D1497" s="13" t="s">
        <v>4518</v>
      </c>
      <c r="E1497" s="13" t="s">
        <v>11871</v>
      </c>
      <c r="F1497" s="15"/>
      <c r="G1497" s="15"/>
      <c r="H1497" s="46"/>
      <c r="I1497" s="46"/>
      <c r="J1497" s="46"/>
      <c r="K1497" s="46"/>
      <c r="L1497" s="46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</row>
    <row r="1498" ht="22.5" customHeight="1">
      <c r="A1498" s="17">
        <v>1496.0</v>
      </c>
      <c r="B1498" s="20">
        <v>60.0</v>
      </c>
      <c r="C1498" s="13" t="s">
        <v>9262</v>
      </c>
      <c r="D1498" s="13" t="s">
        <v>9263</v>
      </c>
      <c r="E1498" s="13" t="s">
        <v>11872</v>
      </c>
      <c r="F1498" s="15"/>
      <c r="G1498" s="15"/>
      <c r="H1498" s="46"/>
      <c r="I1498" s="46"/>
      <c r="J1498" s="46"/>
      <c r="K1498" s="46"/>
      <c r="L1498" s="46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  <c r="Y1498" s="46"/>
      <c r="Z1498" s="46"/>
    </row>
    <row r="1499" ht="22.5" customHeight="1">
      <c r="A1499" s="11">
        <v>1497.0</v>
      </c>
      <c r="B1499" s="20">
        <v>60.0</v>
      </c>
      <c r="C1499" s="13" t="s">
        <v>4393</v>
      </c>
      <c r="D1499" s="13" t="s">
        <v>11873</v>
      </c>
      <c r="E1499" s="13" t="s">
        <v>11874</v>
      </c>
      <c r="F1499" s="14" t="s">
        <v>18</v>
      </c>
      <c r="G1499" s="14" t="s">
        <v>18</v>
      </c>
      <c r="H1499" s="46"/>
      <c r="I1499" s="46"/>
      <c r="J1499" s="46"/>
      <c r="K1499" s="46"/>
      <c r="L1499" s="46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</row>
    <row r="1500" ht="22.5" customHeight="1">
      <c r="A1500" s="17">
        <v>1498.0</v>
      </c>
      <c r="B1500" s="20">
        <v>60.0</v>
      </c>
      <c r="C1500" s="13" t="s">
        <v>5928</v>
      </c>
      <c r="D1500" s="13" t="s">
        <v>5927</v>
      </c>
      <c r="E1500" s="13" t="s">
        <v>9341</v>
      </c>
      <c r="F1500" s="15"/>
      <c r="G1500" s="15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  <c r="Y1500" s="46"/>
      <c r="Z1500" s="46"/>
    </row>
    <row r="1501" ht="22.5" customHeight="1">
      <c r="A1501" s="11">
        <v>1499.0</v>
      </c>
      <c r="B1501" s="20">
        <v>60.0</v>
      </c>
      <c r="C1501" s="13" t="s">
        <v>8871</v>
      </c>
      <c r="D1501" s="13" t="s">
        <v>8872</v>
      </c>
      <c r="E1501" s="13" t="s">
        <v>8873</v>
      </c>
      <c r="F1501" s="15"/>
      <c r="G1501" s="15"/>
      <c r="H1501" s="46"/>
      <c r="I1501" s="46"/>
      <c r="J1501" s="46"/>
      <c r="K1501" s="46"/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</row>
    <row r="1502" ht="22.5" customHeight="1">
      <c r="A1502" s="17">
        <v>1500.0</v>
      </c>
      <c r="B1502" s="20">
        <v>59.0</v>
      </c>
      <c r="C1502" s="13" t="s">
        <v>11875</v>
      </c>
      <c r="D1502" s="13" t="s">
        <v>11876</v>
      </c>
      <c r="E1502" s="13" t="s">
        <v>11877</v>
      </c>
      <c r="F1502" s="14" t="s">
        <v>18</v>
      </c>
      <c r="G1502" s="15"/>
      <c r="H1502" s="46"/>
      <c r="I1502" s="46"/>
      <c r="J1502" s="46"/>
      <c r="K1502" s="46"/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</row>
    <row r="1503" ht="22.5" customHeight="1">
      <c r="A1503" s="11">
        <v>1501.0</v>
      </c>
      <c r="B1503" s="20">
        <v>59.0</v>
      </c>
      <c r="C1503" s="13" t="s">
        <v>11878</v>
      </c>
      <c r="D1503" s="13" t="s">
        <v>11879</v>
      </c>
      <c r="E1503" s="13" t="s">
        <v>11880</v>
      </c>
      <c r="F1503" s="14" t="s">
        <v>18</v>
      </c>
      <c r="G1503" s="15"/>
      <c r="H1503" s="46"/>
      <c r="I1503" s="46"/>
      <c r="J1503" s="46"/>
      <c r="K1503" s="46"/>
      <c r="L1503" s="46"/>
      <c r="M1503" s="46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  <c r="X1503" s="46"/>
      <c r="Y1503" s="46"/>
      <c r="Z1503" s="46"/>
    </row>
    <row r="1504" ht="22.5" customHeight="1">
      <c r="A1504" s="17">
        <v>1502.0</v>
      </c>
      <c r="B1504" s="20">
        <v>59.0</v>
      </c>
      <c r="C1504" s="13" t="s">
        <v>11881</v>
      </c>
      <c r="D1504" s="13" t="s">
        <v>11882</v>
      </c>
      <c r="E1504" s="13" t="s">
        <v>11883</v>
      </c>
      <c r="F1504" s="14" t="s">
        <v>18</v>
      </c>
      <c r="G1504" s="15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</row>
    <row r="1505" ht="22.5" customHeight="1">
      <c r="A1505" s="11">
        <v>1503.0</v>
      </c>
      <c r="B1505" s="20">
        <v>59.0</v>
      </c>
      <c r="C1505" s="13" t="s">
        <v>9332</v>
      </c>
      <c r="D1505" s="13" t="s">
        <v>9333</v>
      </c>
      <c r="E1505" s="13" t="s">
        <v>9334</v>
      </c>
      <c r="F1505" s="15"/>
      <c r="G1505" s="15"/>
      <c r="H1505" s="46"/>
      <c r="I1505" s="46"/>
      <c r="J1505" s="46"/>
      <c r="K1505" s="46"/>
      <c r="L1505" s="46"/>
      <c r="M1505" s="46"/>
      <c r="N1505" s="46"/>
      <c r="O1505" s="46"/>
      <c r="P1505" s="46"/>
      <c r="Q1505" s="46"/>
      <c r="R1505" s="46"/>
      <c r="S1505" s="46"/>
      <c r="T1505" s="46"/>
      <c r="U1505" s="46"/>
      <c r="V1505" s="46"/>
      <c r="W1505" s="46"/>
      <c r="X1505" s="46"/>
      <c r="Y1505" s="46"/>
      <c r="Z1505" s="46"/>
    </row>
    <row r="1506" ht="22.5" customHeight="1">
      <c r="A1506" s="17">
        <v>1504.0</v>
      </c>
      <c r="B1506" s="20">
        <v>59.0</v>
      </c>
      <c r="C1506" s="13" t="s">
        <v>11884</v>
      </c>
      <c r="D1506" s="13" t="s">
        <v>11885</v>
      </c>
      <c r="E1506" s="13" t="s">
        <v>11886</v>
      </c>
      <c r="F1506" s="14" t="s">
        <v>18</v>
      </c>
      <c r="G1506" s="15"/>
      <c r="H1506" s="46"/>
      <c r="I1506" s="46"/>
      <c r="J1506" s="46"/>
      <c r="K1506" s="46"/>
      <c r="L1506" s="46"/>
      <c r="M1506" s="46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  <c r="X1506" s="46"/>
      <c r="Y1506" s="46"/>
      <c r="Z1506" s="46"/>
    </row>
    <row r="1507" ht="22.5" customHeight="1">
      <c r="A1507" s="11">
        <v>1505.0</v>
      </c>
      <c r="B1507" s="20">
        <v>59.0</v>
      </c>
      <c r="C1507" s="13" t="s">
        <v>4563</v>
      </c>
      <c r="D1507" s="13" t="s">
        <v>4562</v>
      </c>
      <c r="E1507" s="13" t="s">
        <v>11870</v>
      </c>
      <c r="F1507" s="15"/>
      <c r="G1507" s="15"/>
      <c r="H1507" s="46"/>
      <c r="I1507" s="46"/>
      <c r="J1507" s="46"/>
      <c r="K1507" s="46"/>
      <c r="L1507" s="46"/>
      <c r="M1507" s="46"/>
      <c r="N1507" s="46"/>
      <c r="O1507" s="46"/>
      <c r="P1507" s="46"/>
      <c r="Q1507" s="46"/>
      <c r="R1507" s="46"/>
      <c r="S1507" s="46"/>
      <c r="T1507" s="46"/>
      <c r="U1507" s="46"/>
      <c r="V1507" s="46"/>
      <c r="W1507" s="46"/>
      <c r="X1507" s="46"/>
      <c r="Y1507" s="46"/>
      <c r="Z1507" s="46"/>
    </row>
    <row r="1508" ht="22.5" customHeight="1">
      <c r="A1508" s="17">
        <v>1506.0</v>
      </c>
      <c r="B1508" s="20">
        <v>59.0</v>
      </c>
      <c r="C1508" s="13" t="s">
        <v>5602</v>
      </c>
      <c r="D1508" s="13" t="s">
        <v>5601</v>
      </c>
      <c r="E1508" s="13" t="s">
        <v>11222</v>
      </c>
      <c r="F1508" s="15"/>
      <c r="G1508" s="15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  <c r="X1508" s="46"/>
      <c r="Y1508" s="46"/>
      <c r="Z1508" s="46"/>
    </row>
    <row r="1509" ht="22.5" customHeight="1">
      <c r="A1509" s="11">
        <v>1507.0</v>
      </c>
      <c r="B1509" s="20">
        <v>59.0</v>
      </c>
      <c r="C1509" s="13" t="s">
        <v>11887</v>
      </c>
      <c r="D1509" s="13" t="s">
        <v>11888</v>
      </c>
      <c r="E1509" s="13" t="s">
        <v>11889</v>
      </c>
      <c r="F1509" s="15"/>
      <c r="G1509" s="15"/>
      <c r="H1509" s="46"/>
      <c r="I1509" s="46"/>
      <c r="J1509" s="46"/>
      <c r="K1509" s="46"/>
      <c r="L1509" s="46"/>
      <c r="M1509" s="46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  <c r="X1509" s="46"/>
      <c r="Y1509" s="46"/>
      <c r="Z1509" s="46"/>
    </row>
    <row r="1510" ht="22.5" customHeight="1">
      <c r="A1510" s="17">
        <v>1508.0</v>
      </c>
      <c r="B1510" s="20">
        <v>59.0</v>
      </c>
      <c r="C1510" s="13" t="s">
        <v>9674</v>
      </c>
      <c r="D1510" s="13" t="s">
        <v>9675</v>
      </c>
      <c r="E1510" s="13" t="s">
        <v>9676</v>
      </c>
      <c r="F1510" s="14" t="s">
        <v>18</v>
      </c>
      <c r="G1510" s="15"/>
      <c r="H1510" s="46"/>
      <c r="I1510" s="46"/>
      <c r="J1510" s="46"/>
      <c r="K1510" s="46"/>
      <c r="L1510" s="46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</row>
    <row r="1511" ht="22.5" customHeight="1">
      <c r="A1511" s="11">
        <v>1509.0</v>
      </c>
      <c r="B1511" s="20">
        <v>59.0</v>
      </c>
      <c r="C1511" s="13" t="s">
        <v>11890</v>
      </c>
      <c r="D1511" s="13" t="s">
        <v>11891</v>
      </c>
      <c r="E1511" s="13" t="s">
        <v>11892</v>
      </c>
      <c r="F1511" s="15"/>
      <c r="G1511" s="15"/>
      <c r="H1511" s="46"/>
      <c r="I1511" s="46"/>
      <c r="J1511" s="46"/>
      <c r="K1511" s="46"/>
      <c r="L1511" s="46"/>
      <c r="M1511" s="46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  <c r="X1511" s="46"/>
      <c r="Y1511" s="46"/>
      <c r="Z1511" s="46"/>
    </row>
    <row r="1512" ht="22.5" customHeight="1">
      <c r="A1512" s="17">
        <v>1510.0</v>
      </c>
      <c r="B1512" s="20">
        <v>59.0</v>
      </c>
      <c r="C1512" s="13" t="s">
        <v>9871</v>
      </c>
      <c r="D1512" s="13" t="s">
        <v>9872</v>
      </c>
      <c r="E1512" s="13" t="s">
        <v>9873</v>
      </c>
      <c r="F1512" s="14" t="s">
        <v>18</v>
      </c>
      <c r="G1512" s="15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  <c r="X1512" s="46"/>
      <c r="Y1512" s="46"/>
      <c r="Z1512" s="46"/>
    </row>
    <row r="1513" ht="22.5" customHeight="1">
      <c r="A1513" s="11">
        <v>1511.0</v>
      </c>
      <c r="B1513" s="20">
        <v>59.0</v>
      </c>
      <c r="C1513" s="13" t="s">
        <v>11893</v>
      </c>
      <c r="D1513" s="13" t="s">
        <v>11894</v>
      </c>
      <c r="E1513" s="13" t="s">
        <v>11895</v>
      </c>
      <c r="F1513" s="15"/>
      <c r="G1513" s="15"/>
      <c r="H1513" s="46"/>
      <c r="I1513" s="46"/>
      <c r="J1513" s="46"/>
      <c r="K1513" s="46"/>
      <c r="L1513" s="46"/>
      <c r="M1513" s="46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  <c r="X1513" s="46"/>
      <c r="Y1513" s="46"/>
      <c r="Z1513" s="46"/>
    </row>
    <row r="1514" ht="22.5" customHeight="1">
      <c r="A1514" s="17">
        <v>1512.0</v>
      </c>
      <c r="B1514" s="20">
        <v>59.0</v>
      </c>
      <c r="C1514" s="13" t="s">
        <v>11896</v>
      </c>
      <c r="D1514" s="13" t="s">
        <v>11897</v>
      </c>
      <c r="E1514" s="13" t="s">
        <v>11898</v>
      </c>
      <c r="F1514" s="15"/>
      <c r="G1514" s="15"/>
      <c r="H1514" s="46"/>
      <c r="I1514" s="46"/>
      <c r="J1514" s="46"/>
      <c r="K1514" s="46"/>
      <c r="L1514" s="46"/>
      <c r="M1514" s="46"/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  <c r="X1514" s="46"/>
      <c r="Y1514" s="46"/>
      <c r="Z1514" s="46"/>
    </row>
    <row r="1515" ht="22.5" customHeight="1">
      <c r="A1515" s="11">
        <v>1513.0</v>
      </c>
      <c r="B1515" s="20">
        <v>59.0</v>
      </c>
      <c r="C1515" s="13" t="s">
        <v>11899</v>
      </c>
      <c r="D1515" s="13" t="s">
        <v>11900</v>
      </c>
      <c r="E1515" s="13" t="s">
        <v>11901</v>
      </c>
      <c r="F1515" s="14" t="s">
        <v>18</v>
      </c>
      <c r="G1515" s="15"/>
      <c r="H1515" s="46"/>
      <c r="I1515" s="46"/>
      <c r="J1515" s="46"/>
      <c r="K1515" s="46"/>
      <c r="L1515" s="46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  <c r="Y1515" s="46"/>
      <c r="Z1515" s="46"/>
    </row>
    <row r="1516" ht="22.5" customHeight="1">
      <c r="A1516" s="17">
        <v>1514.0</v>
      </c>
      <c r="B1516" s="20">
        <v>59.0</v>
      </c>
      <c r="C1516" s="13" t="s">
        <v>11902</v>
      </c>
      <c r="D1516" s="13" t="s">
        <v>11903</v>
      </c>
      <c r="E1516" s="13" t="s">
        <v>11904</v>
      </c>
      <c r="F1516" s="15"/>
      <c r="G1516" s="15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  <c r="X1516" s="46"/>
      <c r="Y1516" s="46"/>
      <c r="Z1516" s="46"/>
    </row>
    <row r="1517" ht="22.5" customHeight="1">
      <c r="A1517" s="11">
        <v>1515.0</v>
      </c>
      <c r="B1517" s="20">
        <v>59.0</v>
      </c>
      <c r="C1517" s="13" t="s">
        <v>11905</v>
      </c>
      <c r="D1517" s="13" t="s">
        <v>3488</v>
      </c>
      <c r="E1517" s="13" t="s">
        <v>3489</v>
      </c>
      <c r="F1517" s="14" t="s">
        <v>18</v>
      </c>
      <c r="G1517" s="15"/>
      <c r="H1517" s="46"/>
      <c r="I1517" s="46"/>
      <c r="J1517" s="46"/>
      <c r="K1517" s="46"/>
      <c r="L1517" s="46"/>
      <c r="M1517" s="46"/>
      <c r="N1517" s="46"/>
      <c r="O1517" s="46"/>
      <c r="P1517" s="46"/>
      <c r="Q1517" s="46"/>
      <c r="R1517" s="46"/>
      <c r="S1517" s="46"/>
      <c r="T1517" s="46"/>
      <c r="U1517" s="46"/>
      <c r="V1517" s="46"/>
      <c r="W1517" s="46"/>
      <c r="X1517" s="46"/>
      <c r="Y1517" s="46"/>
      <c r="Z1517" s="46"/>
    </row>
    <row r="1518" ht="22.5" customHeight="1">
      <c r="A1518" s="17">
        <v>1516.0</v>
      </c>
      <c r="B1518" s="20">
        <v>59.0</v>
      </c>
      <c r="C1518" s="13" t="s">
        <v>11906</v>
      </c>
      <c r="D1518" s="13" t="s">
        <v>11907</v>
      </c>
      <c r="E1518" s="13" t="s">
        <v>11908</v>
      </c>
      <c r="F1518" s="15"/>
      <c r="G1518" s="15"/>
      <c r="H1518" s="46"/>
      <c r="I1518" s="46"/>
      <c r="J1518" s="46"/>
      <c r="K1518" s="46"/>
      <c r="L1518" s="46"/>
      <c r="M1518" s="46"/>
      <c r="N1518" s="46"/>
      <c r="O1518" s="46"/>
      <c r="P1518" s="46"/>
      <c r="Q1518" s="46"/>
      <c r="R1518" s="46"/>
      <c r="S1518" s="46"/>
      <c r="T1518" s="46"/>
      <c r="U1518" s="46"/>
      <c r="V1518" s="46"/>
      <c r="W1518" s="46"/>
      <c r="X1518" s="46"/>
      <c r="Y1518" s="46"/>
      <c r="Z1518" s="46"/>
    </row>
    <row r="1519" ht="22.5" customHeight="1">
      <c r="A1519" s="11">
        <v>1517.0</v>
      </c>
      <c r="B1519" s="20">
        <v>59.0</v>
      </c>
      <c r="C1519" s="13" t="s">
        <v>11909</v>
      </c>
      <c r="D1519" s="13" t="s">
        <v>11910</v>
      </c>
      <c r="E1519" s="13" t="s">
        <v>11911</v>
      </c>
      <c r="F1519" s="14" t="s">
        <v>18</v>
      </c>
      <c r="G1519" s="14" t="s">
        <v>18</v>
      </c>
      <c r="H1519" s="46"/>
      <c r="I1519" s="46"/>
      <c r="J1519" s="46"/>
      <c r="K1519" s="46"/>
      <c r="L1519" s="46"/>
      <c r="M1519" s="46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</row>
    <row r="1520" ht="22.5" customHeight="1">
      <c r="A1520" s="17">
        <v>1518.0</v>
      </c>
      <c r="B1520" s="20">
        <v>59.0</v>
      </c>
      <c r="C1520" s="13" t="s">
        <v>11912</v>
      </c>
      <c r="D1520" s="13" t="s">
        <v>11913</v>
      </c>
      <c r="E1520" s="13" t="s">
        <v>11914</v>
      </c>
      <c r="F1520" s="14" t="s">
        <v>18</v>
      </c>
      <c r="G1520" s="15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  <c r="S1520" s="46"/>
      <c r="T1520" s="46"/>
      <c r="U1520" s="46"/>
      <c r="V1520" s="46"/>
      <c r="W1520" s="46"/>
      <c r="X1520" s="46"/>
      <c r="Y1520" s="46"/>
      <c r="Z1520" s="46"/>
    </row>
    <row r="1521" ht="22.5" customHeight="1">
      <c r="A1521" s="11">
        <v>1519.0</v>
      </c>
      <c r="B1521" s="20">
        <v>59.0</v>
      </c>
      <c r="C1521" s="13" t="s">
        <v>9020</v>
      </c>
      <c r="D1521" s="13" t="s">
        <v>1730</v>
      </c>
      <c r="E1521" s="13" t="s">
        <v>3265</v>
      </c>
      <c r="F1521" s="14" t="s">
        <v>18</v>
      </c>
      <c r="G1521" s="15"/>
      <c r="H1521" s="46"/>
      <c r="I1521" s="46"/>
      <c r="J1521" s="46"/>
      <c r="K1521" s="46"/>
      <c r="L1521" s="46"/>
      <c r="M1521" s="46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  <c r="X1521" s="46"/>
      <c r="Y1521" s="46"/>
      <c r="Z1521" s="46"/>
    </row>
    <row r="1522" ht="22.5" customHeight="1">
      <c r="A1522" s="17">
        <v>1520.0</v>
      </c>
      <c r="B1522" s="20">
        <v>59.0</v>
      </c>
      <c r="C1522" s="13" t="s">
        <v>11915</v>
      </c>
      <c r="D1522" s="13" t="s">
        <v>11916</v>
      </c>
      <c r="E1522" s="13" t="s">
        <v>11917</v>
      </c>
      <c r="F1522" s="14" t="s">
        <v>18</v>
      </c>
      <c r="G1522" s="14" t="s">
        <v>18</v>
      </c>
      <c r="H1522" s="46"/>
      <c r="I1522" s="46"/>
      <c r="J1522" s="46"/>
      <c r="K1522" s="46"/>
      <c r="L1522" s="46"/>
      <c r="M1522" s="46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  <c r="X1522" s="46"/>
      <c r="Y1522" s="46"/>
      <c r="Z1522" s="46"/>
    </row>
    <row r="1523" ht="22.5" customHeight="1">
      <c r="A1523" s="11">
        <v>1521.0</v>
      </c>
      <c r="B1523" s="20">
        <v>59.0</v>
      </c>
      <c r="C1523" s="13" t="s">
        <v>10574</v>
      </c>
      <c r="D1523" s="13" t="s">
        <v>10575</v>
      </c>
      <c r="E1523" s="13" t="s">
        <v>10576</v>
      </c>
      <c r="F1523" s="14" t="s">
        <v>18</v>
      </c>
      <c r="G1523" s="14" t="s">
        <v>18</v>
      </c>
      <c r="H1523" s="46"/>
      <c r="I1523" s="46"/>
      <c r="J1523" s="46"/>
      <c r="K1523" s="46"/>
      <c r="L1523" s="46"/>
      <c r="M1523" s="46"/>
      <c r="N1523" s="46"/>
      <c r="O1523" s="46"/>
      <c r="P1523" s="46"/>
      <c r="Q1523" s="46"/>
      <c r="R1523" s="46"/>
      <c r="S1523" s="46"/>
      <c r="T1523" s="46"/>
      <c r="U1523" s="46"/>
      <c r="V1523" s="46"/>
      <c r="W1523" s="46"/>
      <c r="X1523" s="46"/>
      <c r="Y1523" s="46"/>
      <c r="Z1523" s="46"/>
    </row>
    <row r="1524" ht="22.5" customHeight="1">
      <c r="A1524" s="17">
        <v>1522.0</v>
      </c>
      <c r="B1524" s="20">
        <v>59.0</v>
      </c>
      <c r="C1524" s="13" t="s">
        <v>11918</v>
      </c>
      <c r="D1524" s="13" t="s">
        <v>11919</v>
      </c>
      <c r="E1524" s="13" t="s">
        <v>11920</v>
      </c>
      <c r="F1524" s="15"/>
      <c r="G1524" s="15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  <c r="X1524" s="46"/>
      <c r="Y1524" s="46"/>
      <c r="Z1524" s="46"/>
    </row>
    <row r="1525" ht="22.5" customHeight="1">
      <c r="A1525" s="11">
        <v>1523.0</v>
      </c>
      <c r="B1525" s="20">
        <v>59.0</v>
      </c>
      <c r="C1525" s="13" t="s">
        <v>11921</v>
      </c>
      <c r="D1525" s="13" t="s">
        <v>11922</v>
      </c>
      <c r="E1525" s="13" t="s">
        <v>11923</v>
      </c>
      <c r="F1525" s="14" t="s">
        <v>18</v>
      </c>
      <c r="G1525" s="15"/>
      <c r="H1525" s="46"/>
      <c r="I1525" s="46"/>
      <c r="J1525" s="46"/>
      <c r="K1525" s="46"/>
      <c r="L1525" s="46"/>
      <c r="M1525" s="46"/>
      <c r="N1525" s="46"/>
      <c r="O1525" s="46"/>
      <c r="P1525" s="46"/>
      <c r="Q1525" s="46"/>
      <c r="R1525" s="46"/>
      <c r="S1525" s="46"/>
      <c r="T1525" s="46"/>
      <c r="U1525" s="46"/>
      <c r="V1525" s="46"/>
      <c r="W1525" s="46"/>
      <c r="X1525" s="46"/>
      <c r="Y1525" s="46"/>
      <c r="Z1525" s="46"/>
    </row>
    <row r="1526" ht="22.5" customHeight="1">
      <c r="A1526" s="17">
        <v>1524.0</v>
      </c>
      <c r="B1526" s="20">
        <v>59.0</v>
      </c>
      <c r="C1526" s="13" t="s">
        <v>11924</v>
      </c>
      <c r="D1526" s="13" t="s">
        <v>11925</v>
      </c>
      <c r="E1526" s="13" t="s">
        <v>11926</v>
      </c>
      <c r="F1526" s="15"/>
      <c r="G1526" s="15"/>
      <c r="H1526" s="46"/>
      <c r="I1526" s="46"/>
      <c r="J1526" s="46"/>
      <c r="K1526" s="46"/>
      <c r="L1526" s="46"/>
      <c r="M1526" s="46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  <c r="X1526" s="46"/>
      <c r="Y1526" s="46"/>
      <c r="Z1526" s="46"/>
    </row>
    <row r="1527" ht="22.5" customHeight="1">
      <c r="A1527" s="11">
        <v>1525.0</v>
      </c>
      <c r="B1527" s="20">
        <v>59.0</v>
      </c>
      <c r="C1527" s="13" t="s">
        <v>6114</v>
      </c>
      <c r="D1527" s="13" t="s">
        <v>1931</v>
      </c>
      <c r="E1527" s="13" t="s">
        <v>1932</v>
      </c>
      <c r="F1527" s="14" t="s">
        <v>18</v>
      </c>
      <c r="G1527" s="14" t="s">
        <v>18</v>
      </c>
      <c r="H1527" s="46"/>
      <c r="I1527" s="46"/>
      <c r="J1527" s="46"/>
      <c r="K1527" s="46"/>
      <c r="L1527" s="46"/>
      <c r="M1527" s="46"/>
      <c r="N1527" s="46"/>
      <c r="O1527" s="46"/>
      <c r="P1527" s="46"/>
      <c r="Q1527" s="46"/>
      <c r="R1527" s="46"/>
      <c r="S1527" s="46"/>
      <c r="T1527" s="46"/>
      <c r="U1527" s="46"/>
      <c r="V1527" s="46"/>
      <c r="W1527" s="46"/>
      <c r="X1527" s="46"/>
      <c r="Y1527" s="46"/>
      <c r="Z1527" s="46"/>
    </row>
    <row r="1528" ht="22.5" customHeight="1">
      <c r="A1528" s="17">
        <v>1526.0</v>
      </c>
      <c r="B1528" s="20">
        <v>59.0</v>
      </c>
      <c r="C1528" s="13" t="s">
        <v>11927</v>
      </c>
      <c r="D1528" s="13" t="s">
        <v>11928</v>
      </c>
      <c r="E1528" s="13" t="s">
        <v>11929</v>
      </c>
      <c r="F1528" s="14" t="s">
        <v>18</v>
      </c>
      <c r="G1528" s="15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</row>
    <row r="1529" ht="22.5" customHeight="1">
      <c r="A1529" s="11">
        <v>1527.0</v>
      </c>
      <c r="B1529" s="20">
        <v>59.0</v>
      </c>
      <c r="C1529" s="13" t="s">
        <v>9574</v>
      </c>
      <c r="D1529" s="13" t="s">
        <v>9575</v>
      </c>
      <c r="E1529" s="13" t="s">
        <v>9576</v>
      </c>
      <c r="F1529" s="15"/>
      <c r="G1529" s="15"/>
      <c r="H1529" s="46"/>
      <c r="I1529" s="46"/>
      <c r="J1529" s="46"/>
      <c r="K1529" s="46"/>
      <c r="L1529" s="46"/>
      <c r="M1529" s="46"/>
      <c r="N1529" s="46"/>
      <c r="O1529" s="46"/>
      <c r="P1529" s="46"/>
      <c r="Q1529" s="46"/>
      <c r="R1529" s="46"/>
      <c r="S1529" s="46"/>
      <c r="T1529" s="46"/>
      <c r="U1529" s="46"/>
      <c r="V1529" s="46"/>
      <c r="W1529" s="46"/>
      <c r="X1529" s="46"/>
      <c r="Y1529" s="46"/>
      <c r="Z1529" s="46"/>
    </row>
    <row r="1530" ht="22.5" customHeight="1">
      <c r="A1530" s="17">
        <v>1528.0</v>
      </c>
      <c r="B1530" s="20">
        <v>59.0</v>
      </c>
      <c r="C1530" s="13" t="s">
        <v>9849</v>
      </c>
      <c r="D1530" s="13" t="s">
        <v>9850</v>
      </c>
      <c r="E1530" s="13" t="s">
        <v>9851</v>
      </c>
      <c r="F1530" s="15"/>
      <c r="G1530" s="15"/>
      <c r="H1530" s="46"/>
      <c r="I1530" s="46"/>
      <c r="J1530" s="46"/>
      <c r="K1530" s="46"/>
      <c r="L1530" s="46"/>
      <c r="M1530" s="46"/>
      <c r="N1530" s="46"/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</row>
    <row r="1531" ht="22.5" customHeight="1">
      <c r="A1531" s="11">
        <v>1529.0</v>
      </c>
      <c r="B1531" s="20">
        <v>59.0</v>
      </c>
      <c r="C1531" s="13" t="s">
        <v>9571</v>
      </c>
      <c r="D1531" s="13" t="s">
        <v>9572</v>
      </c>
      <c r="E1531" s="13" t="s">
        <v>9573</v>
      </c>
      <c r="F1531" s="15"/>
      <c r="G1531" s="15"/>
      <c r="H1531" s="46"/>
      <c r="I1531" s="46"/>
      <c r="J1531" s="46"/>
      <c r="K1531" s="46"/>
      <c r="L1531" s="46"/>
      <c r="M1531" s="46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  <c r="X1531" s="46"/>
      <c r="Y1531" s="46"/>
      <c r="Z1531" s="46"/>
    </row>
    <row r="1532" ht="22.5" customHeight="1">
      <c r="A1532" s="17">
        <v>1530.0</v>
      </c>
      <c r="B1532" s="20">
        <v>58.0</v>
      </c>
      <c r="C1532" s="13" t="s">
        <v>11930</v>
      </c>
      <c r="D1532" s="13" t="s">
        <v>11931</v>
      </c>
      <c r="E1532" s="13" t="s">
        <v>11932</v>
      </c>
      <c r="F1532" s="14" t="s">
        <v>18</v>
      </c>
      <c r="G1532" s="15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  <c r="Y1532" s="46"/>
      <c r="Z1532" s="46"/>
    </row>
    <row r="1533" ht="22.5" customHeight="1">
      <c r="A1533" s="11">
        <v>1531.0</v>
      </c>
      <c r="B1533" s="20">
        <v>58.0</v>
      </c>
      <c r="C1533" s="13" t="s">
        <v>11933</v>
      </c>
      <c r="D1533" s="13" t="s">
        <v>11934</v>
      </c>
      <c r="E1533" s="13" t="s">
        <v>11935</v>
      </c>
      <c r="F1533" s="15"/>
      <c r="G1533" s="15"/>
      <c r="H1533" s="46"/>
      <c r="I1533" s="46"/>
      <c r="J1533" s="46"/>
      <c r="K1533" s="46"/>
      <c r="L1533" s="46"/>
      <c r="M1533" s="46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  <c r="X1533" s="46"/>
      <c r="Y1533" s="46"/>
      <c r="Z1533" s="46"/>
    </row>
    <row r="1534" ht="22.5" customHeight="1">
      <c r="A1534" s="17">
        <v>1532.0</v>
      </c>
      <c r="B1534" s="20">
        <v>58.0</v>
      </c>
      <c r="C1534" s="13" t="s">
        <v>8927</v>
      </c>
      <c r="D1534" s="13" t="s">
        <v>1702</v>
      </c>
      <c r="E1534" s="13" t="s">
        <v>3007</v>
      </c>
      <c r="F1534" s="15"/>
      <c r="G1534" s="15"/>
      <c r="H1534" s="46"/>
      <c r="I1534" s="46"/>
      <c r="J1534" s="46"/>
      <c r="K1534" s="46"/>
      <c r="L1534" s="46"/>
      <c r="M1534" s="46"/>
      <c r="N1534" s="46"/>
      <c r="O1534" s="46"/>
      <c r="P1534" s="46"/>
      <c r="Q1534" s="46"/>
      <c r="R1534" s="46"/>
      <c r="S1534" s="46"/>
      <c r="T1534" s="46"/>
      <c r="U1534" s="46"/>
      <c r="V1534" s="46"/>
      <c r="W1534" s="46"/>
      <c r="X1534" s="46"/>
      <c r="Y1534" s="46"/>
      <c r="Z1534" s="46"/>
    </row>
    <row r="1535" ht="22.5" customHeight="1">
      <c r="A1535" s="11">
        <v>1533.0</v>
      </c>
      <c r="B1535" s="20">
        <v>58.0</v>
      </c>
      <c r="C1535" s="13" t="s">
        <v>11936</v>
      </c>
      <c r="D1535" s="13" t="s">
        <v>11937</v>
      </c>
      <c r="E1535" s="13" t="s">
        <v>11938</v>
      </c>
      <c r="F1535" s="14" t="s">
        <v>18</v>
      </c>
      <c r="G1535" s="15"/>
      <c r="H1535" s="46"/>
      <c r="I1535" s="46"/>
      <c r="J1535" s="46"/>
      <c r="K1535" s="46"/>
      <c r="L1535" s="46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  <c r="Y1535" s="46"/>
      <c r="Z1535" s="46"/>
    </row>
    <row r="1536" ht="22.5" customHeight="1">
      <c r="A1536" s="17">
        <v>1534.0</v>
      </c>
      <c r="B1536" s="20">
        <v>58.0</v>
      </c>
      <c r="C1536" s="13" t="s">
        <v>4976</v>
      </c>
      <c r="D1536" s="13" t="s">
        <v>4975</v>
      </c>
      <c r="E1536" s="13" t="s">
        <v>11939</v>
      </c>
      <c r="F1536" s="14" t="s">
        <v>18</v>
      </c>
      <c r="G1536" s="15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</row>
    <row r="1537" ht="22.5" customHeight="1">
      <c r="A1537" s="11">
        <v>1535.0</v>
      </c>
      <c r="B1537" s="20">
        <v>58.0</v>
      </c>
      <c r="C1537" s="13" t="s">
        <v>9730</v>
      </c>
      <c r="D1537" s="13" t="s">
        <v>9731</v>
      </c>
      <c r="E1537" s="13" t="s">
        <v>7904</v>
      </c>
      <c r="F1537" s="15"/>
      <c r="G1537" s="15"/>
      <c r="H1537" s="46"/>
      <c r="I1537" s="46"/>
      <c r="J1537" s="46"/>
      <c r="K1537" s="46"/>
      <c r="L1537" s="46"/>
      <c r="M1537" s="46"/>
      <c r="N1537" s="46"/>
      <c r="O1537" s="46"/>
      <c r="P1537" s="46"/>
      <c r="Q1537" s="46"/>
      <c r="R1537" s="46"/>
      <c r="S1537" s="46"/>
      <c r="T1537" s="46"/>
      <c r="U1537" s="46"/>
      <c r="V1537" s="46"/>
      <c r="W1537" s="46"/>
      <c r="X1537" s="46"/>
      <c r="Y1537" s="46"/>
      <c r="Z1537" s="46"/>
    </row>
    <row r="1538" ht="22.5" customHeight="1">
      <c r="A1538" s="17">
        <v>1536.0</v>
      </c>
      <c r="B1538" s="20">
        <v>58.0</v>
      </c>
      <c r="C1538" s="13" t="s">
        <v>8759</v>
      </c>
      <c r="D1538" s="13" t="s">
        <v>11940</v>
      </c>
      <c r="E1538" s="13" t="s">
        <v>8761</v>
      </c>
      <c r="F1538" s="15"/>
      <c r="G1538" s="15"/>
      <c r="H1538" s="46"/>
      <c r="I1538" s="46"/>
      <c r="J1538" s="46"/>
      <c r="K1538" s="46"/>
      <c r="L1538" s="46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  <c r="Y1538" s="46"/>
      <c r="Z1538" s="46"/>
    </row>
    <row r="1539" ht="22.5" customHeight="1">
      <c r="A1539" s="11">
        <v>1537.0</v>
      </c>
      <c r="B1539" s="20">
        <v>58.0</v>
      </c>
      <c r="C1539" s="13" t="s">
        <v>11941</v>
      </c>
      <c r="D1539" s="13" t="s">
        <v>11942</v>
      </c>
      <c r="E1539" s="13" t="s">
        <v>11943</v>
      </c>
      <c r="F1539" s="14" t="s">
        <v>18</v>
      </c>
      <c r="G1539" s="15"/>
      <c r="H1539" s="46"/>
      <c r="I1539" s="46"/>
      <c r="J1539" s="46"/>
      <c r="K1539" s="46"/>
      <c r="L1539" s="46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  <c r="Y1539" s="46"/>
      <c r="Z1539" s="46"/>
    </row>
    <row r="1540" ht="22.5" customHeight="1">
      <c r="A1540" s="17">
        <v>1538.0</v>
      </c>
      <c r="B1540" s="20">
        <v>58.0</v>
      </c>
      <c r="C1540" s="13" t="s">
        <v>10677</v>
      </c>
      <c r="D1540" s="13" t="s">
        <v>10678</v>
      </c>
      <c r="E1540" s="13" t="s">
        <v>10679</v>
      </c>
      <c r="F1540" s="15"/>
      <c r="G1540" s="15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46"/>
      <c r="Y1540" s="46"/>
      <c r="Z1540" s="46"/>
    </row>
    <row r="1541" ht="22.5" customHeight="1">
      <c r="A1541" s="11">
        <v>1539.0</v>
      </c>
      <c r="B1541" s="20">
        <v>58.0</v>
      </c>
      <c r="C1541" s="13" t="s">
        <v>9347</v>
      </c>
      <c r="D1541" s="13" t="s">
        <v>9348</v>
      </c>
      <c r="E1541" s="13" t="s">
        <v>11542</v>
      </c>
      <c r="F1541" s="15"/>
      <c r="G1541" s="15"/>
      <c r="H1541" s="46"/>
      <c r="I1541" s="46"/>
      <c r="J1541" s="46"/>
      <c r="K1541" s="46"/>
      <c r="L1541" s="46"/>
      <c r="M1541" s="46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  <c r="X1541" s="46"/>
      <c r="Y1541" s="46"/>
      <c r="Z1541" s="46"/>
    </row>
    <row r="1542" ht="22.5" customHeight="1">
      <c r="A1542" s="17">
        <v>1540.0</v>
      </c>
      <c r="B1542" s="20">
        <v>58.0</v>
      </c>
      <c r="C1542" s="13" t="s">
        <v>8780</v>
      </c>
      <c r="D1542" s="13" t="s">
        <v>8781</v>
      </c>
      <c r="E1542" s="13" t="s">
        <v>8782</v>
      </c>
      <c r="F1542" s="15"/>
      <c r="G1542" s="15"/>
      <c r="H1542" s="46"/>
      <c r="I1542" s="46"/>
      <c r="J1542" s="46"/>
      <c r="K1542" s="46"/>
      <c r="L1542" s="46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</row>
    <row r="1543" ht="22.5" customHeight="1">
      <c r="A1543" s="11">
        <v>1541.0</v>
      </c>
      <c r="B1543" s="20">
        <v>58.0</v>
      </c>
      <c r="C1543" s="13" t="s">
        <v>11944</v>
      </c>
      <c r="D1543" s="13" t="s">
        <v>11945</v>
      </c>
      <c r="E1543" s="13" t="s">
        <v>11946</v>
      </c>
      <c r="F1543" s="14" t="s">
        <v>18</v>
      </c>
      <c r="G1543" s="15"/>
      <c r="H1543" s="46"/>
      <c r="I1543" s="46"/>
      <c r="J1543" s="46"/>
      <c r="K1543" s="46"/>
      <c r="L1543" s="46"/>
      <c r="M1543" s="46"/>
      <c r="N1543" s="46"/>
      <c r="O1543" s="46"/>
      <c r="P1543" s="46"/>
      <c r="Q1543" s="46"/>
      <c r="R1543" s="46"/>
      <c r="S1543" s="46"/>
      <c r="T1543" s="46"/>
      <c r="U1543" s="46"/>
      <c r="V1543" s="46"/>
      <c r="W1543" s="46"/>
      <c r="X1543" s="46"/>
      <c r="Y1543" s="46"/>
      <c r="Z1543" s="46"/>
    </row>
    <row r="1544" ht="22.5" customHeight="1">
      <c r="A1544" s="17">
        <v>1542.0</v>
      </c>
      <c r="B1544" s="20">
        <v>58.0</v>
      </c>
      <c r="C1544" s="13" t="s">
        <v>11947</v>
      </c>
      <c r="D1544" s="13" t="s">
        <v>11948</v>
      </c>
      <c r="E1544" s="13" t="s">
        <v>11949</v>
      </c>
      <c r="F1544" s="15"/>
      <c r="G1544" s="15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  <c r="Y1544" s="46"/>
      <c r="Z1544" s="46"/>
    </row>
    <row r="1545" ht="22.5" customHeight="1">
      <c r="A1545" s="11">
        <v>1543.0</v>
      </c>
      <c r="B1545" s="20">
        <v>58.0</v>
      </c>
      <c r="C1545" s="13" t="s">
        <v>11950</v>
      </c>
      <c r="D1545" s="13" t="s">
        <v>11951</v>
      </c>
      <c r="E1545" s="13" t="s">
        <v>11952</v>
      </c>
      <c r="F1545" s="14" t="s">
        <v>18</v>
      </c>
      <c r="G1545" s="15"/>
      <c r="H1545" s="46"/>
      <c r="I1545" s="46"/>
      <c r="J1545" s="46"/>
      <c r="K1545" s="46"/>
      <c r="L1545" s="46"/>
      <c r="M1545" s="46"/>
      <c r="N1545" s="46"/>
      <c r="O1545" s="46"/>
      <c r="P1545" s="46"/>
      <c r="Q1545" s="46"/>
      <c r="R1545" s="46"/>
      <c r="S1545" s="46"/>
      <c r="T1545" s="46"/>
      <c r="U1545" s="46"/>
      <c r="V1545" s="46"/>
      <c r="W1545" s="46"/>
      <c r="X1545" s="46"/>
      <c r="Y1545" s="46"/>
      <c r="Z1545" s="46"/>
    </row>
    <row r="1546" ht="22.5" customHeight="1">
      <c r="A1546" s="17">
        <v>1544.0</v>
      </c>
      <c r="B1546" s="20">
        <v>58.0</v>
      </c>
      <c r="C1546" s="13" t="s">
        <v>9509</v>
      </c>
      <c r="D1546" s="13" t="s">
        <v>9510</v>
      </c>
      <c r="E1546" s="13" t="s">
        <v>9511</v>
      </c>
      <c r="F1546" s="14" t="s">
        <v>18</v>
      </c>
      <c r="G1546" s="15"/>
      <c r="H1546" s="46"/>
      <c r="I1546" s="46"/>
      <c r="J1546" s="46"/>
      <c r="K1546" s="46"/>
      <c r="L1546" s="46"/>
      <c r="M1546" s="46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  <c r="X1546" s="46"/>
      <c r="Y1546" s="46"/>
      <c r="Z1546" s="46"/>
    </row>
    <row r="1547" ht="22.5" customHeight="1">
      <c r="A1547" s="11">
        <v>1545.0</v>
      </c>
      <c r="B1547" s="20">
        <v>58.0</v>
      </c>
      <c r="C1547" s="13" t="s">
        <v>9180</v>
      </c>
      <c r="D1547" s="13" t="s">
        <v>9181</v>
      </c>
      <c r="E1547" s="13" t="s">
        <v>9182</v>
      </c>
      <c r="F1547" s="14" t="s">
        <v>18</v>
      </c>
      <c r="G1547" s="15"/>
      <c r="H1547" s="46"/>
      <c r="I1547" s="46"/>
      <c r="J1547" s="46"/>
      <c r="K1547" s="46"/>
      <c r="L1547" s="46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/>
    </row>
    <row r="1548" ht="22.5" customHeight="1">
      <c r="A1548" s="17">
        <v>1546.0</v>
      </c>
      <c r="B1548" s="20">
        <v>58.0</v>
      </c>
      <c r="C1548" s="13" t="s">
        <v>11953</v>
      </c>
      <c r="D1548" s="13" t="s">
        <v>11954</v>
      </c>
      <c r="E1548" s="13" t="s">
        <v>11955</v>
      </c>
      <c r="F1548" s="15"/>
      <c r="G1548" s="15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</row>
    <row r="1549" ht="22.5" customHeight="1">
      <c r="A1549" s="11">
        <v>1547.0</v>
      </c>
      <c r="B1549" s="20">
        <v>58.0</v>
      </c>
      <c r="C1549" s="13" t="s">
        <v>1418</v>
      </c>
      <c r="D1549" s="13" t="s">
        <v>1272</v>
      </c>
      <c r="E1549" s="13" t="s">
        <v>1987</v>
      </c>
      <c r="F1549" s="15"/>
      <c r="G1549" s="15"/>
      <c r="H1549" s="46"/>
      <c r="I1549" s="46"/>
      <c r="J1549" s="46"/>
      <c r="K1549" s="46"/>
      <c r="L1549" s="46"/>
      <c r="M1549" s="46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  <c r="X1549" s="46"/>
      <c r="Y1549" s="46"/>
      <c r="Z1549" s="46"/>
    </row>
    <row r="1550" ht="22.5" customHeight="1">
      <c r="A1550" s="17">
        <v>1548.0</v>
      </c>
      <c r="B1550" s="20">
        <v>58.0</v>
      </c>
      <c r="C1550" s="13" t="s">
        <v>11956</v>
      </c>
      <c r="D1550" s="13" t="s">
        <v>11957</v>
      </c>
      <c r="E1550" s="13" t="s">
        <v>11958</v>
      </c>
      <c r="F1550" s="15"/>
      <c r="G1550" s="15"/>
      <c r="H1550" s="46"/>
      <c r="I1550" s="46"/>
      <c r="J1550" s="46"/>
      <c r="K1550" s="46"/>
      <c r="L1550" s="46"/>
      <c r="M1550" s="46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  <c r="X1550" s="46"/>
      <c r="Y1550" s="46"/>
      <c r="Z1550" s="46"/>
    </row>
    <row r="1551" ht="22.5" customHeight="1">
      <c r="A1551" s="11">
        <v>1549.0</v>
      </c>
      <c r="B1551" s="20">
        <v>58.0</v>
      </c>
      <c r="C1551" s="13" t="s">
        <v>8907</v>
      </c>
      <c r="D1551" s="13" t="s">
        <v>8908</v>
      </c>
      <c r="E1551" s="13" t="s">
        <v>8909</v>
      </c>
      <c r="F1551" s="14" t="s">
        <v>18</v>
      </c>
      <c r="G1551" s="15"/>
      <c r="H1551" s="46"/>
      <c r="I1551" s="46"/>
      <c r="J1551" s="46"/>
      <c r="K1551" s="46"/>
      <c r="L1551" s="46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</row>
    <row r="1552" ht="22.5" customHeight="1">
      <c r="A1552" s="17">
        <v>1550.0</v>
      </c>
      <c r="B1552" s="20">
        <v>58.0</v>
      </c>
      <c r="C1552" s="13" t="s">
        <v>11959</v>
      </c>
      <c r="D1552" s="13" t="s">
        <v>11960</v>
      </c>
      <c r="E1552" s="13" t="s">
        <v>11961</v>
      </c>
      <c r="F1552" s="14" t="s">
        <v>18</v>
      </c>
      <c r="G1552" s="15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</row>
    <row r="1553" ht="22.5" customHeight="1">
      <c r="A1553" s="11">
        <v>1551.0</v>
      </c>
      <c r="B1553" s="20">
        <v>58.0</v>
      </c>
      <c r="C1553" s="13" t="s">
        <v>11962</v>
      </c>
      <c r="D1553" s="13" t="s">
        <v>11963</v>
      </c>
      <c r="E1553" s="13" t="s">
        <v>11964</v>
      </c>
      <c r="F1553" s="15"/>
      <c r="G1553" s="15"/>
      <c r="H1553" s="46"/>
      <c r="I1553" s="46"/>
      <c r="J1553" s="46"/>
      <c r="K1553" s="46"/>
      <c r="L1553" s="46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  <c r="Y1553" s="46"/>
      <c r="Z1553" s="46"/>
    </row>
    <row r="1554" ht="22.5" customHeight="1">
      <c r="A1554" s="17">
        <v>1552.0</v>
      </c>
      <c r="B1554" s="20">
        <v>58.0</v>
      </c>
      <c r="C1554" s="13" t="s">
        <v>11965</v>
      </c>
      <c r="D1554" s="13" t="s">
        <v>11966</v>
      </c>
      <c r="E1554" s="13" t="s">
        <v>11967</v>
      </c>
      <c r="F1554" s="15"/>
      <c r="G1554" s="15"/>
      <c r="H1554" s="46"/>
      <c r="I1554" s="46"/>
      <c r="J1554" s="46"/>
      <c r="K1554" s="46"/>
      <c r="L1554" s="46"/>
      <c r="M1554" s="46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  <c r="X1554" s="46"/>
      <c r="Y1554" s="46"/>
      <c r="Z1554" s="46"/>
    </row>
    <row r="1555" ht="22.5" customHeight="1">
      <c r="A1555" s="11">
        <v>1553.0</v>
      </c>
      <c r="B1555" s="20">
        <v>58.0</v>
      </c>
      <c r="C1555" s="13" t="s">
        <v>5683</v>
      </c>
      <c r="D1555" s="13" t="s">
        <v>5682</v>
      </c>
      <c r="E1555" s="13" t="s">
        <v>11968</v>
      </c>
      <c r="F1555" s="15"/>
      <c r="G1555" s="15"/>
      <c r="H1555" s="46"/>
      <c r="I1555" s="46"/>
      <c r="J1555" s="46"/>
      <c r="K1555" s="46"/>
      <c r="L1555" s="46"/>
      <c r="M1555" s="46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  <c r="X1555" s="46"/>
      <c r="Y1555" s="46"/>
      <c r="Z1555" s="46"/>
    </row>
    <row r="1556" ht="22.5" customHeight="1">
      <c r="A1556" s="17">
        <v>1554.0</v>
      </c>
      <c r="B1556" s="20">
        <v>58.0</v>
      </c>
      <c r="C1556" s="13" t="s">
        <v>5784</v>
      </c>
      <c r="D1556" s="13" t="s">
        <v>5783</v>
      </c>
      <c r="E1556" s="13" t="s">
        <v>9292</v>
      </c>
      <c r="F1556" s="15"/>
      <c r="G1556" s="15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</row>
    <row r="1557" ht="22.5" customHeight="1">
      <c r="A1557" s="11">
        <v>1555.0</v>
      </c>
      <c r="B1557" s="20">
        <v>58.0</v>
      </c>
      <c r="C1557" s="13" t="s">
        <v>11969</v>
      </c>
      <c r="D1557" s="13" t="s">
        <v>11970</v>
      </c>
      <c r="E1557" s="13" t="s">
        <v>11971</v>
      </c>
      <c r="F1557" s="14" t="s">
        <v>18</v>
      </c>
      <c r="G1557" s="15"/>
      <c r="H1557" s="46"/>
      <c r="I1557" s="46"/>
      <c r="J1557" s="46"/>
      <c r="K1557" s="46"/>
      <c r="L1557" s="46"/>
      <c r="M1557" s="46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  <c r="X1557" s="46"/>
      <c r="Y1557" s="46"/>
      <c r="Z1557" s="46"/>
    </row>
    <row r="1558" ht="22.5" customHeight="1">
      <c r="A1558" s="17">
        <v>1556.0</v>
      </c>
      <c r="B1558" s="20">
        <v>58.0</v>
      </c>
      <c r="C1558" s="13" t="s">
        <v>5034</v>
      </c>
      <c r="D1558" s="13" t="s">
        <v>5033</v>
      </c>
      <c r="E1558" s="13" t="s">
        <v>11972</v>
      </c>
      <c r="F1558" s="15"/>
      <c r="G1558" s="15"/>
      <c r="H1558" s="46"/>
      <c r="I1558" s="46"/>
      <c r="J1558" s="46"/>
      <c r="K1558" s="46"/>
      <c r="L1558" s="46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  <c r="X1558" s="46"/>
      <c r="Y1558" s="46"/>
      <c r="Z1558" s="46"/>
    </row>
    <row r="1559" ht="22.5" customHeight="1">
      <c r="A1559" s="11">
        <v>1557.0</v>
      </c>
      <c r="B1559" s="20">
        <v>58.0</v>
      </c>
      <c r="C1559" s="13" t="s">
        <v>9680</v>
      </c>
      <c r="D1559" s="13" t="s">
        <v>9681</v>
      </c>
      <c r="E1559" s="13" t="s">
        <v>9682</v>
      </c>
      <c r="F1559" s="15"/>
      <c r="G1559" s="15"/>
      <c r="H1559" s="46"/>
      <c r="I1559" s="46"/>
      <c r="J1559" s="46"/>
      <c r="K1559" s="46"/>
      <c r="L1559" s="46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  <c r="X1559" s="46"/>
      <c r="Y1559" s="46"/>
      <c r="Z1559" s="46"/>
    </row>
    <row r="1560" ht="22.5" customHeight="1">
      <c r="A1560" s="17">
        <v>1558.0</v>
      </c>
      <c r="B1560" s="20">
        <v>58.0</v>
      </c>
      <c r="C1560" s="13" t="s">
        <v>11973</v>
      </c>
      <c r="D1560" s="13" t="s">
        <v>11974</v>
      </c>
      <c r="E1560" s="13" t="s">
        <v>11975</v>
      </c>
      <c r="F1560" s="15"/>
      <c r="G1560" s="15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  <c r="X1560" s="46"/>
      <c r="Y1560" s="46"/>
      <c r="Z1560" s="46"/>
    </row>
    <row r="1561" ht="22.5" customHeight="1">
      <c r="A1561" s="11">
        <v>1559.0</v>
      </c>
      <c r="B1561" s="20">
        <v>58.0</v>
      </c>
      <c r="C1561" s="12" t="s">
        <v>8990</v>
      </c>
      <c r="D1561" s="13" t="s">
        <v>8991</v>
      </c>
      <c r="E1561" s="13" t="s">
        <v>11472</v>
      </c>
      <c r="F1561" s="15"/>
      <c r="G1561" s="15"/>
      <c r="H1561" s="46"/>
      <c r="I1561" s="46"/>
      <c r="J1561" s="46"/>
      <c r="K1561" s="46"/>
      <c r="L1561" s="46"/>
      <c r="M1561" s="46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  <c r="X1561" s="46"/>
      <c r="Y1561" s="46"/>
      <c r="Z1561" s="46"/>
    </row>
    <row r="1562" ht="22.5" customHeight="1">
      <c r="A1562" s="17">
        <v>1560.0</v>
      </c>
      <c r="B1562" s="20">
        <v>57.0</v>
      </c>
      <c r="C1562" s="12" t="s">
        <v>9890</v>
      </c>
      <c r="D1562" s="13" t="s">
        <v>9891</v>
      </c>
      <c r="E1562" s="13" t="s">
        <v>9892</v>
      </c>
      <c r="F1562" s="14" t="s">
        <v>18</v>
      </c>
      <c r="G1562" s="15"/>
      <c r="H1562" s="46"/>
      <c r="I1562" s="46"/>
      <c r="J1562" s="46"/>
      <c r="K1562" s="46"/>
      <c r="L1562" s="46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  <c r="Y1562" s="46"/>
      <c r="Z1562" s="46"/>
    </row>
    <row r="1563" ht="22.5" customHeight="1">
      <c r="A1563" s="11">
        <v>1561.0</v>
      </c>
      <c r="B1563" s="20">
        <v>57.0</v>
      </c>
      <c r="C1563" s="12" t="s">
        <v>10123</v>
      </c>
      <c r="D1563" s="13" t="s">
        <v>10124</v>
      </c>
      <c r="E1563" s="13" t="s">
        <v>11976</v>
      </c>
      <c r="F1563" s="14" t="s">
        <v>18</v>
      </c>
      <c r="G1563" s="15"/>
      <c r="H1563" s="46"/>
      <c r="I1563" s="46"/>
      <c r="J1563" s="46"/>
      <c r="K1563" s="46"/>
      <c r="L1563" s="46"/>
      <c r="M1563" s="46"/>
      <c r="N1563" s="46"/>
      <c r="O1563" s="46"/>
      <c r="P1563" s="46"/>
      <c r="Q1563" s="46"/>
      <c r="R1563" s="46"/>
      <c r="S1563" s="46"/>
      <c r="T1563" s="46"/>
      <c r="U1563" s="46"/>
      <c r="V1563" s="46"/>
      <c r="W1563" s="46"/>
      <c r="X1563" s="46"/>
      <c r="Y1563" s="46"/>
      <c r="Z1563" s="46"/>
    </row>
    <row r="1564" ht="22.5" customHeight="1">
      <c r="A1564" s="17">
        <v>1562.0</v>
      </c>
      <c r="B1564" s="20">
        <v>57.0</v>
      </c>
      <c r="C1564" s="12" t="s">
        <v>5316</v>
      </c>
      <c r="D1564" s="13" t="s">
        <v>5315</v>
      </c>
      <c r="E1564" s="13" t="s">
        <v>10126</v>
      </c>
      <c r="F1564" s="15"/>
      <c r="G1564" s="15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  <c r="Y1564" s="46"/>
      <c r="Z1564" s="46"/>
    </row>
    <row r="1565" ht="22.5" customHeight="1">
      <c r="A1565" s="11">
        <v>1563.0</v>
      </c>
      <c r="B1565" s="20">
        <v>57.0</v>
      </c>
      <c r="C1565" s="12" t="s">
        <v>4850</v>
      </c>
      <c r="D1565" s="13" t="s">
        <v>4849</v>
      </c>
      <c r="E1565" s="13" t="s">
        <v>11977</v>
      </c>
      <c r="F1565" s="15"/>
      <c r="G1565" s="15"/>
      <c r="H1565" s="46"/>
      <c r="I1565" s="46"/>
      <c r="J1565" s="46"/>
      <c r="K1565" s="46"/>
      <c r="L1565" s="46"/>
      <c r="M1565" s="46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  <c r="X1565" s="46"/>
      <c r="Y1565" s="46"/>
      <c r="Z1565" s="46"/>
    </row>
    <row r="1566" ht="22.5" customHeight="1">
      <c r="A1566" s="17">
        <v>1564.0</v>
      </c>
      <c r="B1566" s="20">
        <v>57.0</v>
      </c>
      <c r="C1566" s="12" t="s">
        <v>11978</v>
      </c>
      <c r="D1566" s="13" t="s">
        <v>11979</v>
      </c>
      <c r="E1566" s="13" t="s">
        <v>11980</v>
      </c>
      <c r="F1566" s="15"/>
      <c r="G1566" s="15"/>
      <c r="H1566" s="46"/>
      <c r="I1566" s="46"/>
      <c r="J1566" s="46"/>
      <c r="K1566" s="46"/>
      <c r="L1566" s="46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</row>
    <row r="1567" ht="22.5" customHeight="1">
      <c r="A1567" s="11">
        <v>1565.0</v>
      </c>
      <c r="B1567" s="20">
        <v>57.0</v>
      </c>
      <c r="C1567" s="12" t="s">
        <v>11981</v>
      </c>
      <c r="D1567" s="13" t="s">
        <v>11982</v>
      </c>
      <c r="E1567" s="13" t="s">
        <v>11983</v>
      </c>
      <c r="F1567" s="15"/>
      <c r="G1567" s="15"/>
      <c r="H1567" s="46"/>
      <c r="I1567" s="46"/>
      <c r="J1567" s="46"/>
      <c r="K1567" s="46"/>
      <c r="L1567" s="46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  <c r="Y1567" s="46"/>
      <c r="Z1567" s="46"/>
    </row>
    <row r="1568" ht="22.5" customHeight="1">
      <c r="A1568" s="17">
        <v>1566.0</v>
      </c>
      <c r="B1568" s="20">
        <v>57.0</v>
      </c>
      <c r="C1568" s="12" t="s">
        <v>4519</v>
      </c>
      <c r="D1568" s="13" t="s">
        <v>4518</v>
      </c>
      <c r="E1568" s="13" t="s">
        <v>11871</v>
      </c>
      <c r="F1568" s="14" t="s">
        <v>18</v>
      </c>
      <c r="G1568" s="14" t="s">
        <v>18</v>
      </c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  <c r="X1568" s="46"/>
      <c r="Y1568" s="46"/>
      <c r="Z1568" s="46"/>
    </row>
    <row r="1569" ht="22.5" customHeight="1">
      <c r="A1569" s="11">
        <v>1567.0</v>
      </c>
      <c r="B1569" s="20">
        <v>57.0</v>
      </c>
      <c r="C1569" s="12" t="s">
        <v>11984</v>
      </c>
      <c r="D1569" s="13" t="s">
        <v>11985</v>
      </c>
      <c r="E1569" s="13" t="s">
        <v>11986</v>
      </c>
      <c r="F1569" s="14" t="s">
        <v>18</v>
      </c>
      <c r="G1569" s="15"/>
      <c r="H1569" s="46"/>
      <c r="I1569" s="46"/>
      <c r="J1569" s="46"/>
      <c r="K1569" s="46"/>
      <c r="L1569" s="46"/>
      <c r="M1569" s="46"/>
      <c r="N1569" s="46"/>
      <c r="O1569" s="46"/>
      <c r="P1569" s="46"/>
      <c r="Q1569" s="46"/>
      <c r="R1569" s="46"/>
      <c r="S1569" s="46"/>
      <c r="T1569" s="46"/>
      <c r="U1569" s="46"/>
      <c r="V1569" s="46"/>
      <c r="W1569" s="46"/>
      <c r="X1569" s="46"/>
      <c r="Y1569" s="46"/>
      <c r="Z1569" s="46"/>
    </row>
    <row r="1570" ht="22.5" customHeight="1">
      <c r="A1570" s="17">
        <v>1568.0</v>
      </c>
      <c r="B1570" s="20">
        <v>57.0</v>
      </c>
      <c r="C1570" s="12" t="s">
        <v>9533</v>
      </c>
      <c r="D1570" s="13" t="s">
        <v>9534</v>
      </c>
      <c r="E1570" s="13" t="s">
        <v>11987</v>
      </c>
      <c r="F1570" s="15"/>
      <c r="G1570" s="15"/>
      <c r="H1570" s="46"/>
      <c r="I1570" s="46"/>
      <c r="J1570" s="46"/>
      <c r="K1570" s="46"/>
      <c r="L1570" s="46"/>
      <c r="M1570" s="46"/>
      <c r="N1570" s="46"/>
      <c r="O1570" s="46"/>
      <c r="P1570" s="46"/>
      <c r="Q1570" s="46"/>
      <c r="R1570" s="46"/>
      <c r="S1570" s="46"/>
      <c r="T1570" s="46"/>
      <c r="U1570" s="46"/>
      <c r="V1570" s="46"/>
      <c r="W1570" s="46"/>
      <c r="X1570" s="46"/>
      <c r="Y1570" s="46"/>
      <c r="Z1570" s="46"/>
    </row>
    <row r="1571" ht="22.5" customHeight="1">
      <c r="A1571" s="11">
        <v>1569.0</v>
      </c>
      <c r="B1571" s="20">
        <v>57.0</v>
      </c>
      <c r="C1571" s="12" t="s">
        <v>11988</v>
      </c>
      <c r="D1571" s="13" t="s">
        <v>11989</v>
      </c>
      <c r="E1571" s="13" t="s">
        <v>11990</v>
      </c>
      <c r="F1571" s="15"/>
      <c r="G1571" s="15"/>
      <c r="H1571" s="46"/>
      <c r="I1571" s="46"/>
      <c r="J1571" s="46"/>
      <c r="K1571" s="46"/>
      <c r="L1571" s="46"/>
      <c r="M1571" s="46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  <c r="X1571" s="46"/>
      <c r="Y1571" s="46"/>
      <c r="Z1571" s="46"/>
    </row>
    <row r="1572" ht="22.5" customHeight="1">
      <c r="A1572" s="17">
        <v>1570.0</v>
      </c>
      <c r="B1572" s="20">
        <v>57.0</v>
      </c>
      <c r="C1572" s="12" t="s">
        <v>11991</v>
      </c>
      <c r="D1572" s="13" t="s">
        <v>11992</v>
      </c>
      <c r="E1572" s="13" t="s">
        <v>11993</v>
      </c>
      <c r="F1572" s="15"/>
      <c r="G1572" s="15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</row>
    <row r="1573" ht="22.5" customHeight="1">
      <c r="A1573" s="11">
        <v>1571.0</v>
      </c>
      <c r="B1573" s="20">
        <v>57.0</v>
      </c>
      <c r="C1573" s="12" t="s">
        <v>10469</v>
      </c>
      <c r="D1573" s="13" t="s">
        <v>10470</v>
      </c>
      <c r="E1573" s="13" t="s">
        <v>10471</v>
      </c>
      <c r="F1573" s="15"/>
      <c r="G1573" s="15"/>
      <c r="H1573" s="46"/>
      <c r="I1573" s="46"/>
      <c r="J1573" s="46"/>
      <c r="K1573" s="46"/>
      <c r="L1573" s="46"/>
      <c r="M1573" s="46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  <c r="X1573" s="46"/>
      <c r="Y1573" s="46"/>
      <c r="Z1573" s="46"/>
    </row>
    <row r="1574" ht="22.5" customHeight="1">
      <c r="A1574" s="17">
        <v>1572.0</v>
      </c>
      <c r="B1574" s="20">
        <v>57.0</v>
      </c>
      <c r="C1574" s="12" t="s">
        <v>9098</v>
      </c>
      <c r="D1574" s="13" t="s">
        <v>9099</v>
      </c>
      <c r="E1574" s="13" t="s">
        <v>11994</v>
      </c>
      <c r="F1574" s="15"/>
      <c r="G1574" s="15"/>
      <c r="H1574" s="46"/>
      <c r="I1574" s="46"/>
      <c r="J1574" s="46"/>
      <c r="K1574" s="46"/>
      <c r="L1574" s="46"/>
      <c r="M1574" s="46"/>
      <c r="N1574" s="46"/>
      <c r="O1574" s="46"/>
      <c r="P1574" s="46"/>
      <c r="Q1574" s="46"/>
      <c r="R1574" s="46"/>
      <c r="S1574" s="46"/>
      <c r="T1574" s="46"/>
      <c r="U1574" s="46"/>
      <c r="V1574" s="46"/>
      <c r="W1574" s="46"/>
      <c r="X1574" s="46"/>
      <c r="Y1574" s="46"/>
      <c r="Z1574" s="46"/>
    </row>
    <row r="1575" ht="22.5" customHeight="1">
      <c r="A1575" s="11">
        <v>1573.0</v>
      </c>
      <c r="B1575" s="20">
        <v>57.0</v>
      </c>
      <c r="C1575" s="12" t="s">
        <v>9002</v>
      </c>
      <c r="D1575" s="13" t="s">
        <v>9003</v>
      </c>
      <c r="E1575" s="13" t="s">
        <v>9004</v>
      </c>
      <c r="F1575" s="14" t="s">
        <v>18</v>
      </c>
      <c r="G1575" s="15"/>
      <c r="H1575" s="46"/>
      <c r="I1575" s="46"/>
      <c r="J1575" s="46"/>
      <c r="K1575" s="46"/>
      <c r="L1575" s="46"/>
      <c r="M1575" s="46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  <c r="X1575" s="46"/>
      <c r="Y1575" s="46"/>
      <c r="Z1575" s="46"/>
    </row>
    <row r="1576" ht="22.5" customHeight="1">
      <c r="A1576" s="17">
        <v>1574.0</v>
      </c>
      <c r="B1576" s="20">
        <v>57.0</v>
      </c>
      <c r="C1576" s="12" t="s">
        <v>5429</v>
      </c>
      <c r="D1576" s="13" t="s">
        <v>11995</v>
      </c>
      <c r="E1576" s="13" t="s">
        <v>11996</v>
      </c>
      <c r="F1576" s="14" t="s">
        <v>18</v>
      </c>
      <c r="G1576" s="15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  <c r="S1576" s="46"/>
      <c r="T1576" s="46"/>
      <c r="U1576" s="46"/>
      <c r="V1576" s="46"/>
      <c r="W1576" s="46"/>
      <c r="X1576" s="46"/>
      <c r="Y1576" s="46"/>
      <c r="Z1576" s="46"/>
    </row>
    <row r="1577" ht="22.5" customHeight="1">
      <c r="A1577" s="11">
        <v>1575.0</v>
      </c>
      <c r="B1577" s="20">
        <v>57.0</v>
      </c>
      <c r="C1577" s="12" t="s">
        <v>9529</v>
      </c>
      <c r="D1577" s="13" t="s">
        <v>9530</v>
      </c>
      <c r="E1577" s="13" t="s">
        <v>9531</v>
      </c>
      <c r="F1577" s="14" t="s">
        <v>18</v>
      </c>
      <c r="G1577" s="15"/>
      <c r="H1577" s="46"/>
      <c r="I1577" s="46"/>
      <c r="J1577" s="46"/>
      <c r="K1577" s="46"/>
      <c r="L1577" s="46"/>
      <c r="M1577" s="46"/>
      <c r="N1577" s="46"/>
      <c r="O1577" s="46"/>
      <c r="P1577" s="46"/>
      <c r="Q1577" s="46"/>
      <c r="R1577" s="46"/>
      <c r="S1577" s="46"/>
      <c r="T1577" s="46"/>
      <c r="U1577" s="46"/>
      <c r="V1577" s="46"/>
      <c r="W1577" s="46"/>
      <c r="X1577" s="46"/>
      <c r="Y1577" s="46"/>
      <c r="Z1577" s="46"/>
    </row>
    <row r="1578" ht="22.5" customHeight="1">
      <c r="A1578" s="17">
        <v>1576.0</v>
      </c>
      <c r="B1578" s="20">
        <v>57.0</v>
      </c>
      <c r="C1578" s="12" t="s">
        <v>11550</v>
      </c>
      <c r="D1578" s="13" t="s">
        <v>11551</v>
      </c>
      <c r="E1578" s="13" t="s">
        <v>11552</v>
      </c>
      <c r="F1578" s="15"/>
      <c r="G1578" s="15"/>
      <c r="H1578" s="46"/>
      <c r="I1578" s="46"/>
      <c r="J1578" s="46"/>
      <c r="K1578" s="46"/>
      <c r="L1578" s="46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  <c r="Y1578" s="46"/>
      <c r="Z1578" s="46"/>
    </row>
    <row r="1579" ht="22.5" customHeight="1">
      <c r="A1579" s="11">
        <v>1577.0</v>
      </c>
      <c r="B1579" s="20">
        <v>57.0</v>
      </c>
      <c r="C1579" s="12" t="s">
        <v>11997</v>
      </c>
      <c r="D1579" s="13" t="s">
        <v>11998</v>
      </c>
      <c r="E1579" s="13" t="s">
        <v>11999</v>
      </c>
      <c r="F1579" s="15"/>
      <c r="G1579" s="15"/>
      <c r="H1579" s="46"/>
      <c r="I1579" s="46"/>
      <c r="J1579" s="46"/>
      <c r="K1579" s="46"/>
      <c r="L1579" s="46"/>
      <c r="M1579" s="46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  <c r="X1579" s="46"/>
      <c r="Y1579" s="46"/>
      <c r="Z1579" s="46"/>
    </row>
    <row r="1580" ht="22.5" customHeight="1">
      <c r="A1580" s="17">
        <v>1578.0</v>
      </c>
      <c r="B1580" s="20">
        <v>57.0</v>
      </c>
      <c r="C1580" s="12" t="s">
        <v>9542</v>
      </c>
      <c r="D1580" s="13" t="s">
        <v>9543</v>
      </c>
      <c r="E1580" s="13" t="s">
        <v>9544</v>
      </c>
      <c r="F1580" s="15"/>
      <c r="G1580" s="15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</row>
    <row r="1581" ht="22.5" customHeight="1">
      <c r="A1581" s="11">
        <v>1579.0</v>
      </c>
      <c r="B1581" s="20">
        <v>57.0</v>
      </c>
      <c r="C1581" s="12" t="s">
        <v>8920</v>
      </c>
      <c r="D1581" s="13" t="s">
        <v>1675</v>
      </c>
      <c r="E1581" s="13" t="s">
        <v>10128</v>
      </c>
      <c r="F1581" s="15"/>
      <c r="G1581" s="15"/>
      <c r="H1581" s="46"/>
      <c r="I1581" s="46"/>
      <c r="J1581" s="46"/>
      <c r="K1581" s="46"/>
      <c r="L1581" s="46"/>
      <c r="M1581" s="46"/>
      <c r="N1581" s="46"/>
      <c r="O1581" s="46"/>
      <c r="P1581" s="46"/>
      <c r="Q1581" s="46"/>
      <c r="R1581" s="46"/>
      <c r="S1581" s="46"/>
      <c r="T1581" s="46"/>
      <c r="U1581" s="46"/>
      <c r="V1581" s="46"/>
      <c r="W1581" s="46"/>
      <c r="X1581" s="46"/>
      <c r="Y1581" s="46"/>
      <c r="Z1581" s="46"/>
    </row>
    <row r="1582" ht="22.5" customHeight="1">
      <c r="A1582" s="17">
        <v>1580.0</v>
      </c>
      <c r="B1582" s="20">
        <v>57.0</v>
      </c>
      <c r="C1582" s="12" t="s">
        <v>5174</v>
      </c>
      <c r="D1582" s="13" t="s">
        <v>5173</v>
      </c>
      <c r="E1582" s="13" t="s">
        <v>10127</v>
      </c>
      <c r="F1582" s="15"/>
      <c r="G1582" s="15"/>
      <c r="H1582" s="46"/>
      <c r="I1582" s="46"/>
      <c r="J1582" s="46"/>
      <c r="K1582" s="46"/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</row>
    <row r="1583" ht="22.5" customHeight="1">
      <c r="A1583" s="11">
        <v>1581.0</v>
      </c>
      <c r="B1583" s="20">
        <v>57.0</v>
      </c>
      <c r="C1583" s="12" t="s">
        <v>12000</v>
      </c>
      <c r="D1583" s="13" t="s">
        <v>12001</v>
      </c>
      <c r="E1583" s="13" t="s">
        <v>12002</v>
      </c>
      <c r="F1583" s="15"/>
      <c r="G1583" s="15"/>
      <c r="H1583" s="46"/>
      <c r="I1583" s="46"/>
      <c r="J1583" s="46"/>
      <c r="K1583" s="46"/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</row>
    <row r="1584" ht="22.5" customHeight="1">
      <c r="A1584" s="17">
        <v>1582.0</v>
      </c>
      <c r="B1584" s="20">
        <v>57.0</v>
      </c>
      <c r="C1584" s="12" t="s">
        <v>6266</v>
      </c>
      <c r="D1584" s="13" t="s">
        <v>6265</v>
      </c>
      <c r="E1584" s="13" t="s">
        <v>8925</v>
      </c>
      <c r="F1584" s="15"/>
      <c r="G1584" s="15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</row>
    <row r="1585" ht="22.5" customHeight="1">
      <c r="A1585" s="11">
        <v>1583.0</v>
      </c>
      <c r="B1585" s="20">
        <v>57.0</v>
      </c>
      <c r="C1585" s="12" t="s">
        <v>9781</v>
      </c>
      <c r="D1585" s="13" t="s">
        <v>9782</v>
      </c>
      <c r="E1585" s="13" t="s">
        <v>9783</v>
      </c>
      <c r="F1585" s="15"/>
      <c r="G1585" s="15"/>
      <c r="H1585" s="46"/>
      <c r="I1585" s="46"/>
      <c r="J1585" s="46"/>
      <c r="K1585" s="46"/>
      <c r="L1585" s="46"/>
      <c r="M1585" s="46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  <c r="X1585" s="46"/>
      <c r="Y1585" s="46"/>
      <c r="Z1585" s="46"/>
    </row>
    <row r="1586" ht="22.5" customHeight="1">
      <c r="A1586" s="17">
        <v>1584.0</v>
      </c>
      <c r="B1586" s="20">
        <v>57.0</v>
      </c>
      <c r="C1586" s="12" t="s">
        <v>12003</v>
      </c>
      <c r="D1586" s="13" t="s">
        <v>12004</v>
      </c>
      <c r="E1586" s="13" t="s">
        <v>12005</v>
      </c>
      <c r="F1586" s="15"/>
      <c r="G1586" s="15"/>
      <c r="H1586" s="46"/>
      <c r="I1586" s="46"/>
      <c r="J1586" s="46"/>
      <c r="K1586" s="46"/>
      <c r="L1586" s="46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</row>
    <row r="1587" ht="22.5" customHeight="1">
      <c r="A1587" s="11">
        <v>1585.0</v>
      </c>
      <c r="B1587" s="20">
        <v>57.0</v>
      </c>
      <c r="C1587" s="12" t="s">
        <v>10106</v>
      </c>
      <c r="D1587" s="13" t="s">
        <v>10107</v>
      </c>
      <c r="E1587" s="13" t="s">
        <v>10108</v>
      </c>
      <c r="F1587" s="15"/>
      <c r="G1587" s="15"/>
      <c r="H1587" s="46"/>
      <c r="I1587" s="46"/>
      <c r="J1587" s="46"/>
      <c r="K1587" s="46"/>
      <c r="L1587" s="46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  <c r="Y1587" s="46"/>
      <c r="Z1587" s="46"/>
    </row>
    <row r="1588" ht="22.5" customHeight="1">
      <c r="A1588" s="17">
        <v>1586.0</v>
      </c>
      <c r="B1588" s="20">
        <v>57.0</v>
      </c>
      <c r="C1588" s="12" t="s">
        <v>12006</v>
      </c>
      <c r="D1588" s="13" t="s">
        <v>12007</v>
      </c>
      <c r="E1588" s="13" t="s">
        <v>12008</v>
      </c>
      <c r="F1588" s="14" t="s">
        <v>18</v>
      </c>
      <c r="G1588" s="15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/>
    </row>
    <row r="1589" ht="22.5" customHeight="1">
      <c r="A1589" s="11">
        <v>1587.0</v>
      </c>
      <c r="B1589" s="20">
        <v>57.0</v>
      </c>
      <c r="C1589" s="12" t="s">
        <v>5792</v>
      </c>
      <c r="D1589" s="13" t="s">
        <v>5791</v>
      </c>
      <c r="E1589" s="13" t="s">
        <v>12009</v>
      </c>
      <c r="F1589" s="15"/>
      <c r="G1589" s="15"/>
      <c r="H1589" s="46"/>
      <c r="I1589" s="46"/>
      <c r="J1589" s="46"/>
      <c r="K1589" s="46"/>
      <c r="L1589" s="46"/>
      <c r="M1589" s="46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  <c r="X1589" s="46"/>
      <c r="Y1589" s="46"/>
      <c r="Z1589" s="46"/>
    </row>
    <row r="1590" ht="22.5" customHeight="1">
      <c r="A1590" s="17">
        <v>1588.0</v>
      </c>
      <c r="B1590" s="20">
        <v>57.0</v>
      </c>
      <c r="C1590" s="12" t="s">
        <v>12010</v>
      </c>
      <c r="D1590" s="13" t="s">
        <v>12011</v>
      </c>
      <c r="E1590" s="13" t="s">
        <v>12012</v>
      </c>
      <c r="F1590" s="14" t="s">
        <v>18</v>
      </c>
      <c r="G1590" s="15"/>
      <c r="H1590" s="46"/>
      <c r="I1590" s="46"/>
      <c r="J1590" s="46"/>
      <c r="K1590" s="46"/>
      <c r="L1590" s="46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</row>
    <row r="1591" ht="22.5" customHeight="1">
      <c r="A1591" s="11">
        <v>1589.0</v>
      </c>
      <c r="B1591" s="20">
        <v>57.0</v>
      </c>
      <c r="C1591" s="12" t="s">
        <v>12013</v>
      </c>
      <c r="D1591" s="13" t="s">
        <v>12014</v>
      </c>
      <c r="E1591" s="13" t="s">
        <v>12015</v>
      </c>
      <c r="F1591" s="15"/>
      <c r="G1591" s="15"/>
      <c r="H1591" s="46"/>
      <c r="I1591" s="46"/>
      <c r="J1591" s="46"/>
      <c r="K1591" s="46"/>
      <c r="L1591" s="46"/>
      <c r="M1591" s="46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  <c r="X1591" s="46"/>
      <c r="Y1591" s="46"/>
      <c r="Z1591" s="46"/>
    </row>
    <row r="1592" ht="22.5" customHeight="1">
      <c r="A1592" s="17">
        <v>1590.0</v>
      </c>
      <c r="B1592" s="20">
        <v>56.0</v>
      </c>
      <c r="C1592" s="13" t="s">
        <v>12016</v>
      </c>
      <c r="D1592" s="13" t="s">
        <v>12017</v>
      </c>
      <c r="E1592" s="13" t="s">
        <v>12018</v>
      </c>
      <c r="F1592" s="15"/>
      <c r="G1592" s="15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/>
    </row>
    <row r="1593" ht="22.5" customHeight="1">
      <c r="A1593" s="11">
        <v>1591.0</v>
      </c>
      <c r="B1593" s="20">
        <v>56.0</v>
      </c>
      <c r="C1593" s="13" t="s">
        <v>12019</v>
      </c>
      <c r="D1593" s="13" t="s">
        <v>12020</v>
      </c>
      <c r="E1593" s="13" t="s">
        <v>12021</v>
      </c>
      <c r="F1593" s="14" t="s">
        <v>18</v>
      </c>
      <c r="G1593" s="15"/>
      <c r="H1593" s="46"/>
      <c r="I1593" s="46"/>
      <c r="J1593" s="46"/>
      <c r="K1593" s="46"/>
      <c r="L1593" s="46"/>
      <c r="M1593" s="46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  <c r="Y1593" s="46"/>
      <c r="Z1593" s="46"/>
    </row>
    <row r="1594" ht="22.5" customHeight="1">
      <c r="A1594" s="17">
        <v>1592.0</v>
      </c>
      <c r="B1594" s="20">
        <v>56.0</v>
      </c>
      <c r="C1594" s="13" t="s">
        <v>12022</v>
      </c>
      <c r="D1594" s="13" t="s">
        <v>12023</v>
      </c>
      <c r="E1594" s="13" t="s">
        <v>12024</v>
      </c>
      <c r="F1594" s="14" t="s">
        <v>18</v>
      </c>
      <c r="G1594" s="15"/>
      <c r="H1594" s="46"/>
      <c r="I1594" s="46"/>
      <c r="J1594" s="46"/>
      <c r="K1594" s="46"/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</row>
    <row r="1595" ht="22.5" customHeight="1">
      <c r="A1595" s="11">
        <v>1593.0</v>
      </c>
      <c r="B1595" s="20">
        <v>56.0</v>
      </c>
      <c r="C1595" s="13" t="s">
        <v>12025</v>
      </c>
      <c r="D1595" s="13" t="s">
        <v>12026</v>
      </c>
      <c r="E1595" s="13" t="s">
        <v>12027</v>
      </c>
      <c r="F1595" s="15"/>
      <c r="G1595" s="15"/>
      <c r="H1595" s="46"/>
      <c r="I1595" s="46"/>
      <c r="J1595" s="46"/>
      <c r="K1595" s="46"/>
      <c r="L1595" s="46"/>
      <c r="M1595" s="46"/>
      <c r="N1595" s="46"/>
      <c r="O1595" s="46"/>
      <c r="P1595" s="46"/>
      <c r="Q1595" s="46"/>
      <c r="R1595" s="46"/>
      <c r="S1595" s="46"/>
      <c r="T1595" s="46"/>
      <c r="U1595" s="46"/>
      <c r="V1595" s="46"/>
      <c r="W1595" s="46"/>
      <c r="X1595" s="46"/>
      <c r="Y1595" s="46"/>
      <c r="Z1595" s="46"/>
    </row>
    <row r="1596" ht="22.5" customHeight="1">
      <c r="A1596" s="17">
        <v>1594.0</v>
      </c>
      <c r="B1596" s="20">
        <v>56.0</v>
      </c>
      <c r="C1596" s="13" t="s">
        <v>12028</v>
      </c>
      <c r="D1596" s="13" t="s">
        <v>12029</v>
      </c>
      <c r="E1596" s="13" t="s">
        <v>12030</v>
      </c>
      <c r="F1596" s="14" t="s">
        <v>18</v>
      </c>
      <c r="G1596" s="15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  <c r="Y1596" s="46"/>
      <c r="Z1596" s="46"/>
    </row>
    <row r="1597" ht="22.5" customHeight="1">
      <c r="A1597" s="11">
        <v>1595.0</v>
      </c>
      <c r="B1597" s="20">
        <v>56.0</v>
      </c>
      <c r="C1597" s="13" t="s">
        <v>12031</v>
      </c>
      <c r="D1597" s="13" t="s">
        <v>12032</v>
      </c>
      <c r="E1597" s="13" t="s">
        <v>12033</v>
      </c>
      <c r="F1597" s="14" t="s">
        <v>18</v>
      </c>
      <c r="G1597" s="15"/>
      <c r="H1597" s="46"/>
      <c r="I1597" s="46"/>
      <c r="J1597" s="46"/>
      <c r="K1597" s="46"/>
      <c r="L1597" s="46"/>
      <c r="M1597" s="46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  <c r="Y1597" s="46"/>
      <c r="Z1597" s="46"/>
    </row>
    <row r="1598" ht="22.5" customHeight="1">
      <c r="A1598" s="17">
        <v>1596.0</v>
      </c>
      <c r="B1598" s="20">
        <v>56.0</v>
      </c>
      <c r="C1598" s="13" t="s">
        <v>12034</v>
      </c>
      <c r="D1598" s="13" t="s">
        <v>2219</v>
      </c>
      <c r="E1598" s="13" t="s">
        <v>2220</v>
      </c>
      <c r="F1598" s="15"/>
      <c r="G1598" s="15"/>
      <c r="H1598" s="46"/>
      <c r="I1598" s="46"/>
      <c r="J1598" s="46"/>
      <c r="K1598" s="46"/>
      <c r="L1598" s="46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</row>
    <row r="1599" ht="22.5" customHeight="1">
      <c r="A1599" s="11">
        <v>1597.0</v>
      </c>
      <c r="B1599" s="20">
        <v>56.0</v>
      </c>
      <c r="C1599" s="13" t="s">
        <v>9604</v>
      </c>
      <c r="D1599" s="13" t="s">
        <v>9605</v>
      </c>
      <c r="E1599" s="13" t="s">
        <v>9606</v>
      </c>
      <c r="F1599" s="15"/>
      <c r="G1599" s="15"/>
      <c r="H1599" s="46"/>
      <c r="I1599" s="46"/>
      <c r="J1599" s="46"/>
      <c r="K1599" s="46"/>
      <c r="L1599" s="46"/>
      <c r="M1599" s="46"/>
      <c r="N1599" s="46"/>
      <c r="O1599" s="46"/>
      <c r="P1599" s="46"/>
      <c r="Q1599" s="46"/>
      <c r="R1599" s="46"/>
      <c r="S1599" s="46"/>
      <c r="T1599" s="46"/>
      <c r="U1599" s="46"/>
      <c r="V1599" s="46"/>
      <c r="W1599" s="46"/>
      <c r="X1599" s="46"/>
      <c r="Y1599" s="46"/>
      <c r="Z1599" s="46"/>
    </row>
    <row r="1600" ht="22.5" customHeight="1">
      <c r="A1600" s="17">
        <v>1598.0</v>
      </c>
      <c r="B1600" s="20">
        <v>56.0</v>
      </c>
      <c r="C1600" s="13" t="s">
        <v>10294</v>
      </c>
      <c r="D1600" s="13" t="s">
        <v>10295</v>
      </c>
      <c r="E1600" s="13" t="s">
        <v>10296</v>
      </c>
      <c r="F1600" s="14" t="s">
        <v>18</v>
      </c>
      <c r="G1600" s="15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  <c r="X1600" s="46"/>
      <c r="Y1600" s="46"/>
      <c r="Z1600" s="46"/>
    </row>
    <row r="1601" ht="22.5" customHeight="1">
      <c r="A1601" s="11">
        <v>1599.0</v>
      </c>
      <c r="B1601" s="20">
        <v>56.0</v>
      </c>
      <c r="C1601" s="13" t="s">
        <v>10539</v>
      </c>
      <c r="D1601" s="13" t="s">
        <v>10540</v>
      </c>
      <c r="E1601" s="13" t="s">
        <v>10541</v>
      </c>
      <c r="F1601" s="15"/>
      <c r="G1601" s="15"/>
      <c r="H1601" s="46"/>
      <c r="I1601" s="46"/>
      <c r="J1601" s="46"/>
      <c r="K1601" s="46"/>
      <c r="L1601" s="46"/>
      <c r="M1601" s="46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  <c r="X1601" s="46"/>
      <c r="Y1601" s="46"/>
      <c r="Z1601" s="46"/>
    </row>
    <row r="1602" ht="22.5" customHeight="1">
      <c r="A1602" s="17">
        <v>1600.0</v>
      </c>
      <c r="B1602" s="20">
        <v>56.0</v>
      </c>
      <c r="C1602" s="13" t="s">
        <v>10409</v>
      </c>
      <c r="D1602" s="13" t="s">
        <v>10410</v>
      </c>
      <c r="E1602" s="13" t="s">
        <v>10411</v>
      </c>
      <c r="F1602" s="15"/>
      <c r="G1602" s="15"/>
      <c r="H1602" s="46"/>
      <c r="I1602" s="46"/>
      <c r="J1602" s="46"/>
      <c r="K1602" s="46"/>
      <c r="L1602" s="46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  <c r="Y1602" s="46"/>
      <c r="Z1602" s="46"/>
    </row>
    <row r="1603" ht="22.5" customHeight="1">
      <c r="A1603" s="11">
        <v>1601.0</v>
      </c>
      <c r="B1603" s="20">
        <v>56.0</v>
      </c>
      <c r="C1603" s="13" t="s">
        <v>10762</v>
      </c>
      <c r="D1603" s="13" t="s">
        <v>10763</v>
      </c>
      <c r="E1603" s="13" t="s">
        <v>10764</v>
      </c>
      <c r="F1603" s="15"/>
      <c r="G1603" s="15"/>
      <c r="H1603" s="46"/>
      <c r="I1603" s="46"/>
      <c r="J1603" s="46"/>
      <c r="K1603" s="46"/>
      <c r="L1603" s="46"/>
      <c r="M1603" s="46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  <c r="X1603" s="46"/>
      <c r="Y1603" s="46"/>
      <c r="Z1603" s="46"/>
    </row>
    <row r="1604" ht="22.5" customHeight="1">
      <c r="A1604" s="17">
        <v>1602.0</v>
      </c>
      <c r="B1604" s="20">
        <v>56.0</v>
      </c>
      <c r="C1604" s="13" t="s">
        <v>12035</v>
      </c>
      <c r="D1604" s="13" t="s">
        <v>12036</v>
      </c>
      <c r="E1604" s="13" t="s">
        <v>12037</v>
      </c>
      <c r="F1604" s="14" t="s">
        <v>18</v>
      </c>
      <c r="G1604" s="15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/>
      <c r="X1604" s="46"/>
      <c r="Y1604" s="46"/>
      <c r="Z1604" s="46"/>
    </row>
    <row r="1605" ht="22.5" customHeight="1">
      <c r="A1605" s="11">
        <v>1603.0</v>
      </c>
      <c r="B1605" s="20">
        <v>56.0</v>
      </c>
      <c r="C1605" s="13" t="s">
        <v>12038</v>
      </c>
      <c r="D1605" s="13" t="s">
        <v>12039</v>
      </c>
      <c r="E1605" s="13" t="s">
        <v>12040</v>
      </c>
      <c r="F1605" s="14" t="s">
        <v>18</v>
      </c>
      <c r="G1605" s="15"/>
      <c r="H1605" s="46"/>
      <c r="I1605" s="46"/>
      <c r="J1605" s="46"/>
      <c r="K1605" s="46"/>
      <c r="L1605" s="46"/>
      <c r="M1605" s="46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  <c r="X1605" s="46"/>
      <c r="Y1605" s="46"/>
      <c r="Z1605" s="46"/>
    </row>
    <row r="1606" ht="22.5" customHeight="1">
      <c r="A1606" s="17">
        <v>1604.0</v>
      </c>
      <c r="B1606" s="20">
        <v>56.0</v>
      </c>
      <c r="C1606" s="13" t="s">
        <v>12041</v>
      </c>
      <c r="D1606" s="13" t="s">
        <v>12042</v>
      </c>
      <c r="E1606" s="13" t="s">
        <v>12043</v>
      </c>
      <c r="F1606" s="14" t="s">
        <v>18</v>
      </c>
      <c r="G1606" s="15"/>
      <c r="H1606" s="46"/>
      <c r="I1606" s="46"/>
      <c r="J1606" s="46"/>
      <c r="K1606" s="46"/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</row>
    <row r="1607" ht="22.5" customHeight="1">
      <c r="A1607" s="11">
        <v>1605.0</v>
      </c>
      <c r="B1607" s="20">
        <v>56.0</v>
      </c>
      <c r="C1607" s="13" t="s">
        <v>12044</v>
      </c>
      <c r="D1607" s="13" t="s">
        <v>12045</v>
      </c>
      <c r="E1607" s="13" t="s">
        <v>12046</v>
      </c>
      <c r="F1607" s="15"/>
      <c r="G1607" s="15"/>
      <c r="H1607" s="46"/>
      <c r="I1607" s="46"/>
      <c r="J1607" s="46"/>
      <c r="K1607" s="46"/>
      <c r="L1607" s="46"/>
      <c r="M1607" s="46"/>
      <c r="N1607" s="46"/>
      <c r="O1607" s="46"/>
      <c r="P1607" s="46"/>
      <c r="Q1607" s="46"/>
      <c r="R1607" s="46"/>
      <c r="S1607" s="46"/>
      <c r="T1607" s="46"/>
      <c r="U1607" s="46"/>
      <c r="V1607" s="46"/>
      <c r="W1607" s="46"/>
      <c r="X1607" s="46"/>
      <c r="Y1607" s="46"/>
      <c r="Z1607" s="46"/>
    </row>
    <row r="1608" ht="22.5" customHeight="1">
      <c r="A1608" s="17">
        <v>1606.0</v>
      </c>
      <c r="B1608" s="20">
        <v>56.0</v>
      </c>
      <c r="C1608" s="13" t="s">
        <v>5950</v>
      </c>
      <c r="D1608" s="13" t="s">
        <v>5947</v>
      </c>
      <c r="E1608" s="13" t="s">
        <v>12047</v>
      </c>
      <c r="F1608" s="14" t="s">
        <v>18</v>
      </c>
      <c r="G1608" s="15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</row>
    <row r="1609" ht="22.5" customHeight="1">
      <c r="A1609" s="11">
        <v>1607.0</v>
      </c>
      <c r="B1609" s="20">
        <v>56.0</v>
      </c>
      <c r="C1609" s="13" t="s">
        <v>2126</v>
      </c>
      <c r="D1609" s="13" t="s">
        <v>2127</v>
      </c>
      <c r="E1609" s="13" t="s">
        <v>2128</v>
      </c>
      <c r="F1609" s="14" t="s">
        <v>18</v>
      </c>
      <c r="G1609" s="15"/>
      <c r="H1609" s="46"/>
      <c r="I1609" s="46"/>
      <c r="J1609" s="46"/>
      <c r="K1609" s="46"/>
      <c r="L1609" s="46"/>
      <c r="M1609" s="46"/>
      <c r="N1609" s="46"/>
      <c r="O1609" s="46"/>
      <c r="P1609" s="46"/>
      <c r="Q1609" s="46"/>
      <c r="R1609" s="46"/>
      <c r="S1609" s="46"/>
      <c r="T1609" s="46"/>
      <c r="U1609" s="46"/>
      <c r="V1609" s="46"/>
      <c r="W1609" s="46"/>
      <c r="X1609" s="46"/>
      <c r="Y1609" s="46"/>
      <c r="Z1609" s="46"/>
    </row>
    <row r="1610" ht="22.5" customHeight="1">
      <c r="A1610" s="17">
        <v>1608.0</v>
      </c>
      <c r="B1610" s="20">
        <v>56.0</v>
      </c>
      <c r="C1610" s="13" t="s">
        <v>11385</v>
      </c>
      <c r="D1610" s="13" t="s">
        <v>11386</v>
      </c>
      <c r="E1610" s="13" t="s">
        <v>12048</v>
      </c>
      <c r="F1610" s="15"/>
      <c r="G1610" s="15"/>
      <c r="H1610" s="46"/>
      <c r="I1610" s="46"/>
      <c r="J1610" s="46"/>
      <c r="K1610" s="46"/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  <c r="X1610" s="46"/>
      <c r="Y1610" s="46"/>
      <c r="Z1610" s="46"/>
    </row>
    <row r="1611" ht="22.5" customHeight="1">
      <c r="A1611" s="11">
        <v>1609.0</v>
      </c>
      <c r="B1611" s="20">
        <v>56.0</v>
      </c>
      <c r="C1611" s="13" t="s">
        <v>12049</v>
      </c>
      <c r="D1611" s="13" t="s">
        <v>12050</v>
      </c>
      <c r="E1611" s="13" t="s">
        <v>12051</v>
      </c>
      <c r="F1611" s="14" t="s">
        <v>18</v>
      </c>
      <c r="G1611" s="15"/>
      <c r="H1611" s="46"/>
      <c r="I1611" s="46"/>
      <c r="J1611" s="46"/>
      <c r="K1611" s="46"/>
      <c r="L1611" s="46"/>
      <c r="M1611" s="46"/>
      <c r="N1611" s="46"/>
      <c r="O1611" s="46"/>
      <c r="P1611" s="46"/>
      <c r="Q1611" s="46"/>
      <c r="R1611" s="46"/>
      <c r="S1611" s="46"/>
      <c r="T1611" s="46"/>
      <c r="U1611" s="46"/>
      <c r="V1611" s="46"/>
      <c r="W1611" s="46"/>
      <c r="X1611" s="46"/>
      <c r="Y1611" s="46"/>
      <c r="Z1611" s="46"/>
    </row>
    <row r="1612" ht="22.5" customHeight="1">
      <c r="A1612" s="17">
        <v>1610.0</v>
      </c>
      <c r="B1612" s="20">
        <v>56.0</v>
      </c>
      <c r="C1612" s="13" t="s">
        <v>10048</v>
      </c>
      <c r="D1612" s="13" t="s">
        <v>10049</v>
      </c>
      <c r="E1612" s="13" t="s">
        <v>10050</v>
      </c>
      <c r="F1612" s="15"/>
      <c r="G1612" s="15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  <c r="X1612" s="46"/>
      <c r="Y1612" s="46"/>
      <c r="Z1612" s="46"/>
    </row>
    <row r="1613" ht="22.5" customHeight="1">
      <c r="A1613" s="11">
        <v>1611.0</v>
      </c>
      <c r="B1613" s="20">
        <v>56.0</v>
      </c>
      <c r="C1613" s="13" t="s">
        <v>12052</v>
      </c>
      <c r="D1613" s="13" t="s">
        <v>12053</v>
      </c>
      <c r="E1613" s="13" t="s">
        <v>12054</v>
      </c>
      <c r="F1613" s="15"/>
      <c r="G1613" s="15"/>
      <c r="H1613" s="46"/>
      <c r="I1613" s="46"/>
      <c r="J1613" s="46"/>
      <c r="K1613" s="46"/>
      <c r="L1613" s="46"/>
      <c r="M1613" s="46"/>
      <c r="N1613" s="46"/>
      <c r="O1613" s="46"/>
      <c r="P1613" s="46"/>
      <c r="Q1613" s="46"/>
      <c r="R1613" s="46"/>
      <c r="S1613" s="46"/>
      <c r="T1613" s="46"/>
      <c r="U1613" s="46"/>
      <c r="V1613" s="46"/>
      <c r="W1613" s="46"/>
      <c r="X1613" s="46"/>
      <c r="Y1613" s="46"/>
      <c r="Z1613" s="46"/>
    </row>
    <row r="1614" ht="22.5" customHeight="1">
      <c r="A1614" s="17">
        <v>1612.0</v>
      </c>
      <c r="B1614" s="20">
        <v>56.0</v>
      </c>
      <c r="C1614" s="13" t="s">
        <v>10892</v>
      </c>
      <c r="D1614" s="13" t="s">
        <v>10893</v>
      </c>
      <c r="E1614" s="13" t="s">
        <v>10894</v>
      </c>
      <c r="F1614" s="15"/>
      <c r="G1614" s="15"/>
      <c r="H1614" s="46"/>
      <c r="I1614" s="46"/>
      <c r="J1614" s="46"/>
      <c r="K1614" s="46"/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  <c r="X1614" s="46"/>
      <c r="Y1614" s="46"/>
      <c r="Z1614" s="46"/>
    </row>
    <row r="1615" ht="22.5" customHeight="1">
      <c r="A1615" s="11">
        <v>1613.0</v>
      </c>
      <c r="B1615" s="20">
        <v>56.0</v>
      </c>
      <c r="C1615" s="13" t="s">
        <v>11273</v>
      </c>
      <c r="D1615" s="13" t="s">
        <v>11274</v>
      </c>
      <c r="E1615" s="13" t="s">
        <v>12055</v>
      </c>
      <c r="F1615" s="15"/>
      <c r="G1615" s="15"/>
      <c r="H1615" s="46"/>
      <c r="I1615" s="46"/>
      <c r="J1615" s="46"/>
      <c r="K1615" s="46"/>
      <c r="L1615" s="46"/>
      <c r="M1615" s="46"/>
      <c r="N1615" s="46"/>
      <c r="O1615" s="46"/>
      <c r="P1615" s="46"/>
      <c r="Q1615" s="46"/>
      <c r="R1615" s="46"/>
      <c r="S1615" s="46"/>
      <c r="T1615" s="46"/>
      <c r="U1615" s="46"/>
      <c r="V1615" s="46"/>
      <c r="W1615" s="46"/>
      <c r="X1615" s="46"/>
      <c r="Y1615" s="46"/>
      <c r="Z1615" s="46"/>
    </row>
    <row r="1616" ht="22.5" customHeight="1">
      <c r="A1616" s="17">
        <v>1614.0</v>
      </c>
      <c r="B1616" s="20">
        <v>56.0</v>
      </c>
      <c r="C1616" s="13" t="s">
        <v>8833</v>
      </c>
      <c r="D1616" s="13" t="s">
        <v>8834</v>
      </c>
      <c r="E1616" s="13" t="s">
        <v>11194</v>
      </c>
      <c r="F1616" s="15"/>
      <c r="G1616" s="15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  <c r="S1616" s="46"/>
      <c r="T1616" s="46"/>
      <c r="U1616" s="46"/>
      <c r="V1616" s="46"/>
      <c r="W1616" s="46"/>
      <c r="X1616" s="46"/>
      <c r="Y1616" s="46"/>
      <c r="Z1616" s="46"/>
    </row>
    <row r="1617" ht="22.5" customHeight="1">
      <c r="A1617" s="11">
        <v>1615.0</v>
      </c>
      <c r="B1617" s="20">
        <v>56.0</v>
      </c>
      <c r="C1617" s="13" t="s">
        <v>12056</v>
      </c>
      <c r="D1617" s="13" t="s">
        <v>12057</v>
      </c>
      <c r="E1617" s="13" t="s">
        <v>12058</v>
      </c>
      <c r="F1617" s="14" t="s">
        <v>18</v>
      </c>
      <c r="G1617" s="15"/>
      <c r="H1617" s="46"/>
      <c r="I1617" s="46"/>
      <c r="J1617" s="46"/>
      <c r="K1617" s="46"/>
      <c r="L1617" s="46"/>
      <c r="M1617" s="46"/>
      <c r="N1617" s="46"/>
      <c r="O1617" s="46"/>
      <c r="P1617" s="46"/>
      <c r="Q1617" s="46"/>
      <c r="R1617" s="46"/>
      <c r="S1617" s="46"/>
      <c r="T1617" s="46"/>
      <c r="U1617" s="46"/>
      <c r="V1617" s="46"/>
      <c r="W1617" s="46"/>
      <c r="X1617" s="46"/>
      <c r="Y1617" s="46"/>
      <c r="Z1617" s="46"/>
    </row>
    <row r="1618" ht="22.5" customHeight="1">
      <c r="A1618" s="17">
        <v>1616.0</v>
      </c>
      <c r="B1618" s="20">
        <v>56.0</v>
      </c>
      <c r="C1618" s="13" t="s">
        <v>12059</v>
      </c>
      <c r="D1618" s="13" t="s">
        <v>12060</v>
      </c>
      <c r="E1618" s="13" t="s">
        <v>12061</v>
      </c>
      <c r="F1618" s="15"/>
      <c r="G1618" s="15"/>
      <c r="H1618" s="46"/>
      <c r="I1618" s="46"/>
      <c r="J1618" s="46"/>
      <c r="K1618" s="46"/>
      <c r="L1618" s="46"/>
      <c r="M1618" s="46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</row>
    <row r="1619" ht="22.5" customHeight="1">
      <c r="A1619" s="11">
        <v>1617.0</v>
      </c>
      <c r="B1619" s="20">
        <v>56.0</v>
      </c>
      <c r="C1619" s="13" t="s">
        <v>12062</v>
      </c>
      <c r="D1619" s="13" t="s">
        <v>12063</v>
      </c>
      <c r="E1619" s="13" t="s">
        <v>12064</v>
      </c>
      <c r="F1619" s="14" t="s">
        <v>18</v>
      </c>
      <c r="G1619" s="15"/>
      <c r="H1619" s="46"/>
      <c r="I1619" s="46"/>
      <c r="J1619" s="46"/>
      <c r="K1619" s="46"/>
      <c r="L1619" s="46"/>
      <c r="M1619" s="46"/>
      <c r="N1619" s="46"/>
      <c r="O1619" s="46"/>
      <c r="P1619" s="46"/>
      <c r="Q1619" s="46"/>
      <c r="R1619" s="46"/>
      <c r="S1619" s="46"/>
      <c r="T1619" s="46"/>
      <c r="U1619" s="46"/>
      <c r="V1619" s="46"/>
      <c r="W1619" s="46"/>
      <c r="X1619" s="46"/>
      <c r="Y1619" s="46"/>
      <c r="Z1619" s="46"/>
    </row>
    <row r="1620" ht="22.5" customHeight="1">
      <c r="A1620" s="17">
        <v>1618.0</v>
      </c>
      <c r="B1620" s="20">
        <v>56.0</v>
      </c>
      <c r="C1620" s="13" t="s">
        <v>11321</v>
      </c>
      <c r="D1620" s="13" t="s">
        <v>2661</v>
      </c>
      <c r="E1620" s="13" t="s">
        <v>2662</v>
      </c>
      <c r="F1620" s="15"/>
      <c r="G1620" s="15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  <c r="Y1620" s="46"/>
      <c r="Z1620" s="46"/>
    </row>
    <row r="1621" ht="22.5" customHeight="1">
      <c r="A1621" s="11">
        <v>1619.0</v>
      </c>
      <c r="B1621" s="20">
        <v>56.0</v>
      </c>
      <c r="C1621" s="13" t="s">
        <v>12065</v>
      </c>
      <c r="D1621" s="13" t="s">
        <v>12066</v>
      </c>
      <c r="E1621" s="13" t="s">
        <v>12067</v>
      </c>
      <c r="F1621" s="15"/>
      <c r="G1621" s="15"/>
      <c r="H1621" s="46"/>
      <c r="I1621" s="46"/>
      <c r="J1621" s="46"/>
      <c r="K1621" s="46"/>
      <c r="L1621" s="46"/>
      <c r="M1621" s="46"/>
      <c r="N1621" s="46"/>
      <c r="O1621" s="46"/>
      <c r="P1621" s="46"/>
      <c r="Q1621" s="46"/>
      <c r="R1621" s="46"/>
      <c r="S1621" s="46"/>
      <c r="T1621" s="46"/>
      <c r="U1621" s="46"/>
      <c r="V1621" s="46"/>
      <c r="W1621" s="46"/>
      <c r="X1621" s="46"/>
      <c r="Y1621" s="46"/>
      <c r="Z1621" s="46"/>
    </row>
    <row r="1622" ht="22.5" customHeight="1">
      <c r="A1622" s="17">
        <v>1620.0</v>
      </c>
      <c r="B1622" s="12">
        <v>55.0</v>
      </c>
      <c r="C1622" s="13" t="s">
        <v>12068</v>
      </c>
      <c r="D1622" s="13" t="s">
        <v>12069</v>
      </c>
      <c r="E1622" s="13" t="s">
        <v>12070</v>
      </c>
      <c r="F1622" s="14" t="s">
        <v>18</v>
      </c>
      <c r="G1622" s="15"/>
      <c r="H1622" s="46"/>
      <c r="I1622" s="46"/>
      <c r="J1622" s="46"/>
      <c r="K1622" s="46"/>
      <c r="L1622" s="46"/>
      <c r="M1622" s="46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</row>
    <row r="1623" ht="22.5" customHeight="1">
      <c r="A1623" s="11">
        <v>1621.0</v>
      </c>
      <c r="B1623" s="12">
        <v>55.0</v>
      </c>
      <c r="C1623" s="13" t="s">
        <v>10956</v>
      </c>
      <c r="D1623" s="13" t="s">
        <v>10957</v>
      </c>
      <c r="E1623" s="13" t="s">
        <v>12071</v>
      </c>
      <c r="F1623" s="15"/>
      <c r="G1623" s="15"/>
      <c r="H1623" s="46"/>
      <c r="I1623" s="46"/>
      <c r="J1623" s="46"/>
      <c r="K1623" s="46"/>
      <c r="L1623" s="46"/>
      <c r="M1623" s="46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  <c r="X1623" s="46"/>
      <c r="Y1623" s="46"/>
      <c r="Z1623" s="46"/>
    </row>
    <row r="1624" ht="22.5" customHeight="1">
      <c r="A1624" s="17">
        <v>1622.0</v>
      </c>
      <c r="B1624" s="12">
        <v>55.0</v>
      </c>
      <c r="C1624" s="13" t="s">
        <v>9820</v>
      </c>
      <c r="D1624" s="13" t="s">
        <v>9821</v>
      </c>
      <c r="E1624" s="13" t="s">
        <v>9822</v>
      </c>
      <c r="F1624" s="15"/>
      <c r="G1624" s="15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  <c r="S1624" s="46"/>
      <c r="T1624" s="46"/>
      <c r="U1624" s="46"/>
      <c r="V1624" s="46"/>
      <c r="W1624" s="46"/>
      <c r="X1624" s="46"/>
      <c r="Y1624" s="46"/>
      <c r="Z1624" s="46"/>
    </row>
    <row r="1625" ht="22.5" customHeight="1">
      <c r="A1625" s="11">
        <v>1623.0</v>
      </c>
      <c r="B1625" s="12">
        <v>55.0</v>
      </c>
      <c r="C1625" s="13" t="s">
        <v>10815</v>
      </c>
      <c r="D1625" s="13" t="s">
        <v>12072</v>
      </c>
      <c r="E1625" s="13" t="s">
        <v>12073</v>
      </c>
      <c r="F1625" s="15"/>
      <c r="G1625" s="15"/>
      <c r="H1625" s="46"/>
      <c r="I1625" s="46"/>
      <c r="J1625" s="46"/>
      <c r="K1625" s="46"/>
      <c r="L1625" s="46"/>
      <c r="M1625" s="46"/>
      <c r="N1625" s="46"/>
      <c r="O1625" s="46"/>
      <c r="P1625" s="46"/>
      <c r="Q1625" s="46"/>
      <c r="R1625" s="46"/>
      <c r="S1625" s="46"/>
      <c r="T1625" s="46"/>
      <c r="U1625" s="46"/>
      <c r="V1625" s="46"/>
      <c r="W1625" s="46"/>
      <c r="X1625" s="46"/>
      <c r="Y1625" s="46"/>
      <c r="Z1625" s="46"/>
    </row>
    <row r="1626" ht="22.5" customHeight="1">
      <c r="A1626" s="17">
        <v>1624.0</v>
      </c>
      <c r="B1626" s="12">
        <v>55.0</v>
      </c>
      <c r="C1626" s="13" t="s">
        <v>11270</v>
      </c>
      <c r="D1626" s="13" t="s">
        <v>11271</v>
      </c>
      <c r="E1626" s="13" t="s">
        <v>11272</v>
      </c>
      <c r="F1626" s="15"/>
      <c r="G1626" s="15"/>
      <c r="H1626" s="46"/>
      <c r="I1626" s="46"/>
      <c r="J1626" s="46"/>
      <c r="K1626" s="46"/>
      <c r="L1626" s="46"/>
      <c r="M1626" s="46"/>
      <c r="N1626" s="46"/>
      <c r="O1626" s="46"/>
      <c r="P1626" s="46"/>
      <c r="Q1626" s="46"/>
      <c r="R1626" s="46"/>
      <c r="S1626" s="46"/>
      <c r="T1626" s="46"/>
      <c r="U1626" s="46"/>
      <c r="V1626" s="46"/>
      <c r="W1626" s="46"/>
      <c r="X1626" s="46"/>
      <c r="Y1626" s="46"/>
      <c r="Z1626" s="46"/>
    </row>
    <row r="1627" ht="22.5" customHeight="1">
      <c r="A1627" s="11">
        <v>1625.0</v>
      </c>
      <c r="B1627" s="12">
        <v>55.0</v>
      </c>
      <c r="C1627" s="13" t="s">
        <v>12074</v>
      </c>
      <c r="D1627" s="13" t="s">
        <v>12075</v>
      </c>
      <c r="E1627" s="13" t="s">
        <v>12076</v>
      </c>
      <c r="F1627" s="14" t="s">
        <v>18</v>
      </c>
      <c r="G1627" s="15"/>
      <c r="H1627" s="46"/>
      <c r="I1627" s="46"/>
      <c r="J1627" s="46"/>
      <c r="K1627" s="46"/>
      <c r="L1627" s="46"/>
      <c r="M1627" s="46"/>
      <c r="N1627" s="46"/>
      <c r="O1627" s="46"/>
      <c r="P1627" s="46"/>
      <c r="Q1627" s="46"/>
      <c r="R1627" s="46"/>
      <c r="S1627" s="46"/>
      <c r="T1627" s="46"/>
      <c r="U1627" s="46"/>
      <c r="V1627" s="46"/>
      <c r="W1627" s="46"/>
      <c r="X1627" s="46"/>
      <c r="Y1627" s="46"/>
      <c r="Z1627" s="46"/>
    </row>
    <row r="1628" ht="22.5" customHeight="1">
      <c r="A1628" s="17">
        <v>1626.0</v>
      </c>
      <c r="B1628" s="12">
        <v>55.0</v>
      </c>
      <c r="C1628" s="13" t="s">
        <v>9799</v>
      </c>
      <c r="D1628" s="13" t="s">
        <v>9800</v>
      </c>
      <c r="E1628" s="13" t="s">
        <v>9801</v>
      </c>
      <c r="F1628" s="15"/>
      <c r="G1628" s="15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  <c r="S1628" s="46"/>
      <c r="T1628" s="46"/>
      <c r="U1628" s="46"/>
      <c r="V1628" s="46"/>
      <c r="W1628" s="46"/>
      <c r="X1628" s="46"/>
      <c r="Y1628" s="46"/>
      <c r="Z1628" s="46"/>
    </row>
    <row r="1629" ht="22.5" customHeight="1">
      <c r="A1629" s="11">
        <v>1627.0</v>
      </c>
      <c r="B1629" s="12">
        <v>55.0</v>
      </c>
      <c r="C1629" s="13" t="s">
        <v>6174</v>
      </c>
      <c r="D1629" s="13" t="s">
        <v>6173</v>
      </c>
      <c r="E1629" s="13" t="s">
        <v>8848</v>
      </c>
      <c r="F1629" s="15"/>
      <c r="G1629" s="15"/>
      <c r="H1629" s="46"/>
      <c r="I1629" s="46"/>
      <c r="J1629" s="46"/>
      <c r="K1629" s="46"/>
      <c r="L1629" s="46"/>
      <c r="M1629" s="46"/>
      <c r="N1629" s="46"/>
      <c r="O1629" s="46"/>
      <c r="P1629" s="46"/>
      <c r="Q1629" s="46"/>
      <c r="R1629" s="46"/>
      <c r="S1629" s="46"/>
      <c r="T1629" s="46"/>
      <c r="U1629" s="46"/>
      <c r="V1629" s="46"/>
      <c r="W1629" s="46"/>
      <c r="X1629" s="46"/>
      <c r="Y1629" s="46"/>
      <c r="Z1629" s="46"/>
    </row>
    <row r="1630" ht="22.5" customHeight="1">
      <c r="A1630" s="17">
        <v>1628.0</v>
      </c>
      <c r="B1630" s="12">
        <v>55.0</v>
      </c>
      <c r="C1630" s="13" t="s">
        <v>10950</v>
      </c>
      <c r="D1630" s="13" t="s">
        <v>10951</v>
      </c>
      <c r="E1630" s="13" t="s">
        <v>12077</v>
      </c>
      <c r="F1630" s="15"/>
      <c r="G1630" s="15"/>
      <c r="H1630" s="46"/>
      <c r="I1630" s="46"/>
      <c r="J1630" s="46"/>
      <c r="K1630" s="46"/>
      <c r="L1630" s="46"/>
      <c r="M1630" s="46"/>
      <c r="N1630" s="46"/>
      <c r="O1630" s="46"/>
      <c r="P1630" s="46"/>
      <c r="Q1630" s="46"/>
      <c r="R1630" s="46"/>
      <c r="S1630" s="46"/>
      <c r="T1630" s="46"/>
      <c r="U1630" s="46"/>
      <c r="V1630" s="46"/>
      <c r="W1630" s="46"/>
      <c r="X1630" s="46"/>
      <c r="Y1630" s="46"/>
      <c r="Z1630" s="46"/>
    </row>
    <row r="1631" ht="22.5" customHeight="1">
      <c r="A1631" s="11">
        <v>1629.0</v>
      </c>
      <c r="B1631" s="12">
        <v>55.0</v>
      </c>
      <c r="C1631" s="13" t="s">
        <v>12078</v>
      </c>
      <c r="D1631" s="13" t="s">
        <v>12079</v>
      </c>
      <c r="E1631" s="13" t="s">
        <v>12080</v>
      </c>
      <c r="F1631" s="15"/>
      <c r="G1631" s="15"/>
      <c r="H1631" s="46"/>
      <c r="I1631" s="46"/>
      <c r="J1631" s="46"/>
      <c r="K1631" s="46"/>
      <c r="L1631" s="46"/>
      <c r="M1631" s="46"/>
      <c r="N1631" s="46"/>
      <c r="O1631" s="46"/>
      <c r="P1631" s="46"/>
      <c r="Q1631" s="46"/>
      <c r="R1631" s="46"/>
      <c r="S1631" s="46"/>
      <c r="T1631" s="46"/>
      <c r="U1631" s="46"/>
      <c r="V1631" s="46"/>
      <c r="W1631" s="46"/>
      <c r="X1631" s="46"/>
      <c r="Y1631" s="46"/>
      <c r="Z1631" s="46"/>
    </row>
    <row r="1632" ht="22.5" customHeight="1">
      <c r="A1632" s="17">
        <v>1630.0</v>
      </c>
      <c r="B1632" s="12">
        <v>55.0</v>
      </c>
      <c r="C1632" s="13" t="s">
        <v>11794</v>
      </c>
      <c r="D1632" s="13" t="s">
        <v>11795</v>
      </c>
      <c r="E1632" s="13" t="s">
        <v>11796</v>
      </c>
      <c r="F1632" s="15"/>
      <c r="G1632" s="15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  <c r="S1632" s="46"/>
      <c r="T1632" s="46"/>
      <c r="U1632" s="46"/>
      <c r="V1632" s="46"/>
      <c r="W1632" s="46"/>
      <c r="X1632" s="46"/>
      <c r="Y1632" s="46"/>
      <c r="Z1632" s="46"/>
    </row>
    <row r="1633" ht="22.5" customHeight="1">
      <c r="A1633" s="11">
        <v>1631.0</v>
      </c>
      <c r="B1633" s="12">
        <v>55.0</v>
      </c>
      <c r="C1633" s="13" t="s">
        <v>12081</v>
      </c>
      <c r="D1633" s="13" t="s">
        <v>12082</v>
      </c>
      <c r="E1633" s="13" t="s">
        <v>12083</v>
      </c>
      <c r="F1633" s="15"/>
      <c r="G1633" s="15"/>
      <c r="H1633" s="46"/>
      <c r="I1633" s="46"/>
      <c r="J1633" s="46"/>
      <c r="K1633" s="46"/>
      <c r="L1633" s="46"/>
      <c r="M1633" s="46"/>
      <c r="N1633" s="46"/>
      <c r="O1633" s="46"/>
      <c r="P1633" s="46"/>
      <c r="Q1633" s="46"/>
      <c r="R1633" s="46"/>
      <c r="S1633" s="46"/>
      <c r="T1633" s="46"/>
      <c r="U1633" s="46"/>
      <c r="V1633" s="46"/>
      <c r="W1633" s="46"/>
      <c r="X1633" s="46"/>
      <c r="Y1633" s="46"/>
      <c r="Z1633" s="46"/>
    </row>
    <row r="1634" ht="22.5" customHeight="1">
      <c r="A1634" s="17">
        <v>1632.0</v>
      </c>
      <c r="B1634" s="12">
        <v>55.0</v>
      </c>
      <c r="C1634" s="13" t="s">
        <v>12084</v>
      </c>
      <c r="D1634" s="13" t="s">
        <v>12085</v>
      </c>
      <c r="E1634" s="13" t="s">
        <v>12086</v>
      </c>
      <c r="F1634" s="14" t="s">
        <v>18</v>
      </c>
      <c r="G1634" s="15"/>
      <c r="H1634" s="46"/>
      <c r="I1634" s="46"/>
      <c r="J1634" s="46"/>
      <c r="K1634" s="46"/>
      <c r="L1634" s="46"/>
      <c r="M1634" s="46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  <c r="X1634" s="46"/>
      <c r="Y1634" s="46"/>
      <c r="Z1634" s="46"/>
    </row>
    <row r="1635" ht="22.5" customHeight="1">
      <c r="A1635" s="11">
        <v>1633.0</v>
      </c>
      <c r="B1635" s="12">
        <v>55.0</v>
      </c>
      <c r="C1635" s="13" t="s">
        <v>12087</v>
      </c>
      <c r="D1635" s="13" t="s">
        <v>12088</v>
      </c>
      <c r="E1635" s="13" t="s">
        <v>12089</v>
      </c>
      <c r="F1635" s="15"/>
      <c r="G1635" s="15"/>
      <c r="H1635" s="46"/>
      <c r="I1635" s="46"/>
      <c r="J1635" s="46"/>
      <c r="K1635" s="46"/>
      <c r="L1635" s="46"/>
      <c r="M1635" s="46"/>
      <c r="N1635" s="46"/>
      <c r="O1635" s="46"/>
      <c r="P1635" s="46"/>
      <c r="Q1635" s="46"/>
      <c r="R1635" s="46"/>
      <c r="S1635" s="46"/>
      <c r="T1635" s="46"/>
      <c r="U1635" s="46"/>
      <c r="V1635" s="46"/>
      <c r="W1635" s="46"/>
      <c r="X1635" s="46"/>
      <c r="Y1635" s="46"/>
      <c r="Z1635" s="46"/>
    </row>
    <row r="1636" ht="22.5" customHeight="1">
      <c r="A1636" s="17">
        <v>1634.0</v>
      </c>
      <c r="B1636" s="12">
        <v>55.0</v>
      </c>
      <c r="C1636" s="13" t="s">
        <v>12090</v>
      </c>
      <c r="D1636" s="13" t="s">
        <v>12091</v>
      </c>
      <c r="E1636" s="13" t="s">
        <v>12092</v>
      </c>
      <c r="F1636" s="14" t="s">
        <v>18</v>
      </c>
      <c r="G1636" s="15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  <c r="X1636" s="46"/>
      <c r="Y1636" s="46"/>
      <c r="Z1636" s="46"/>
    </row>
    <row r="1637" ht="22.5" customHeight="1">
      <c r="A1637" s="11">
        <v>1635.0</v>
      </c>
      <c r="B1637" s="12">
        <v>55.0</v>
      </c>
      <c r="C1637" s="13" t="s">
        <v>12093</v>
      </c>
      <c r="D1637" s="13" t="s">
        <v>12094</v>
      </c>
      <c r="E1637" s="13" t="s">
        <v>12095</v>
      </c>
      <c r="F1637" s="14" t="s">
        <v>18</v>
      </c>
      <c r="G1637" s="15"/>
      <c r="H1637" s="46"/>
      <c r="I1637" s="46"/>
      <c r="J1637" s="46"/>
      <c r="K1637" s="46"/>
      <c r="L1637" s="46"/>
      <c r="M1637" s="46"/>
      <c r="N1637" s="46"/>
      <c r="O1637" s="46"/>
      <c r="P1637" s="46"/>
      <c r="Q1637" s="46"/>
      <c r="R1637" s="46"/>
      <c r="S1637" s="46"/>
      <c r="T1637" s="46"/>
      <c r="U1637" s="46"/>
      <c r="V1637" s="46"/>
      <c r="W1637" s="46"/>
      <c r="X1637" s="46"/>
      <c r="Y1637" s="46"/>
      <c r="Z1637" s="46"/>
    </row>
    <row r="1638" ht="22.5" customHeight="1">
      <c r="A1638" s="17">
        <v>1636.0</v>
      </c>
      <c r="B1638" s="12">
        <v>55.0</v>
      </c>
      <c r="C1638" s="13" t="s">
        <v>1176</v>
      </c>
      <c r="D1638" s="13" t="s">
        <v>1175</v>
      </c>
      <c r="E1638" s="13" t="s">
        <v>9059</v>
      </c>
      <c r="F1638" s="14" t="s">
        <v>18</v>
      </c>
      <c r="G1638" s="15"/>
      <c r="H1638" s="46"/>
      <c r="I1638" s="46"/>
      <c r="J1638" s="46"/>
      <c r="K1638" s="46"/>
      <c r="L1638" s="46"/>
      <c r="M1638" s="46"/>
      <c r="N1638" s="46"/>
      <c r="O1638" s="46"/>
      <c r="P1638" s="46"/>
      <c r="Q1638" s="46"/>
      <c r="R1638" s="46"/>
      <c r="S1638" s="46"/>
      <c r="T1638" s="46"/>
      <c r="U1638" s="46"/>
      <c r="V1638" s="46"/>
      <c r="W1638" s="46"/>
      <c r="X1638" s="46"/>
      <c r="Y1638" s="46"/>
      <c r="Z1638" s="46"/>
    </row>
    <row r="1639" ht="22.5" customHeight="1">
      <c r="A1639" s="11">
        <v>1637.0</v>
      </c>
      <c r="B1639" s="12">
        <v>55.0</v>
      </c>
      <c r="C1639" s="13" t="s">
        <v>12096</v>
      </c>
      <c r="D1639" s="13" t="s">
        <v>12097</v>
      </c>
      <c r="E1639" s="13" t="s">
        <v>12098</v>
      </c>
      <c r="F1639" s="14" t="s">
        <v>18</v>
      </c>
      <c r="G1639" s="15"/>
      <c r="H1639" s="46"/>
      <c r="I1639" s="46"/>
      <c r="J1639" s="46"/>
      <c r="K1639" s="46"/>
      <c r="L1639" s="46"/>
      <c r="M1639" s="46"/>
      <c r="N1639" s="46"/>
      <c r="O1639" s="46"/>
      <c r="P1639" s="46"/>
      <c r="Q1639" s="46"/>
      <c r="R1639" s="46"/>
      <c r="S1639" s="46"/>
      <c r="T1639" s="46"/>
      <c r="U1639" s="46"/>
      <c r="V1639" s="46"/>
      <c r="W1639" s="46"/>
      <c r="X1639" s="46"/>
      <c r="Y1639" s="46"/>
      <c r="Z1639" s="46"/>
    </row>
    <row r="1640" ht="22.5" customHeight="1">
      <c r="A1640" s="17">
        <v>1638.0</v>
      </c>
      <c r="B1640" s="12">
        <v>55.0</v>
      </c>
      <c r="C1640" s="13" t="s">
        <v>10821</v>
      </c>
      <c r="D1640" s="13" t="s">
        <v>10822</v>
      </c>
      <c r="E1640" s="13" t="s">
        <v>10823</v>
      </c>
      <c r="F1640" s="15"/>
      <c r="G1640" s="15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  <c r="X1640" s="46"/>
      <c r="Y1640" s="46"/>
      <c r="Z1640" s="46"/>
    </row>
    <row r="1641" ht="22.5" customHeight="1">
      <c r="A1641" s="11">
        <v>1639.0</v>
      </c>
      <c r="B1641" s="12">
        <v>55.0</v>
      </c>
      <c r="C1641" s="13" t="s">
        <v>12099</v>
      </c>
      <c r="D1641" s="13" t="s">
        <v>12100</v>
      </c>
      <c r="E1641" s="13" t="s">
        <v>12101</v>
      </c>
      <c r="F1641" s="14" t="s">
        <v>18</v>
      </c>
      <c r="G1641" s="15"/>
      <c r="H1641" s="46"/>
      <c r="I1641" s="46"/>
      <c r="J1641" s="46"/>
      <c r="K1641" s="46"/>
      <c r="L1641" s="46"/>
      <c r="M1641" s="46"/>
      <c r="N1641" s="46"/>
      <c r="O1641" s="46"/>
      <c r="P1641" s="46"/>
      <c r="Q1641" s="46"/>
      <c r="R1641" s="46"/>
      <c r="S1641" s="46"/>
      <c r="T1641" s="46"/>
      <c r="U1641" s="46"/>
      <c r="V1641" s="46"/>
      <c r="W1641" s="46"/>
      <c r="X1641" s="46"/>
      <c r="Y1641" s="46"/>
      <c r="Z1641" s="46"/>
    </row>
    <row r="1642" ht="22.5" customHeight="1">
      <c r="A1642" s="17">
        <v>1640.0</v>
      </c>
      <c r="B1642" s="12">
        <v>55.0</v>
      </c>
      <c r="C1642" s="13" t="s">
        <v>8747</v>
      </c>
      <c r="D1642" s="13" t="s">
        <v>8748</v>
      </c>
      <c r="E1642" s="13" t="s">
        <v>8749</v>
      </c>
      <c r="F1642" s="14" t="s">
        <v>18</v>
      </c>
      <c r="G1642" s="15"/>
      <c r="H1642" s="46"/>
      <c r="I1642" s="46"/>
      <c r="J1642" s="46"/>
      <c r="K1642" s="46"/>
      <c r="L1642" s="46"/>
      <c r="M1642" s="46"/>
      <c r="N1642" s="46"/>
      <c r="O1642" s="46"/>
      <c r="P1642" s="46"/>
      <c r="Q1642" s="46"/>
      <c r="R1642" s="46"/>
      <c r="S1642" s="46"/>
      <c r="T1642" s="46"/>
      <c r="U1642" s="46"/>
      <c r="V1642" s="46"/>
      <c r="W1642" s="46"/>
      <c r="X1642" s="46"/>
      <c r="Y1642" s="46"/>
      <c r="Z1642" s="46"/>
    </row>
    <row r="1643" ht="22.5" customHeight="1">
      <c r="A1643" s="11">
        <v>1641.0</v>
      </c>
      <c r="B1643" s="12">
        <v>55.0</v>
      </c>
      <c r="C1643" s="13" t="s">
        <v>12102</v>
      </c>
      <c r="D1643" s="13" t="s">
        <v>12103</v>
      </c>
      <c r="E1643" s="13" t="s">
        <v>12104</v>
      </c>
      <c r="F1643" s="14" t="s">
        <v>18</v>
      </c>
      <c r="G1643" s="15"/>
      <c r="H1643" s="46"/>
      <c r="I1643" s="46"/>
      <c r="J1643" s="46"/>
      <c r="K1643" s="46"/>
      <c r="L1643" s="46"/>
      <c r="M1643" s="46"/>
      <c r="N1643" s="46"/>
      <c r="O1643" s="46"/>
      <c r="P1643" s="46"/>
      <c r="Q1643" s="46"/>
      <c r="R1643" s="46"/>
      <c r="S1643" s="46"/>
      <c r="T1643" s="46"/>
      <c r="U1643" s="46"/>
      <c r="V1643" s="46"/>
      <c r="W1643" s="46"/>
      <c r="X1643" s="46"/>
      <c r="Y1643" s="46"/>
      <c r="Z1643" s="46"/>
    </row>
    <row r="1644" ht="22.5" customHeight="1">
      <c r="A1644" s="17">
        <v>1642.0</v>
      </c>
      <c r="B1644" s="12">
        <v>55.0</v>
      </c>
      <c r="C1644" s="13" t="s">
        <v>5602</v>
      </c>
      <c r="D1644" s="13" t="s">
        <v>5601</v>
      </c>
      <c r="E1644" s="13" t="s">
        <v>11222</v>
      </c>
      <c r="F1644" s="15"/>
      <c r="G1644" s="15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  <c r="S1644" s="46"/>
      <c r="T1644" s="46"/>
      <c r="U1644" s="46"/>
      <c r="V1644" s="46"/>
      <c r="W1644" s="46"/>
      <c r="X1644" s="46"/>
      <c r="Y1644" s="46"/>
      <c r="Z1644" s="46"/>
    </row>
    <row r="1645" ht="22.5" customHeight="1">
      <c r="A1645" s="11">
        <v>1643.0</v>
      </c>
      <c r="B1645" s="12">
        <v>55.0</v>
      </c>
      <c r="C1645" s="13" t="s">
        <v>10111</v>
      </c>
      <c r="D1645" s="13" t="s">
        <v>10359</v>
      </c>
      <c r="E1645" s="13" t="s">
        <v>10113</v>
      </c>
      <c r="F1645" s="15"/>
      <c r="G1645" s="15"/>
      <c r="H1645" s="46"/>
      <c r="I1645" s="46"/>
      <c r="J1645" s="46"/>
      <c r="K1645" s="46"/>
      <c r="L1645" s="46"/>
      <c r="M1645" s="46"/>
      <c r="N1645" s="46"/>
      <c r="O1645" s="46"/>
      <c r="P1645" s="46"/>
      <c r="Q1645" s="46"/>
      <c r="R1645" s="46"/>
      <c r="S1645" s="46"/>
      <c r="T1645" s="46"/>
      <c r="U1645" s="46"/>
      <c r="V1645" s="46"/>
      <c r="W1645" s="46"/>
      <c r="X1645" s="46"/>
      <c r="Y1645" s="46"/>
      <c r="Z1645" s="46"/>
    </row>
    <row r="1646" ht="22.5" customHeight="1">
      <c r="A1646" s="17">
        <v>1644.0</v>
      </c>
      <c r="B1646" s="12">
        <v>55.0</v>
      </c>
      <c r="C1646" s="13" t="s">
        <v>12105</v>
      </c>
      <c r="D1646" s="13" t="s">
        <v>12106</v>
      </c>
      <c r="E1646" s="13" t="s">
        <v>12107</v>
      </c>
      <c r="F1646" s="15"/>
      <c r="G1646" s="15"/>
      <c r="H1646" s="46"/>
      <c r="I1646" s="46"/>
      <c r="J1646" s="46"/>
      <c r="K1646" s="46"/>
      <c r="L1646" s="46"/>
      <c r="M1646" s="46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  <c r="Y1646" s="46"/>
      <c r="Z1646" s="46"/>
    </row>
    <row r="1647" ht="22.5" customHeight="1">
      <c r="A1647" s="11">
        <v>1645.0</v>
      </c>
      <c r="B1647" s="12">
        <v>55.0</v>
      </c>
      <c r="C1647" s="13" t="s">
        <v>12108</v>
      </c>
      <c r="D1647" s="13" t="s">
        <v>12109</v>
      </c>
      <c r="E1647" s="13" t="s">
        <v>12110</v>
      </c>
      <c r="F1647" s="14" t="s">
        <v>18</v>
      </c>
      <c r="G1647" s="15"/>
      <c r="H1647" s="46"/>
      <c r="I1647" s="46"/>
      <c r="J1647" s="46"/>
      <c r="K1647" s="46"/>
      <c r="L1647" s="46"/>
      <c r="M1647" s="46"/>
      <c r="N1647" s="46"/>
      <c r="O1647" s="46"/>
      <c r="P1647" s="46"/>
      <c r="Q1647" s="46"/>
      <c r="R1647" s="46"/>
      <c r="S1647" s="46"/>
      <c r="T1647" s="46"/>
      <c r="U1647" s="46"/>
      <c r="V1647" s="46"/>
      <c r="W1647" s="46"/>
      <c r="X1647" s="46"/>
      <c r="Y1647" s="46"/>
      <c r="Z1647" s="46"/>
    </row>
    <row r="1648" ht="22.5" customHeight="1">
      <c r="A1648" s="17">
        <v>1646.0</v>
      </c>
      <c r="B1648" s="12">
        <v>55.0</v>
      </c>
      <c r="C1648" s="13" t="s">
        <v>2021</v>
      </c>
      <c r="D1648" s="13" t="s">
        <v>4792</v>
      </c>
      <c r="E1648" s="13" t="s">
        <v>9852</v>
      </c>
      <c r="F1648" s="15"/>
      <c r="G1648" s="15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  <c r="S1648" s="46"/>
      <c r="T1648" s="46"/>
      <c r="U1648" s="46"/>
      <c r="V1648" s="46"/>
      <c r="W1648" s="46"/>
      <c r="X1648" s="46"/>
      <c r="Y1648" s="46"/>
      <c r="Z1648" s="46"/>
    </row>
    <row r="1649" ht="22.5" customHeight="1">
      <c r="A1649" s="11">
        <v>1647.0</v>
      </c>
      <c r="B1649" s="12">
        <v>55.0</v>
      </c>
      <c r="C1649" s="13" t="s">
        <v>10938</v>
      </c>
      <c r="D1649" s="13" t="s">
        <v>10939</v>
      </c>
      <c r="E1649" s="13" t="s">
        <v>10940</v>
      </c>
      <c r="F1649" s="14" t="s">
        <v>18</v>
      </c>
      <c r="G1649" s="15"/>
      <c r="H1649" s="46"/>
      <c r="I1649" s="46"/>
      <c r="J1649" s="46"/>
      <c r="K1649" s="46"/>
      <c r="L1649" s="46"/>
      <c r="M1649" s="46"/>
      <c r="N1649" s="46"/>
      <c r="O1649" s="46"/>
      <c r="P1649" s="46"/>
      <c r="Q1649" s="46"/>
      <c r="R1649" s="46"/>
      <c r="S1649" s="46"/>
      <c r="T1649" s="46"/>
      <c r="U1649" s="46"/>
      <c r="V1649" s="46"/>
      <c r="W1649" s="46"/>
      <c r="X1649" s="46"/>
      <c r="Y1649" s="46"/>
      <c r="Z1649" s="46"/>
    </row>
    <row r="1650" ht="22.5" customHeight="1">
      <c r="A1650" s="17">
        <v>1648.0</v>
      </c>
      <c r="B1650" s="12">
        <v>55.0</v>
      </c>
      <c r="C1650" s="13" t="s">
        <v>10412</v>
      </c>
      <c r="D1650" s="13" t="s">
        <v>10413</v>
      </c>
      <c r="E1650" s="13" t="s">
        <v>12111</v>
      </c>
      <c r="F1650" s="15"/>
      <c r="G1650" s="15"/>
      <c r="H1650" s="46"/>
      <c r="I1650" s="46"/>
      <c r="J1650" s="46"/>
      <c r="K1650" s="46"/>
      <c r="L1650" s="46"/>
      <c r="M1650" s="46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  <c r="X1650" s="46"/>
      <c r="Y1650" s="46"/>
      <c r="Z1650" s="46"/>
    </row>
    <row r="1651" ht="22.5" customHeight="1">
      <c r="A1651" s="11">
        <v>1649.0</v>
      </c>
      <c r="B1651" s="12">
        <v>55.0</v>
      </c>
      <c r="C1651" s="13" t="s">
        <v>9031</v>
      </c>
      <c r="D1651" s="13" t="s">
        <v>9032</v>
      </c>
      <c r="E1651" s="13" t="s">
        <v>9686</v>
      </c>
      <c r="F1651" s="15"/>
      <c r="G1651" s="15"/>
      <c r="H1651" s="46"/>
      <c r="I1651" s="46"/>
      <c r="J1651" s="46"/>
      <c r="K1651" s="46"/>
      <c r="L1651" s="46"/>
      <c r="M1651" s="46"/>
      <c r="N1651" s="46"/>
      <c r="O1651" s="46"/>
      <c r="P1651" s="46"/>
      <c r="Q1651" s="46"/>
      <c r="R1651" s="46"/>
      <c r="S1651" s="46"/>
      <c r="T1651" s="46"/>
      <c r="U1651" s="46"/>
      <c r="V1651" s="46"/>
      <c r="W1651" s="46"/>
      <c r="X1651" s="46"/>
      <c r="Y1651" s="46"/>
      <c r="Z1651" s="46"/>
    </row>
    <row r="1652" ht="22.5" customHeight="1">
      <c r="A1652" s="17">
        <v>1650.0</v>
      </c>
      <c r="B1652" s="16">
        <v>54.0</v>
      </c>
      <c r="C1652" s="13" t="s">
        <v>9617</v>
      </c>
      <c r="D1652" s="13" t="s">
        <v>9618</v>
      </c>
      <c r="E1652" s="13" t="s">
        <v>9619</v>
      </c>
      <c r="F1652" s="15"/>
      <c r="G1652" s="15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  <c r="S1652" s="46"/>
      <c r="T1652" s="46"/>
      <c r="U1652" s="46"/>
      <c r="V1652" s="46"/>
      <c r="W1652" s="46"/>
      <c r="X1652" s="46"/>
      <c r="Y1652" s="46"/>
      <c r="Z1652" s="46"/>
    </row>
    <row r="1653" ht="22.5" customHeight="1">
      <c r="A1653" s="11">
        <v>1651.0</v>
      </c>
      <c r="B1653" s="16">
        <v>54.0</v>
      </c>
      <c r="C1653" s="13" t="s">
        <v>9256</v>
      </c>
      <c r="D1653" s="13" t="s">
        <v>9257</v>
      </c>
      <c r="E1653" s="13" t="s">
        <v>9258</v>
      </c>
      <c r="F1653" s="15"/>
      <c r="G1653" s="15"/>
      <c r="H1653" s="46"/>
      <c r="I1653" s="46"/>
      <c r="J1653" s="46"/>
      <c r="K1653" s="46"/>
      <c r="L1653" s="46"/>
      <c r="M1653" s="46"/>
      <c r="N1653" s="46"/>
      <c r="O1653" s="46"/>
      <c r="P1653" s="46"/>
      <c r="Q1653" s="46"/>
      <c r="R1653" s="46"/>
      <c r="S1653" s="46"/>
      <c r="T1653" s="46"/>
      <c r="U1653" s="46"/>
      <c r="V1653" s="46"/>
      <c r="W1653" s="46"/>
      <c r="X1653" s="46"/>
      <c r="Y1653" s="46"/>
      <c r="Z1653" s="46"/>
    </row>
    <row r="1654" ht="22.5" customHeight="1">
      <c r="A1654" s="17">
        <v>1652.0</v>
      </c>
      <c r="B1654" s="16">
        <v>54.0</v>
      </c>
      <c r="C1654" s="13" t="s">
        <v>8795</v>
      </c>
      <c r="D1654" s="13" t="s">
        <v>4259</v>
      </c>
      <c r="E1654" s="13" t="s">
        <v>4260</v>
      </c>
      <c r="F1654" s="15"/>
      <c r="G1654" s="15"/>
      <c r="H1654" s="46"/>
      <c r="I1654" s="46"/>
      <c r="J1654" s="46"/>
      <c r="K1654" s="46"/>
      <c r="L1654" s="46"/>
      <c r="M1654" s="46"/>
      <c r="N1654" s="46"/>
      <c r="O1654" s="46"/>
      <c r="P1654" s="46"/>
      <c r="Q1654" s="46"/>
      <c r="R1654" s="46"/>
      <c r="S1654" s="46"/>
      <c r="T1654" s="46"/>
      <c r="U1654" s="46"/>
      <c r="V1654" s="46"/>
      <c r="W1654" s="46"/>
      <c r="X1654" s="46"/>
      <c r="Y1654" s="46"/>
      <c r="Z1654" s="46"/>
    </row>
    <row r="1655" ht="22.5" customHeight="1">
      <c r="A1655" s="11">
        <v>1653.0</v>
      </c>
      <c r="B1655" s="16">
        <v>54.0</v>
      </c>
      <c r="C1655" s="13" t="s">
        <v>9577</v>
      </c>
      <c r="D1655" s="13" t="s">
        <v>9578</v>
      </c>
      <c r="E1655" s="13" t="s">
        <v>9579</v>
      </c>
      <c r="F1655" s="15"/>
      <c r="G1655" s="15"/>
      <c r="H1655" s="46"/>
      <c r="I1655" s="46"/>
      <c r="J1655" s="46"/>
      <c r="K1655" s="46"/>
      <c r="L1655" s="46"/>
      <c r="M1655" s="46"/>
      <c r="N1655" s="46"/>
      <c r="O1655" s="46"/>
      <c r="P1655" s="46"/>
      <c r="Q1655" s="46"/>
      <c r="R1655" s="46"/>
      <c r="S1655" s="46"/>
      <c r="T1655" s="46"/>
      <c r="U1655" s="46"/>
      <c r="V1655" s="46"/>
      <c r="W1655" s="46"/>
      <c r="X1655" s="46"/>
      <c r="Y1655" s="46"/>
      <c r="Z1655" s="46"/>
    </row>
    <row r="1656" ht="22.5" customHeight="1">
      <c r="A1656" s="17">
        <v>1654.0</v>
      </c>
      <c r="B1656" s="16">
        <v>54.0</v>
      </c>
      <c r="C1656" s="13" t="s">
        <v>10737</v>
      </c>
      <c r="D1656" s="13" t="s">
        <v>10738</v>
      </c>
      <c r="E1656" s="13" t="s">
        <v>10739</v>
      </c>
      <c r="F1656" s="15"/>
      <c r="G1656" s="15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</row>
    <row r="1657" ht="22.5" customHeight="1">
      <c r="A1657" s="11">
        <v>1655.0</v>
      </c>
      <c r="B1657" s="16">
        <v>54.0</v>
      </c>
      <c r="C1657" s="13" t="s">
        <v>9410</v>
      </c>
      <c r="D1657" s="13" t="s">
        <v>9411</v>
      </c>
      <c r="E1657" s="13" t="s">
        <v>9412</v>
      </c>
      <c r="F1657" s="15"/>
      <c r="G1657" s="15"/>
      <c r="H1657" s="46"/>
      <c r="I1657" s="46"/>
      <c r="J1657" s="46"/>
      <c r="K1657" s="46"/>
      <c r="L1657" s="46"/>
      <c r="M1657" s="46"/>
      <c r="N1657" s="46"/>
      <c r="O1657" s="46"/>
      <c r="P1657" s="46"/>
      <c r="Q1657" s="46"/>
      <c r="R1657" s="46"/>
      <c r="S1657" s="46"/>
      <c r="T1657" s="46"/>
      <c r="U1657" s="46"/>
      <c r="V1657" s="46"/>
      <c r="W1657" s="46"/>
      <c r="X1657" s="46"/>
      <c r="Y1657" s="46"/>
      <c r="Z1657" s="46"/>
    </row>
    <row r="1658" ht="22.5" customHeight="1">
      <c r="A1658" s="17">
        <v>1656.0</v>
      </c>
      <c r="B1658" s="16">
        <v>54.0</v>
      </c>
      <c r="C1658" s="13" t="s">
        <v>12112</v>
      </c>
      <c r="D1658" s="13" t="s">
        <v>12113</v>
      </c>
      <c r="E1658" s="13" t="s">
        <v>12114</v>
      </c>
      <c r="F1658" s="14" t="s">
        <v>18</v>
      </c>
      <c r="G1658" s="15"/>
      <c r="H1658" s="46"/>
      <c r="I1658" s="46"/>
      <c r="J1658" s="46"/>
      <c r="K1658" s="46"/>
      <c r="L1658" s="46"/>
      <c r="M1658" s="46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  <c r="X1658" s="46"/>
      <c r="Y1658" s="46"/>
      <c r="Z1658" s="46"/>
    </row>
    <row r="1659" ht="22.5" customHeight="1">
      <c r="A1659" s="11">
        <v>1657.0</v>
      </c>
      <c r="B1659" s="16">
        <v>54.0</v>
      </c>
      <c r="C1659" s="13" t="s">
        <v>5500</v>
      </c>
      <c r="D1659" s="13" t="s">
        <v>5499</v>
      </c>
      <c r="E1659" s="13" t="s">
        <v>9037</v>
      </c>
      <c r="F1659" s="15"/>
      <c r="G1659" s="15"/>
      <c r="H1659" s="46"/>
      <c r="I1659" s="46"/>
      <c r="J1659" s="46"/>
      <c r="K1659" s="46"/>
      <c r="L1659" s="46"/>
      <c r="M1659" s="46"/>
      <c r="N1659" s="46"/>
      <c r="O1659" s="46"/>
      <c r="P1659" s="46"/>
      <c r="Q1659" s="46"/>
      <c r="R1659" s="46"/>
      <c r="S1659" s="46"/>
      <c r="T1659" s="46"/>
      <c r="U1659" s="46"/>
      <c r="V1659" s="46"/>
      <c r="W1659" s="46"/>
      <c r="X1659" s="46"/>
      <c r="Y1659" s="46"/>
      <c r="Z1659" s="46"/>
    </row>
    <row r="1660" ht="22.5" customHeight="1">
      <c r="A1660" s="17">
        <v>1658.0</v>
      </c>
      <c r="B1660" s="16">
        <v>54.0</v>
      </c>
      <c r="C1660" s="13" t="s">
        <v>9565</v>
      </c>
      <c r="D1660" s="13" t="s">
        <v>9566</v>
      </c>
      <c r="E1660" s="13" t="s">
        <v>12115</v>
      </c>
      <c r="F1660" s="15"/>
      <c r="G1660" s="15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  <c r="S1660" s="46"/>
      <c r="T1660" s="46"/>
      <c r="U1660" s="46"/>
      <c r="V1660" s="46"/>
      <c r="W1660" s="46"/>
      <c r="X1660" s="46"/>
      <c r="Y1660" s="46"/>
      <c r="Z1660" s="46"/>
    </row>
    <row r="1661" ht="22.5" customHeight="1">
      <c r="A1661" s="11">
        <v>1659.0</v>
      </c>
      <c r="B1661" s="16">
        <v>54.0</v>
      </c>
      <c r="C1661" s="13" t="s">
        <v>5985</v>
      </c>
      <c r="D1661" s="13" t="s">
        <v>1849</v>
      </c>
      <c r="E1661" s="13" t="s">
        <v>2011</v>
      </c>
      <c r="F1661" s="15"/>
      <c r="G1661" s="15"/>
      <c r="H1661" s="46"/>
      <c r="I1661" s="46"/>
      <c r="J1661" s="46"/>
      <c r="K1661" s="46"/>
      <c r="L1661" s="46"/>
      <c r="M1661" s="46"/>
      <c r="N1661" s="46"/>
      <c r="O1661" s="46"/>
      <c r="P1661" s="46"/>
      <c r="Q1661" s="46"/>
      <c r="R1661" s="46"/>
      <c r="S1661" s="46"/>
      <c r="T1661" s="46"/>
      <c r="U1661" s="46"/>
      <c r="V1661" s="46"/>
      <c r="W1661" s="46"/>
      <c r="X1661" s="46"/>
      <c r="Y1661" s="46"/>
      <c r="Z1661" s="46"/>
    </row>
    <row r="1662" ht="22.5" customHeight="1">
      <c r="A1662" s="17">
        <v>1660.0</v>
      </c>
      <c r="B1662" s="16">
        <v>54.0</v>
      </c>
      <c r="C1662" s="13" t="s">
        <v>10297</v>
      </c>
      <c r="D1662" s="13" t="s">
        <v>10298</v>
      </c>
      <c r="E1662" s="13" t="s">
        <v>10299</v>
      </c>
      <c r="F1662" s="15"/>
      <c r="G1662" s="15"/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</row>
    <row r="1663" ht="22.5" customHeight="1">
      <c r="A1663" s="11">
        <v>1661.0</v>
      </c>
      <c r="B1663" s="16">
        <v>54.0</v>
      </c>
      <c r="C1663" s="13" t="s">
        <v>8927</v>
      </c>
      <c r="D1663" s="13" t="s">
        <v>1702</v>
      </c>
      <c r="E1663" s="13" t="s">
        <v>3007</v>
      </c>
      <c r="F1663" s="15"/>
      <c r="G1663" s="15"/>
      <c r="H1663" s="46"/>
      <c r="I1663" s="46"/>
      <c r="J1663" s="46"/>
      <c r="K1663" s="46"/>
      <c r="L1663" s="46"/>
      <c r="M1663" s="46"/>
      <c r="N1663" s="46"/>
      <c r="O1663" s="46"/>
      <c r="P1663" s="46"/>
      <c r="Q1663" s="46"/>
      <c r="R1663" s="46"/>
      <c r="S1663" s="46"/>
      <c r="T1663" s="46"/>
      <c r="U1663" s="46"/>
      <c r="V1663" s="46"/>
      <c r="W1663" s="46"/>
      <c r="X1663" s="46"/>
      <c r="Y1663" s="46"/>
      <c r="Z1663" s="46"/>
    </row>
    <row r="1664" ht="22.5" customHeight="1">
      <c r="A1664" s="17">
        <v>1662.0</v>
      </c>
      <c r="B1664" s="16">
        <v>54.0</v>
      </c>
      <c r="C1664" s="13" t="s">
        <v>8913</v>
      </c>
      <c r="D1664" s="13" t="s">
        <v>8914</v>
      </c>
      <c r="E1664" s="13" t="s">
        <v>8915</v>
      </c>
      <c r="F1664" s="14" t="s">
        <v>18</v>
      </c>
      <c r="G1664" s="15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  <c r="S1664" s="46"/>
      <c r="T1664" s="46"/>
      <c r="U1664" s="46"/>
      <c r="V1664" s="46"/>
      <c r="W1664" s="46"/>
      <c r="X1664" s="46"/>
      <c r="Y1664" s="46"/>
      <c r="Z1664" s="46"/>
    </row>
    <row r="1665" ht="22.5" customHeight="1">
      <c r="A1665" s="11">
        <v>1663.0</v>
      </c>
      <c r="B1665" s="16">
        <v>54.0</v>
      </c>
      <c r="C1665" s="13" t="s">
        <v>12116</v>
      </c>
      <c r="D1665" s="13" t="s">
        <v>1589</v>
      </c>
      <c r="E1665" s="13" t="s">
        <v>12117</v>
      </c>
      <c r="F1665" s="15"/>
      <c r="G1665" s="15"/>
      <c r="H1665" s="46"/>
      <c r="I1665" s="46"/>
      <c r="J1665" s="46"/>
      <c r="K1665" s="46"/>
      <c r="L1665" s="46"/>
      <c r="M1665" s="46"/>
      <c r="N1665" s="46"/>
      <c r="O1665" s="46"/>
      <c r="P1665" s="46"/>
      <c r="Q1665" s="46"/>
      <c r="R1665" s="46"/>
      <c r="S1665" s="46"/>
      <c r="T1665" s="46"/>
      <c r="U1665" s="46"/>
      <c r="V1665" s="46"/>
      <c r="W1665" s="46"/>
      <c r="X1665" s="46"/>
      <c r="Y1665" s="46"/>
      <c r="Z1665" s="46"/>
    </row>
    <row r="1666" ht="22.5" customHeight="1">
      <c r="A1666" s="17">
        <v>1664.0</v>
      </c>
      <c r="B1666" s="16">
        <v>54.0</v>
      </c>
      <c r="C1666" s="13" t="s">
        <v>9250</v>
      </c>
      <c r="D1666" s="13" t="s">
        <v>9251</v>
      </c>
      <c r="E1666" s="13" t="s">
        <v>12118</v>
      </c>
      <c r="F1666" s="14" t="s">
        <v>18</v>
      </c>
      <c r="G1666" s="15"/>
      <c r="H1666" s="46"/>
      <c r="I1666" s="46"/>
      <c r="J1666" s="46"/>
      <c r="K1666" s="46"/>
      <c r="L1666" s="46"/>
      <c r="M1666" s="46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  <c r="X1666" s="46"/>
      <c r="Y1666" s="46"/>
      <c r="Z1666" s="46"/>
    </row>
    <row r="1667" ht="22.5" customHeight="1">
      <c r="A1667" s="11">
        <v>1665.0</v>
      </c>
      <c r="B1667" s="16">
        <v>54.0</v>
      </c>
      <c r="C1667" s="13" t="s">
        <v>8830</v>
      </c>
      <c r="D1667" s="13" t="s">
        <v>8831</v>
      </c>
      <c r="E1667" s="13" t="s">
        <v>12119</v>
      </c>
      <c r="F1667" s="15"/>
      <c r="G1667" s="15"/>
      <c r="H1667" s="46"/>
      <c r="I1667" s="46"/>
      <c r="J1667" s="46"/>
      <c r="K1667" s="46"/>
      <c r="L1667" s="46"/>
      <c r="M1667" s="46"/>
      <c r="N1667" s="46"/>
      <c r="O1667" s="46"/>
      <c r="P1667" s="46"/>
      <c r="Q1667" s="46"/>
      <c r="R1667" s="46"/>
      <c r="S1667" s="46"/>
      <c r="T1667" s="46"/>
      <c r="U1667" s="46"/>
      <c r="V1667" s="46"/>
      <c r="W1667" s="46"/>
      <c r="X1667" s="46"/>
      <c r="Y1667" s="46"/>
      <c r="Z1667" s="46"/>
    </row>
    <row r="1668" ht="22.5" customHeight="1">
      <c r="A1668" s="17">
        <v>1666.0</v>
      </c>
      <c r="B1668" s="16">
        <v>54.0</v>
      </c>
      <c r="C1668" s="13" t="s">
        <v>4423</v>
      </c>
      <c r="D1668" s="13" t="s">
        <v>4422</v>
      </c>
      <c r="E1668" s="13" t="s">
        <v>9761</v>
      </c>
      <c r="F1668" s="14" t="s">
        <v>18</v>
      </c>
      <c r="G1668" s="15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  <c r="S1668" s="46"/>
      <c r="T1668" s="46"/>
      <c r="U1668" s="46"/>
      <c r="V1668" s="46"/>
      <c r="W1668" s="46"/>
      <c r="X1668" s="46"/>
      <c r="Y1668" s="46"/>
      <c r="Z1668" s="46"/>
    </row>
    <row r="1669" ht="22.5" customHeight="1">
      <c r="A1669" s="11">
        <v>1667.0</v>
      </c>
      <c r="B1669" s="16">
        <v>54.0</v>
      </c>
      <c r="C1669" s="13" t="s">
        <v>4850</v>
      </c>
      <c r="D1669" s="13" t="s">
        <v>4849</v>
      </c>
      <c r="E1669" s="13" t="s">
        <v>11977</v>
      </c>
      <c r="F1669" s="15"/>
      <c r="G1669" s="15"/>
      <c r="H1669" s="46"/>
      <c r="I1669" s="46"/>
      <c r="J1669" s="46"/>
      <c r="K1669" s="46"/>
      <c r="L1669" s="46"/>
      <c r="M1669" s="46"/>
      <c r="N1669" s="46"/>
      <c r="O1669" s="46"/>
      <c r="P1669" s="46"/>
      <c r="Q1669" s="46"/>
      <c r="R1669" s="46"/>
      <c r="S1669" s="46"/>
      <c r="T1669" s="46"/>
      <c r="U1669" s="46"/>
      <c r="V1669" s="46"/>
      <c r="W1669" s="46"/>
      <c r="X1669" s="46"/>
      <c r="Y1669" s="46"/>
      <c r="Z1669" s="46"/>
    </row>
    <row r="1670" ht="22.5" customHeight="1">
      <c r="A1670" s="17">
        <v>1668.0</v>
      </c>
      <c r="B1670" s="16">
        <v>54.0</v>
      </c>
      <c r="C1670" s="13" t="s">
        <v>9034</v>
      </c>
      <c r="D1670" s="13" t="s">
        <v>9035</v>
      </c>
      <c r="E1670" s="13" t="s">
        <v>10640</v>
      </c>
      <c r="F1670" s="15"/>
      <c r="G1670" s="15"/>
      <c r="H1670" s="46"/>
      <c r="I1670" s="46"/>
      <c r="J1670" s="46"/>
      <c r="K1670" s="46"/>
      <c r="L1670" s="46"/>
      <c r="M1670" s="46"/>
      <c r="N1670" s="46"/>
      <c r="O1670" s="46"/>
      <c r="P1670" s="46"/>
      <c r="Q1670" s="46"/>
      <c r="R1670" s="46"/>
      <c r="S1670" s="46"/>
      <c r="T1670" s="46"/>
      <c r="U1670" s="46"/>
      <c r="V1670" s="46"/>
      <c r="W1670" s="46"/>
      <c r="X1670" s="46"/>
      <c r="Y1670" s="46"/>
      <c r="Z1670" s="46"/>
    </row>
    <row r="1671" ht="22.5" customHeight="1">
      <c r="A1671" s="11">
        <v>1669.0</v>
      </c>
      <c r="B1671" s="16">
        <v>54.0</v>
      </c>
      <c r="C1671" s="13" t="s">
        <v>5764</v>
      </c>
      <c r="D1671" s="13" t="s">
        <v>5763</v>
      </c>
      <c r="E1671" s="13" t="s">
        <v>9356</v>
      </c>
      <c r="F1671" s="14" t="s">
        <v>18</v>
      </c>
      <c r="G1671" s="15"/>
      <c r="H1671" s="46"/>
      <c r="I1671" s="46"/>
      <c r="J1671" s="46"/>
      <c r="K1671" s="46"/>
      <c r="L1671" s="46"/>
      <c r="M1671" s="46"/>
      <c r="N1671" s="46"/>
      <c r="O1671" s="46"/>
      <c r="P1671" s="46"/>
      <c r="Q1671" s="46"/>
      <c r="R1671" s="46"/>
      <c r="S1671" s="46"/>
      <c r="T1671" s="46"/>
      <c r="U1671" s="46"/>
      <c r="V1671" s="46"/>
      <c r="W1671" s="46"/>
      <c r="X1671" s="46"/>
      <c r="Y1671" s="46"/>
      <c r="Z1671" s="46"/>
    </row>
    <row r="1672" ht="22.5" customHeight="1">
      <c r="A1672" s="17">
        <v>1670.0</v>
      </c>
      <c r="B1672" s="16">
        <v>54.0</v>
      </c>
      <c r="C1672" s="13" t="s">
        <v>9063</v>
      </c>
      <c r="D1672" s="13" t="s">
        <v>9064</v>
      </c>
      <c r="E1672" s="13" t="s">
        <v>12120</v>
      </c>
      <c r="F1672" s="14" t="s">
        <v>18</v>
      </c>
      <c r="G1672" s="15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  <c r="S1672" s="46"/>
      <c r="T1672" s="46"/>
      <c r="U1672" s="46"/>
      <c r="V1672" s="46"/>
      <c r="W1672" s="46"/>
      <c r="X1672" s="46"/>
      <c r="Y1672" s="46"/>
      <c r="Z1672" s="46"/>
    </row>
    <row r="1673" ht="22.5" customHeight="1">
      <c r="A1673" s="11">
        <v>1671.0</v>
      </c>
      <c r="B1673" s="16">
        <v>54.0</v>
      </c>
      <c r="C1673" s="13" t="s">
        <v>5034</v>
      </c>
      <c r="D1673" s="13" t="s">
        <v>5033</v>
      </c>
      <c r="E1673" s="13" t="s">
        <v>11972</v>
      </c>
      <c r="F1673" s="14" t="s">
        <v>18</v>
      </c>
      <c r="G1673" s="15"/>
      <c r="H1673" s="46"/>
      <c r="I1673" s="46"/>
      <c r="J1673" s="46"/>
      <c r="K1673" s="46"/>
      <c r="L1673" s="46"/>
      <c r="M1673" s="46"/>
      <c r="N1673" s="46"/>
      <c r="O1673" s="46"/>
      <c r="P1673" s="46"/>
      <c r="Q1673" s="46"/>
      <c r="R1673" s="46"/>
      <c r="S1673" s="46"/>
      <c r="T1673" s="46"/>
      <c r="U1673" s="46"/>
      <c r="V1673" s="46"/>
      <c r="W1673" s="46"/>
      <c r="X1673" s="46"/>
      <c r="Y1673" s="46"/>
      <c r="Z1673" s="46"/>
    </row>
    <row r="1674" ht="22.5" customHeight="1">
      <c r="A1674" s="17">
        <v>1672.0</v>
      </c>
      <c r="B1674" s="16">
        <v>54.0</v>
      </c>
      <c r="C1674" s="13" t="s">
        <v>12121</v>
      </c>
      <c r="D1674" s="13" t="s">
        <v>3875</v>
      </c>
      <c r="E1674" s="13" t="s">
        <v>12122</v>
      </c>
      <c r="F1674" s="14" t="s">
        <v>18</v>
      </c>
      <c r="G1674" s="15"/>
      <c r="H1674" s="46"/>
      <c r="I1674" s="46"/>
      <c r="J1674" s="46"/>
      <c r="K1674" s="46"/>
      <c r="L1674" s="46"/>
      <c r="M1674" s="46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  <c r="X1674" s="46"/>
      <c r="Y1674" s="46"/>
      <c r="Z1674" s="46"/>
    </row>
    <row r="1675" ht="22.5" customHeight="1">
      <c r="A1675" s="11">
        <v>1673.0</v>
      </c>
      <c r="B1675" s="16">
        <v>54.0</v>
      </c>
      <c r="C1675" s="13" t="s">
        <v>12123</v>
      </c>
      <c r="D1675" s="13" t="s">
        <v>12124</v>
      </c>
      <c r="E1675" s="13" t="s">
        <v>12125</v>
      </c>
      <c r="F1675" s="15"/>
      <c r="G1675" s="15"/>
      <c r="H1675" s="46"/>
      <c r="I1675" s="46"/>
      <c r="J1675" s="46"/>
      <c r="K1675" s="46"/>
      <c r="L1675" s="46"/>
      <c r="M1675" s="46"/>
      <c r="N1675" s="46"/>
      <c r="O1675" s="46"/>
      <c r="P1675" s="46"/>
      <c r="Q1675" s="46"/>
      <c r="R1675" s="46"/>
      <c r="S1675" s="46"/>
      <c r="T1675" s="46"/>
      <c r="U1675" s="46"/>
      <c r="V1675" s="46"/>
      <c r="W1675" s="46"/>
      <c r="X1675" s="46"/>
      <c r="Y1675" s="46"/>
      <c r="Z1675" s="46"/>
    </row>
    <row r="1676" ht="22.5" customHeight="1">
      <c r="A1676" s="17">
        <v>1674.0</v>
      </c>
      <c r="B1676" s="16">
        <v>54.0</v>
      </c>
      <c r="C1676" s="13" t="s">
        <v>8904</v>
      </c>
      <c r="D1676" s="13" t="s">
        <v>8905</v>
      </c>
      <c r="E1676" s="13" t="s">
        <v>8906</v>
      </c>
      <c r="F1676" s="14" t="s">
        <v>18</v>
      </c>
      <c r="G1676" s="15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  <c r="S1676" s="46"/>
      <c r="T1676" s="46"/>
      <c r="U1676" s="46"/>
      <c r="V1676" s="46"/>
      <c r="W1676" s="46"/>
      <c r="X1676" s="46"/>
      <c r="Y1676" s="46"/>
      <c r="Z1676" s="46"/>
    </row>
    <row r="1677" ht="22.5" customHeight="1">
      <c r="A1677" s="11">
        <v>1675.0</v>
      </c>
      <c r="B1677" s="16">
        <v>54.0</v>
      </c>
      <c r="C1677" s="13" t="s">
        <v>10733</v>
      </c>
      <c r="D1677" s="13" t="s">
        <v>10734</v>
      </c>
      <c r="E1677" s="13" t="s">
        <v>10735</v>
      </c>
      <c r="F1677" s="15"/>
      <c r="G1677" s="15"/>
      <c r="H1677" s="46"/>
      <c r="I1677" s="46"/>
      <c r="J1677" s="46"/>
      <c r="K1677" s="46"/>
      <c r="L1677" s="46"/>
      <c r="M1677" s="46"/>
      <c r="N1677" s="46"/>
      <c r="O1677" s="46"/>
      <c r="P1677" s="46"/>
      <c r="Q1677" s="46"/>
      <c r="R1677" s="46"/>
      <c r="S1677" s="46"/>
      <c r="T1677" s="46"/>
      <c r="U1677" s="46"/>
      <c r="V1677" s="46"/>
      <c r="W1677" s="46"/>
      <c r="X1677" s="46"/>
      <c r="Y1677" s="46"/>
      <c r="Z1677" s="46"/>
    </row>
    <row r="1678" ht="22.5" customHeight="1">
      <c r="A1678" s="17">
        <v>1676.0</v>
      </c>
      <c r="B1678" s="16">
        <v>54.0</v>
      </c>
      <c r="C1678" s="13" t="s">
        <v>12126</v>
      </c>
      <c r="D1678" s="13" t="s">
        <v>12127</v>
      </c>
      <c r="E1678" s="13" t="s">
        <v>12128</v>
      </c>
      <c r="F1678" s="14" t="s">
        <v>18</v>
      </c>
      <c r="G1678" s="15"/>
      <c r="H1678" s="46"/>
      <c r="I1678" s="46"/>
      <c r="J1678" s="46"/>
      <c r="K1678" s="46"/>
      <c r="L1678" s="46"/>
      <c r="M1678" s="46"/>
      <c r="N1678" s="46"/>
      <c r="O1678" s="46"/>
      <c r="P1678" s="46"/>
      <c r="Q1678" s="46"/>
      <c r="R1678" s="46"/>
      <c r="S1678" s="46"/>
      <c r="T1678" s="46"/>
      <c r="U1678" s="46"/>
      <c r="V1678" s="46"/>
      <c r="W1678" s="46"/>
      <c r="X1678" s="46"/>
      <c r="Y1678" s="46"/>
      <c r="Z1678" s="46"/>
    </row>
    <row r="1679" ht="22.5" customHeight="1">
      <c r="A1679" s="11">
        <v>1677.0</v>
      </c>
      <c r="B1679" s="16">
        <v>54.0</v>
      </c>
      <c r="C1679" s="13" t="s">
        <v>4551</v>
      </c>
      <c r="D1679" s="13" t="s">
        <v>4550</v>
      </c>
      <c r="E1679" s="13" t="s">
        <v>12129</v>
      </c>
      <c r="F1679" s="14" t="s">
        <v>18</v>
      </c>
      <c r="G1679" s="15"/>
      <c r="H1679" s="46"/>
      <c r="I1679" s="46"/>
      <c r="J1679" s="46"/>
      <c r="K1679" s="46"/>
      <c r="L1679" s="46"/>
      <c r="M1679" s="46"/>
      <c r="N1679" s="46"/>
      <c r="O1679" s="46"/>
      <c r="P1679" s="46"/>
      <c r="Q1679" s="46"/>
      <c r="R1679" s="46"/>
      <c r="S1679" s="46"/>
      <c r="T1679" s="46"/>
      <c r="U1679" s="46"/>
      <c r="V1679" s="46"/>
      <c r="W1679" s="46"/>
      <c r="X1679" s="46"/>
      <c r="Y1679" s="46"/>
      <c r="Z1679" s="46"/>
    </row>
    <row r="1680" ht="22.5" customHeight="1">
      <c r="A1680" s="17">
        <v>1678.0</v>
      </c>
      <c r="B1680" s="16">
        <v>54.0</v>
      </c>
      <c r="C1680" s="13" t="s">
        <v>8960</v>
      </c>
      <c r="D1680" s="13" t="s">
        <v>8961</v>
      </c>
      <c r="E1680" s="13" t="s">
        <v>12130</v>
      </c>
      <c r="F1680" s="15"/>
      <c r="G1680" s="15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  <c r="S1680" s="46"/>
      <c r="T1680" s="46"/>
      <c r="U1680" s="46"/>
      <c r="V1680" s="46"/>
      <c r="W1680" s="46"/>
      <c r="X1680" s="46"/>
      <c r="Y1680" s="46"/>
      <c r="Z1680" s="46"/>
    </row>
    <row r="1681" ht="22.5" customHeight="1">
      <c r="A1681" s="11">
        <v>1679.0</v>
      </c>
      <c r="B1681" s="16">
        <v>54.0</v>
      </c>
      <c r="C1681" s="13" t="s">
        <v>5556</v>
      </c>
      <c r="D1681" s="13" t="s">
        <v>5555</v>
      </c>
      <c r="E1681" s="13" t="s">
        <v>12131</v>
      </c>
      <c r="F1681" s="15"/>
      <c r="G1681" s="15"/>
      <c r="H1681" s="46"/>
      <c r="I1681" s="46"/>
      <c r="J1681" s="46"/>
      <c r="K1681" s="46"/>
      <c r="L1681" s="46"/>
      <c r="M1681" s="46"/>
      <c r="N1681" s="46"/>
      <c r="O1681" s="46"/>
      <c r="P1681" s="46"/>
      <c r="Q1681" s="46"/>
      <c r="R1681" s="46"/>
      <c r="S1681" s="46"/>
      <c r="T1681" s="46"/>
      <c r="U1681" s="46"/>
      <c r="V1681" s="46"/>
      <c r="W1681" s="46"/>
      <c r="X1681" s="46"/>
      <c r="Y1681" s="46"/>
      <c r="Z1681" s="46"/>
    </row>
    <row r="1682" ht="22.5" customHeight="1">
      <c r="A1682" s="17">
        <v>1680.0</v>
      </c>
      <c r="B1682" s="20">
        <v>53.0</v>
      </c>
      <c r="C1682" s="13" t="s">
        <v>12132</v>
      </c>
      <c r="D1682" s="13" t="s">
        <v>12133</v>
      </c>
      <c r="E1682" s="13" t="s">
        <v>12134</v>
      </c>
      <c r="F1682" s="14" t="s">
        <v>18</v>
      </c>
      <c r="G1682" s="15"/>
      <c r="H1682" s="46"/>
      <c r="I1682" s="46"/>
      <c r="J1682" s="46"/>
      <c r="K1682" s="46"/>
      <c r="L1682" s="46"/>
      <c r="M1682" s="46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  <c r="X1682" s="46"/>
      <c r="Y1682" s="46"/>
      <c r="Z1682" s="46"/>
    </row>
    <row r="1683" ht="22.5" customHeight="1">
      <c r="A1683" s="11">
        <v>1681.0</v>
      </c>
      <c r="B1683" s="20">
        <v>53.0</v>
      </c>
      <c r="C1683" s="13" t="s">
        <v>12135</v>
      </c>
      <c r="D1683" s="13" t="s">
        <v>12136</v>
      </c>
      <c r="E1683" s="13" t="s">
        <v>12137</v>
      </c>
      <c r="F1683" s="15"/>
      <c r="G1683" s="15"/>
      <c r="H1683" s="46"/>
      <c r="I1683" s="46"/>
      <c r="J1683" s="46"/>
      <c r="K1683" s="46"/>
      <c r="L1683" s="46"/>
      <c r="M1683" s="46"/>
      <c r="N1683" s="46"/>
      <c r="O1683" s="46"/>
      <c r="P1683" s="46"/>
      <c r="Q1683" s="46"/>
      <c r="R1683" s="46"/>
      <c r="S1683" s="46"/>
      <c r="T1683" s="46"/>
      <c r="U1683" s="46"/>
      <c r="V1683" s="46"/>
      <c r="W1683" s="46"/>
      <c r="X1683" s="46"/>
      <c r="Y1683" s="46"/>
      <c r="Z1683" s="46"/>
    </row>
    <row r="1684" ht="22.5" customHeight="1">
      <c r="A1684" s="17">
        <v>1682.0</v>
      </c>
      <c r="B1684" s="20">
        <v>53.0</v>
      </c>
      <c r="C1684" s="13" t="s">
        <v>11447</v>
      </c>
      <c r="D1684" s="13" t="s">
        <v>11448</v>
      </c>
      <c r="E1684" s="13" t="s">
        <v>11449</v>
      </c>
      <c r="F1684" s="14" t="s">
        <v>18</v>
      </c>
      <c r="G1684" s="15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</row>
    <row r="1685" ht="22.5" customHeight="1">
      <c r="A1685" s="11">
        <v>1683.0</v>
      </c>
      <c r="B1685" s="20">
        <v>53.0</v>
      </c>
      <c r="C1685" s="13" t="s">
        <v>6111</v>
      </c>
      <c r="D1685" s="13" t="s">
        <v>6110</v>
      </c>
      <c r="E1685" s="13" t="s">
        <v>12138</v>
      </c>
      <c r="F1685" s="14" t="s">
        <v>18</v>
      </c>
      <c r="G1685" s="15"/>
      <c r="H1685" s="46"/>
      <c r="I1685" s="46"/>
      <c r="J1685" s="46"/>
      <c r="K1685" s="46"/>
      <c r="L1685" s="46"/>
      <c r="M1685" s="46"/>
      <c r="N1685" s="46"/>
      <c r="O1685" s="46"/>
      <c r="P1685" s="46"/>
      <c r="Q1685" s="46"/>
      <c r="R1685" s="46"/>
      <c r="S1685" s="46"/>
      <c r="T1685" s="46"/>
      <c r="U1685" s="46"/>
      <c r="V1685" s="46"/>
      <c r="W1685" s="46"/>
      <c r="X1685" s="46"/>
      <c r="Y1685" s="46"/>
      <c r="Z1685" s="46"/>
    </row>
    <row r="1686" ht="22.5" customHeight="1">
      <c r="A1686" s="17">
        <v>1684.0</v>
      </c>
      <c r="B1686" s="20">
        <v>53.0</v>
      </c>
      <c r="C1686" s="13" t="s">
        <v>12139</v>
      </c>
      <c r="D1686" s="13" t="s">
        <v>12140</v>
      </c>
      <c r="E1686" s="13" t="s">
        <v>12141</v>
      </c>
      <c r="F1686" s="15"/>
      <c r="G1686" s="15"/>
      <c r="H1686" s="46"/>
      <c r="I1686" s="46"/>
      <c r="J1686" s="46"/>
      <c r="K1686" s="46"/>
      <c r="L1686" s="46"/>
      <c r="M1686" s="46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  <c r="X1686" s="46"/>
      <c r="Y1686" s="46"/>
      <c r="Z1686" s="46"/>
    </row>
    <row r="1687" ht="22.5" customHeight="1">
      <c r="A1687" s="11">
        <v>1685.0</v>
      </c>
      <c r="B1687" s="20">
        <v>53.0</v>
      </c>
      <c r="C1687" s="13" t="s">
        <v>10815</v>
      </c>
      <c r="D1687" s="13" t="s">
        <v>12072</v>
      </c>
      <c r="E1687" s="13" t="s">
        <v>12073</v>
      </c>
      <c r="F1687" s="15"/>
      <c r="G1687" s="15"/>
      <c r="H1687" s="46"/>
      <c r="I1687" s="46"/>
      <c r="J1687" s="46"/>
      <c r="K1687" s="46"/>
      <c r="L1687" s="46"/>
      <c r="M1687" s="46"/>
      <c r="N1687" s="46"/>
      <c r="O1687" s="46"/>
      <c r="P1687" s="46"/>
      <c r="Q1687" s="46"/>
      <c r="R1687" s="46"/>
      <c r="S1687" s="46"/>
      <c r="T1687" s="46"/>
      <c r="U1687" s="46"/>
      <c r="V1687" s="46"/>
      <c r="W1687" s="46"/>
      <c r="X1687" s="46"/>
      <c r="Y1687" s="46"/>
      <c r="Z1687" s="46"/>
    </row>
    <row r="1688" ht="22.5" customHeight="1">
      <c r="A1688" s="17">
        <v>1686.0</v>
      </c>
      <c r="B1688" s="20">
        <v>53.0</v>
      </c>
      <c r="C1688" s="13" t="s">
        <v>12142</v>
      </c>
      <c r="D1688" s="13" t="s">
        <v>12143</v>
      </c>
      <c r="E1688" s="13" t="s">
        <v>12144</v>
      </c>
      <c r="F1688" s="14" t="s">
        <v>18</v>
      </c>
      <c r="G1688" s="15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6"/>
    </row>
    <row r="1689" ht="22.5" customHeight="1">
      <c r="A1689" s="11">
        <v>1687.0</v>
      </c>
      <c r="B1689" s="20">
        <v>53.0</v>
      </c>
      <c r="C1689" s="13" t="s">
        <v>6142</v>
      </c>
      <c r="D1689" s="13" t="s">
        <v>6141</v>
      </c>
      <c r="E1689" s="13" t="s">
        <v>9765</v>
      </c>
      <c r="F1689" s="15"/>
      <c r="G1689" s="15"/>
      <c r="H1689" s="46"/>
      <c r="I1689" s="46"/>
      <c r="J1689" s="46"/>
      <c r="K1689" s="46"/>
      <c r="L1689" s="46"/>
      <c r="M1689" s="46"/>
      <c r="N1689" s="46"/>
      <c r="O1689" s="46"/>
      <c r="P1689" s="46"/>
      <c r="Q1689" s="46"/>
      <c r="R1689" s="46"/>
      <c r="S1689" s="46"/>
      <c r="T1689" s="46"/>
      <c r="U1689" s="46"/>
      <c r="V1689" s="46"/>
      <c r="W1689" s="46"/>
      <c r="X1689" s="46"/>
      <c r="Y1689" s="46"/>
      <c r="Z1689" s="46"/>
    </row>
    <row r="1690" ht="22.5" customHeight="1">
      <c r="A1690" s="17">
        <v>1688.0</v>
      </c>
      <c r="B1690" s="20">
        <v>53.0</v>
      </c>
      <c r="C1690" s="13" t="s">
        <v>11348</v>
      </c>
      <c r="D1690" s="13" t="s">
        <v>12145</v>
      </c>
      <c r="E1690" s="13" t="s">
        <v>12146</v>
      </c>
      <c r="F1690" s="14" t="s">
        <v>18</v>
      </c>
      <c r="G1690" s="15"/>
      <c r="H1690" s="46"/>
      <c r="I1690" s="46"/>
      <c r="J1690" s="46"/>
      <c r="K1690" s="46"/>
      <c r="L1690" s="46"/>
      <c r="M1690" s="46"/>
      <c r="N1690" s="46"/>
      <c r="O1690" s="46"/>
      <c r="P1690" s="46"/>
      <c r="Q1690" s="46"/>
      <c r="R1690" s="46"/>
      <c r="S1690" s="46"/>
      <c r="T1690" s="46"/>
      <c r="U1690" s="46"/>
      <c r="V1690" s="46"/>
      <c r="W1690" s="46"/>
      <c r="X1690" s="46"/>
      <c r="Y1690" s="46"/>
      <c r="Z1690" s="46"/>
    </row>
    <row r="1691" ht="22.5" customHeight="1">
      <c r="A1691" s="11">
        <v>1689.0</v>
      </c>
      <c r="B1691" s="20">
        <v>53.0</v>
      </c>
      <c r="C1691" s="13" t="s">
        <v>12147</v>
      </c>
      <c r="D1691" s="13" t="s">
        <v>12148</v>
      </c>
      <c r="E1691" s="13" t="s">
        <v>12149</v>
      </c>
      <c r="F1691" s="15"/>
      <c r="G1691" s="15"/>
      <c r="H1691" s="46"/>
      <c r="I1691" s="46"/>
      <c r="J1691" s="46"/>
      <c r="K1691" s="46"/>
      <c r="L1691" s="46"/>
      <c r="M1691" s="46"/>
      <c r="N1691" s="46"/>
      <c r="O1691" s="46"/>
      <c r="P1691" s="46"/>
      <c r="Q1691" s="46"/>
      <c r="R1691" s="46"/>
      <c r="S1691" s="46"/>
      <c r="T1691" s="46"/>
      <c r="U1691" s="46"/>
      <c r="V1691" s="46"/>
      <c r="W1691" s="46"/>
      <c r="X1691" s="46"/>
      <c r="Y1691" s="46"/>
      <c r="Z1691" s="46"/>
    </row>
    <row r="1692" ht="22.5" customHeight="1">
      <c r="A1692" s="17">
        <v>1690.0</v>
      </c>
      <c r="B1692" s="20">
        <v>53.0</v>
      </c>
      <c r="C1692" s="13" t="s">
        <v>10220</v>
      </c>
      <c r="D1692" s="13" t="s">
        <v>10221</v>
      </c>
      <c r="E1692" s="13" t="s">
        <v>10222</v>
      </c>
      <c r="F1692" s="15"/>
      <c r="G1692" s="15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  <c r="S1692" s="46"/>
      <c r="T1692" s="46"/>
      <c r="U1692" s="46"/>
      <c r="V1692" s="46"/>
      <c r="W1692" s="46"/>
      <c r="X1692" s="46"/>
      <c r="Y1692" s="46"/>
      <c r="Z1692" s="46"/>
    </row>
    <row r="1693" ht="22.5" customHeight="1">
      <c r="A1693" s="11">
        <v>1691.0</v>
      </c>
      <c r="B1693" s="20">
        <v>53.0</v>
      </c>
      <c r="C1693" s="13" t="s">
        <v>12150</v>
      </c>
      <c r="D1693" s="13" t="s">
        <v>12151</v>
      </c>
      <c r="E1693" s="13" t="s">
        <v>12152</v>
      </c>
      <c r="F1693" s="14" t="s">
        <v>18</v>
      </c>
      <c r="G1693" s="15"/>
      <c r="H1693" s="46"/>
      <c r="I1693" s="46"/>
      <c r="J1693" s="46"/>
      <c r="K1693" s="46"/>
      <c r="L1693" s="46"/>
      <c r="M1693" s="46"/>
      <c r="N1693" s="46"/>
      <c r="O1693" s="46"/>
      <c r="P1693" s="46"/>
      <c r="Q1693" s="46"/>
      <c r="R1693" s="46"/>
      <c r="S1693" s="46"/>
      <c r="T1693" s="46"/>
      <c r="U1693" s="46"/>
      <c r="V1693" s="46"/>
      <c r="W1693" s="46"/>
      <c r="X1693" s="46"/>
      <c r="Y1693" s="46"/>
      <c r="Z1693" s="46"/>
    </row>
    <row r="1694" ht="22.5" customHeight="1">
      <c r="A1694" s="17">
        <v>1692.0</v>
      </c>
      <c r="B1694" s="20">
        <v>53.0</v>
      </c>
      <c r="C1694" s="13" t="s">
        <v>9442</v>
      </c>
      <c r="D1694" s="13" t="s">
        <v>1795</v>
      </c>
      <c r="E1694" s="13" t="s">
        <v>12153</v>
      </c>
      <c r="F1694" s="15"/>
      <c r="G1694" s="15"/>
      <c r="H1694" s="46"/>
      <c r="I1694" s="46"/>
      <c r="J1694" s="46"/>
      <c r="K1694" s="46"/>
      <c r="L1694" s="46"/>
      <c r="M1694" s="46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</row>
    <row r="1695" ht="22.5" customHeight="1">
      <c r="A1695" s="11">
        <v>1693.0</v>
      </c>
      <c r="B1695" s="20">
        <v>53.0</v>
      </c>
      <c r="C1695" s="13" t="s">
        <v>9664</v>
      </c>
      <c r="D1695" s="13" t="s">
        <v>9665</v>
      </c>
      <c r="E1695" s="13" t="s">
        <v>12154</v>
      </c>
      <c r="F1695" s="14" t="s">
        <v>18</v>
      </c>
      <c r="G1695" s="15"/>
      <c r="H1695" s="46"/>
      <c r="I1695" s="46"/>
      <c r="J1695" s="46"/>
      <c r="K1695" s="46"/>
      <c r="L1695" s="46"/>
      <c r="M1695" s="46"/>
      <c r="N1695" s="46"/>
      <c r="O1695" s="46"/>
      <c r="P1695" s="46"/>
      <c r="Q1695" s="46"/>
      <c r="R1695" s="46"/>
      <c r="S1695" s="46"/>
      <c r="T1695" s="46"/>
      <c r="U1695" s="46"/>
      <c r="V1695" s="46"/>
      <c r="W1695" s="46"/>
      <c r="X1695" s="46"/>
      <c r="Y1695" s="46"/>
      <c r="Z1695" s="46"/>
    </row>
    <row r="1696" ht="22.5" customHeight="1">
      <c r="A1696" s="17">
        <v>1694.0</v>
      </c>
      <c r="B1696" s="20">
        <v>53.0</v>
      </c>
      <c r="C1696" s="13" t="s">
        <v>12155</v>
      </c>
      <c r="D1696" s="13" t="s">
        <v>12156</v>
      </c>
      <c r="E1696" s="13" t="s">
        <v>12157</v>
      </c>
      <c r="F1696" s="15"/>
      <c r="G1696" s="15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  <c r="S1696" s="46"/>
      <c r="T1696" s="46"/>
      <c r="U1696" s="46"/>
      <c r="V1696" s="46"/>
      <c r="W1696" s="46"/>
      <c r="X1696" s="46"/>
      <c r="Y1696" s="46"/>
      <c r="Z1696" s="46"/>
    </row>
    <row r="1697" ht="22.5" customHeight="1">
      <c r="A1697" s="11">
        <v>1695.0</v>
      </c>
      <c r="B1697" s="20">
        <v>53.0</v>
      </c>
      <c r="C1697" s="13" t="s">
        <v>12158</v>
      </c>
      <c r="D1697" s="13" t="s">
        <v>12159</v>
      </c>
      <c r="E1697" s="13" t="s">
        <v>12160</v>
      </c>
      <c r="F1697" s="15"/>
      <c r="G1697" s="15"/>
      <c r="H1697" s="46"/>
      <c r="I1697" s="46"/>
      <c r="J1697" s="46"/>
      <c r="K1697" s="46"/>
      <c r="L1697" s="46"/>
      <c r="M1697" s="46"/>
      <c r="N1697" s="46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</row>
    <row r="1698" ht="22.5" customHeight="1">
      <c r="A1698" s="17">
        <v>1696.0</v>
      </c>
      <c r="B1698" s="20">
        <v>53.0</v>
      </c>
      <c r="C1698" s="13" t="s">
        <v>12161</v>
      </c>
      <c r="D1698" s="13" t="s">
        <v>12162</v>
      </c>
      <c r="E1698" s="13" t="s">
        <v>12163</v>
      </c>
      <c r="F1698" s="14" t="s">
        <v>18</v>
      </c>
      <c r="G1698" s="15"/>
      <c r="H1698" s="46"/>
      <c r="I1698" s="46"/>
      <c r="J1698" s="46"/>
      <c r="K1698" s="46"/>
      <c r="L1698" s="46"/>
      <c r="M1698" s="46"/>
      <c r="N1698" s="46"/>
      <c r="O1698" s="46"/>
      <c r="P1698" s="46"/>
      <c r="Q1698" s="46"/>
      <c r="R1698" s="46"/>
      <c r="S1698" s="46"/>
      <c r="T1698" s="46"/>
      <c r="U1698" s="46"/>
      <c r="V1698" s="46"/>
      <c r="W1698" s="46"/>
      <c r="X1698" s="46"/>
      <c r="Y1698" s="46"/>
      <c r="Z1698" s="46"/>
    </row>
    <row r="1699" ht="22.5" customHeight="1">
      <c r="A1699" s="11">
        <v>1697.0</v>
      </c>
      <c r="B1699" s="20">
        <v>53.0</v>
      </c>
      <c r="C1699" s="13" t="s">
        <v>12164</v>
      </c>
      <c r="D1699" s="13" t="s">
        <v>12165</v>
      </c>
      <c r="E1699" s="13" t="s">
        <v>12166</v>
      </c>
      <c r="F1699" s="14" t="s">
        <v>18</v>
      </c>
      <c r="G1699" s="15"/>
      <c r="H1699" s="46"/>
      <c r="I1699" s="46"/>
      <c r="J1699" s="46"/>
      <c r="K1699" s="46"/>
      <c r="L1699" s="46"/>
      <c r="M1699" s="46"/>
      <c r="N1699" s="46"/>
      <c r="O1699" s="46"/>
      <c r="P1699" s="46"/>
      <c r="Q1699" s="46"/>
      <c r="R1699" s="46"/>
      <c r="S1699" s="46"/>
      <c r="T1699" s="46"/>
      <c r="U1699" s="46"/>
      <c r="V1699" s="46"/>
      <c r="W1699" s="46"/>
      <c r="X1699" s="46"/>
      <c r="Y1699" s="46"/>
      <c r="Z1699" s="46"/>
    </row>
    <row r="1700" ht="22.5" customHeight="1">
      <c r="A1700" s="17">
        <v>1698.0</v>
      </c>
      <c r="B1700" s="20">
        <v>53.0</v>
      </c>
      <c r="C1700" s="13" t="s">
        <v>12167</v>
      </c>
      <c r="D1700" s="13" t="s">
        <v>12168</v>
      </c>
      <c r="E1700" s="13" t="s">
        <v>12169</v>
      </c>
      <c r="F1700" s="15"/>
      <c r="G1700" s="15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  <c r="S1700" s="46"/>
      <c r="T1700" s="46"/>
      <c r="U1700" s="46"/>
      <c r="V1700" s="46"/>
      <c r="W1700" s="46"/>
      <c r="X1700" s="46"/>
      <c r="Y1700" s="46"/>
      <c r="Z1700" s="46"/>
    </row>
    <row r="1701" ht="22.5" customHeight="1">
      <c r="A1701" s="11">
        <v>1699.0</v>
      </c>
      <c r="B1701" s="20">
        <v>53.0</v>
      </c>
      <c r="C1701" s="13" t="s">
        <v>12170</v>
      </c>
      <c r="D1701" s="13" t="s">
        <v>12171</v>
      </c>
      <c r="E1701" s="13" t="s">
        <v>12172</v>
      </c>
      <c r="F1701" s="15"/>
      <c r="G1701" s="15"/>
      <c r="H1701" s="46"/>
      <c r="I1701" s="46"/>
      <c r="J1701" s="46"/>
      <c r="K1701" s="46"/>
      <c r="L1701" s="46"/>
      <c r="M1701" s="46"/>
      <c r="N1701" s="46"/>
      <c r="O1701" s="46"/>
      <c r="P1701" s="46"/>
      <c r="Q1701" s="46"/>
      <c r="R1701" s="46"/>
      <c r="S1701" s="46"/>
      <c r="T1701" s="46"/>
      <c r="U1701" s="46"/>
      <c r="V1701" s="46"/>
      <c r="W1701" s="46"/>
      <c r="X1701" s="46"/>
      <c r="Y1701" s="46"/>
      <c r="Z1701" s="46"/>
    </row>
    <row r="1702" ht="22.5" customHeight="1">
      <c r="A1702" s="17">
        <v>1700.0</v>
      </c>
      <c r="B1702" s="20">
        <v>53.0</v>
      </c>
      <c r="C1702" s="13" t="s">
        <v>12173</v>
      </c>
      <c r="D1702" s="13" t="s">
        <v>12174</v>
      </c>
      <c r="E1702" s="13" t="s">
        <v>12175</v>
      </c>
      <c r="F1702" s="15"/>
      <c r="G1702" s="15"/>
      <c r="H1702" s="46"/>
      <c r="I1702" s="46"/>
      <c r="J1702" s="46"/>
      <c r="K1702" s="46"/>
      <c r="L1702" s="46"/>
      <c r="M1702" s="46"/>
      <c r="N1702" s="46"/>
      <c r="O1702" s="46"/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</row>
    <row r="1703" ht="22.5" customHeight="1">
      <c r="A1703" s="11">
        <v>1701.0</v>
      </c>
      <c r="B1703" s="20">
        <v>53.0</v>
      </c>
      <c r="C1703" s="13" t="s">
        <v>12176</v>
      </c>
      <c r="D1703" s="13" t="s">
        <v>12177</v>
      </c>
      <c r="E1703" s="13" t="s">
        <v>12178</v>
      </c>
      <c r="F1703" s="14" t="s">
        <v>18</v>
      </c>
      <c r="G1703" s="15"/>
      <c r="H1703" s="46"/>
      <c r="I1703" s="46"/>
      <c r="J1703" s="46"/>
      <c r="K1703" s="46"/>
      <c r="L1703" s="46"/>
      <c r="M1703" s="46"/>
      <c r="N1703" s="46"/>
      <c r="O1703" s="46"/>
      <c r="P1703" s="46"/>
      <c r="Q1703" s="46"/>
      <c r="R1703" s="46"/>
      <c r="S1703" s="46"/>
      <c r="T1703" s="46"/>
      <c r="U1703" s="46"/>
      <c r="V1703" s="46"/>
      <c r="W1703" s="46"/>
      <c r="X1703" s="46"/>
      <c r="Y1703" s="46"/>
      <c r="Z1703" s="46"/>
    </row>
    <row r="1704" ht="22.5" customHeight="1">
      <c r="A1704" s="17">
        <v>1702.0</v>
      </c>
      <c r="B1704" s="20">
        <v>53.0</v>
      </c>
      <c r="C1704" s="13" t="s">
        <v>12179</v>
      </c>
      <c r="D1704" s="13" t="s">
        <v>12180</v>
      </c>
      <c r="E1704" s="13" t="s">
        <v>12181</v>
      </c>
      <c r="F1704" s="15"/>
      <c r="G1704" s="15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  <c r="S1704" s="46"/>
      <c r="T1704" s="46"/>
      <c r="U1704" s="46"/>
      <c r="V1704" s="46"/>
      <c r="W1704" s="46"/>
      <c r="X1704" s="46"/>
      <c r="Y1704" s="46"/>
      <c r="Z1704" s="46"/>
    </row>
    <row r="1705" ht="22.5" customHeight="1">
      <c r="A1705" s="11">
        <v>1703.0</v>
      </c>
      <c r="B1705" s="20">
        <v>53.0</v>
      </c>
      <c r="C1705" s="13" t="s">
        <v>9031</v>
      </c>
      <c r="D1705" s="13" t="s">
        <v>9032</v>
      </c>
      <c r="E1705" s="13" t="s">
        <v>9686</v>
      </c>
      <c r="F1705" s="15"/>
      <c r="G1705" s="15"/>
      <c r="H1705" s="46"/>
      <c r="I1705" s="46"/>
      <c r="J1705" s="46"/>
      <c r="K1705" s="46"/>
      <c r="L1705" s="46"/>
      <c r="M1705" s="46"/>
      <c r="N1705" s="46"/>
      <c r="O1705" s="46"/>
      <c r="P1705" s="46"/>
      <c r="Q1705" s="46"/>
      <c r="R1705" s="46"/>
      <c r="S1705" s="46"/>
      <c r="T1705" s="46"/>
      <c r="U1705" s="46"/>
      <c r="V1705" s="46"/>
      <c r="W1705" s="46"/>
      <c r="X1705" s="46"/>
      <c r="Y1705" s="46"/>
      <c r="Z1705" s="46"/>
    </row>
    <row r="1706" ht="22.5" customHeight="1">
      <c r="A1706" s="17">
        <v>1704.0</v>
      </c>
      <c r="B1706" s="20">
        <v>53.0</v>
      </c>
      <c r="C1706" s="13" t="s">
        <v>6082</v>
      </c>
      <c r="D1706" s="13" t="s">
        <v>4204</v>
      </c>
      <c r="E1706" s="13" t="s">
        <v>12182</v>
      </c>
      <c r="F1706" s="15"/>
      <c r="G1706" s="15"/>
      <c r="H1706" s="46"/>
      <c r="I1706" s="46"/>
      <c r="J1706" s="46"/>
      <c r="K1706" s="46"/>
      <c r="L1706" s="46"/>
      <c r="M1706" s="46"/>
      <c r="N1706" s="46"/>
      <c r="O1706" s="46"/>
      <c r="P1706" s="46"/>
      <c r="Q1706" s="46"/>
      <c r="R1706" s="46"/>
      <c r="S1706" s="46"/>
      <c r="T1706" s="46"/>
      <c r="U1706" s="46"/>
      <c r="V1706" s="46"/>
      <c r="W1706" s="46"/>
      <c r="X1706" s="46"/>
      <c r="Y1706" s="46"/>
      <c r="Z1706" s="46"/>
    </row>
    <row r="1707" ht="22.5" customHeight="1">
      <c r="A1707" s="11">
        <v>1705.0</v>
      </c>
      <c r="B1707" s="20">
        <v>53.0</v>
      </c>
      <c r="C1707" s="13" t="s">
        <v>12013</v>
      </c>
      <c r="D1707" s="13" t="s">
        <v>12014</v>
      </c>
      <c r="E1707" s="13" t="s">
        <v>12015</v>
      </c>
      <c r="F1707" s="15"/>
      <c r="G1707" s="15"/>
      <c r="H1707" s="46"/>
      <c r="I1707" s="46"/>
      <c r="J1707" s="46"/>
      <c r="K1707" s="46"/>
      <c r="L1707" s="46"/>
      <c r="M1707" s="46"/>
      <c r="N1707" s="46"/>
      <c r="O1707" s="46"/>
      <c r="P1707" s="46"/>
      <c r="Q1707" s="46"/>
      <c r="R1707" s="46"/>
      <c r="S1707" s="46"/>
      <c r="T1707" s="46"/>
      <c r="U1707" s="46"/>
      <c r="V1707" s="46"/>
      <c r="W1707" s="46"/>
      <c r="X1707" s="46"/>
      <c r="Y1707" s="46"/>
      <c r="Z1707" s="46"/>
    </row>
    <row r="1708" ht="22.5" customHeight="1">
      <c r="A1708" s="17">
        <v>1706.0</v>
      </c>
      <c r="B1708" s="20">
        <v>53.0</v>
      </c>
      <c r="C1708" s="13" t="s">
        <v>4968</v>
      </c>
      <c r="D1708" s="13" t="s">
        <v>1491</v>
      </c>
      <c r="E1708" s="13" t="s">
        <v>2814</v>
      </c>
      <c r="F1708" s="15"/>
      <c r="G1708" s="15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  <c r="Y1708" s="46"/>
      <c r="Z1708" s="46"/>
    </row>
    <row r="1709" ht="22.5" customHeight="1">
      <c r="A1709" s="11">
        <v>1707.0</v>
      </c>
      <c r="B1709" s="20">
        <v>53.0</v>
      </c>
      <c r="C1709" s="13" t="s">
        <v>12183</v>
      </c>
      <c r="D1709" s="13" t="s">
        <v>12184</v>
      </c>
      <c r="E1709" s="13" t="s">
        <v>12185</v>
      </c>
      <c r="F1709" s="15"/>
      <c r="G1709" s="15"/>
      <c r="H1709" s="46"/>
      <c r="I1709" s="46"/>
      <c r="J1709" s="46"/>
      <c r="K1709" s="46"/>
      <c r="L1709" s="46"/>
      <c r="M1709" s="46"/>
      <c r="N1709" s="46"/>
      <c r="O1709" s="46"/>
      <c r="P1709" s="46"/>
      <c r="Q1709" s="46"/>
      <c r="R1709" s="46"/>
      <c r="S1709" s="46"/>
      <c r="T1709" s="46"/>
      <c r="U1709" s="46"/>
      <c r="V1709" s="46"/>
      <c r="W1709" s="46"/>
      <c r="X1709" s="46"/>
      <c r="Y1709" s="46"/>
      <c r="Z1709" s="46"/>
    </row>
    <row r="1710" ht="22.5" customHeight="1">
      <c r="A1710" s="17">
        <v>1708.0</v>
      </c>
      <c r="B1710" s="20">
        <v>53.0</v>
      </c>
      <c r="C1710" s="13" t="s">
        <v>12186</v>
      </c>
      <c r="D1710" s="13" t="s">
        <v>12187</v>
      </c>
      <c r="E1710" s="13" t="s">
        <v>12188</v>
      </c>
      <c r="F1710" s="15"/>
      <c r="G1710" s="15"/>
      <c r="H1710" s="46"/>
      <c r="I1710" s="46"/>
      <c r="J1710" s="46"/>
      <c r="K1710" s="46"/>
      <c r="L1710" s="46"/>
      <c r="M1710" s="46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46"/>
    </row>
    <row r="1711" ht="22.5" customHeight="1">
      <c r="A1711" s="11">
        <v>1709.0</v>
      </c>
      <c r="B1711" s="20">
        <v>53.0</v>
      </c>
      <c r="C1711" s="13" t="s">
        <v>6250</v>
      </c>
      <c r="D1711" s="13" t="s">
        <v>6249</v>
      </c>
      <c r="E1711" s="13" t="s">
        <v>12189</v>
      </c>
      <c r="F1711" s="15"/>
      <c r="G1711" s="15"/>
      <c r="H1711" s="46"/>
      <c r="I1711" s="46"/>
      <c r="J1711" s="46"/>
      <c r="K1711" s="46"/>
      <c r="L1711" s="46"/>
      <c r="M1711" s="46"/>
      <c r="N1711" s="46"/>
      <c r="O1711" s="46"/>
      <c r="P1711" s="46"/>
      <c r="Q1711" s="46"/>
      <c r="R1711" s="46"/>
      <c r="S1711" s="46"/>
      <c r="T1711" s="46"/>
      <c r="U1711" s="46"/>
      <c r="V1711" s="46"/>
      <c r="W1711" s="46"/>
      <c r="X1711" s="46"/>
      <c r="Y1711" s="46"/>
      <c r="Z1711" s="46"/>
    </row>
    <row r="1712" ht="22.5" customHeight="1">
      <c r="A1712" s="17">
        <v>1710.0</v>
      </c>
      <c r="B1712" s="20">
        <v>52.0</v>
      </c>
      <c r="C1712" s="13" t="s">
        <v>9701</v>
      </c>
      <c r="D1712" s="13" t="s">
        <v>9702</v>
      </c>
      <c r="E1712" s="13" t="s">
        <v>9703</v>
      </c>
      <c r="F1712" s="14" t="s">
        <v>18</v>
      </c>
      <c r="G1712" s="15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  <c r="S1712" s="46"/>
      <c r="T1712" s="46"/>
      <c r="U1712" s="46"/>
      <c r="V1712" s="46"/>
      <c r="W1712" s="46"/>
      <c r="X1712" s="46"/>
      <c r="Y1712" s="46"/>
      <c r="Z1712" s="46"/>
    </row>
    <row r="1713" ht="22.5" customHeight="1">
      <c r="A1713" s="11">
        <v>1711.0</v>
      </c>
      <c r="B1713" s="20">
        <v>52.0</v>
      </c>
      <c r="C1713" s="13" t="s">
        <v>12190</v>
      </c>
      <c r="D1713" s="13" t="s">
        <v>12191</v>
      </c>
      <c r="E1713" s="13" t="s">
        <v>12192</v>
      </c>
      <c r="F1713" s="14" t="s">
        <v>18</v>
      </c>
      <c r="G1713" s="15"/>
      <c r="H1713" s="46"/>
      <c r="I1713" s="46"/>
      <c r="J1713" s="46"/>
      <c r="K1713" s="46"/>
      <c r="L1713" s="46"/>
      <c r="M1713" s="46"/>
      <c r="N1713" s="46"/>
      <c r="O1713" s="46"/>
      <c r="P1713" s="46"/>
      <c r="Q1713" s="46"/>
      <c r="R1713" s="46"/>
      <c r="S1713" s="46"/>
      <c r="T1713" s="46"/>
      <c r="U1713" s="46"/>
      <c r="V1713" s="46"/>
      <c r="W1713" s="46"/>
      <c r="X1713" s="46"/>
      <c r="Y1713" s="46"/>
      <c r="Z1713" s="46"/>
    </row>
    <row r="1714" ht="22.5" customHeight="1">
      <c r="A1714" s="17">
        <v>1712.0</v>
      </c>
      <c r="B1714" s="20">
        <v>52.0</v>
      </c>
      <c r="C1714" s="13" t="s">
        <v>9635</v>
      </c>
      <c r="D1714" s="13" t="s">
        <v>9636</v>
      </c>
      <c r="E1714" s="13" t="s">
        <v>12193</v>
      </c>
      <c r="F1714" s="15"/>
      <c r="G1714" s="15"/>
      <c r="H1714" s="46"/>
      <c r="I1714" s="46"/>
      <c r="J1714" s="46"/>
      <c r="K1714" s="46"/>
      <c r="L1714" s="46"/>
      <c r="M1714" s="46"/>
      <c r="N1714" s="46"/>
      <c r="O1714" s="46"/>
      <c r="P1714" s="46"/>
      <c r="Q1714" s="46"/>
      <c r="R1714" s="46"/>
      <c r="S1714" s="46"/>
      <c r="T1714" s="46"/>
      <c r="U1714" s="46"/>
      <c r="V1714" s="46"/>
      <c r="W1714" s="46"/>
      <c r="X1714" s="46"/>
      <c r="Y1714" s="46"/>
      <c r="Z1714" s="46"/>
    </row>
    <row r="1715" ht="22.5" customHeight="1">
      <c r="A1715" s="11">
        <v>1713.0</v>
      </c>
      <c r="B1715" s="20">
        <v>52.0</v>
      </c>
      <c r="C1715" s="13" t="s">
        <v>12194</v>
      </c>
      <c r="D1715" s="13" t="s">
        <v>12195</v>
      </c>
      <c r="E1715" s="13" t="s">
        <v>12196</v>
      </c>
      <c r="F1715" s="15"/>
      <c r="G1715" s="15"/>
      <c r="H1715" s="46"/>
      <c r="I1715" s="46"/>
      <c r="J1715" s="46"/>
      <c r="K1715" s="46"/>
      <c r="L1715" s="46"/>
      <c r="M1715" s="46"/>
      <c r="N1715" s="46"/>
      <c r="O1715" s="46"/>
      <c r="P1715" s="46"/>
      <c r="Q1715" s="46"/>
      <c r="R1715" s="46"/>
      <c r="S1715" s="46"/>
      <c r="T1715" s="46"/>
      <c r="U1715" s="46"/>
      <c r="V1715" s="46"/>
      <c r="W1715" s="46"/>
      <c r="X1715" s="46"/>
      <c r="Y1715" s="46"/>
      <c r="Z1715" s="46"/>
    </row>
    <row r="1716" ht="22.5" customHeight="1">
      <c r="A1716" s="17">
        <v>1714.0</v>
      </c>
      <c r="B1716" s="20">
        <v>52.0</v>
      </c>
      <c r="C1716" s="13" t="s">
        <v>12197</v>
      </c>
      <c r="D1716" s="13" t="s">
        <v>12198</v>
      </c>
      <c r="E1716" s="13" t="s">
        <v>12199</v>
      </c>
      <c r="F1716" s="15"/>
      <c r="G1716" s="15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  <c r="S1716" s="46"/>
      <c r="T1716" s="46"/>
      <c r="U1716" s="46"/>
      <c r="V1716" s="46"/>
      <c r="W1716" s="46"/>
      <c r="X1716" s="46"/>
      <c r="Y1716" s="46"/>
      <c r="Z1716" s="46"/>
    </row>
    <row r="1717" ht="22.5" customHeight="1">
      <c r="A1717" s="11">
        <v>1715.0</v>
      </c>
      <c r="B1717" s="20">
        <v>52.0</v>
      </c>
      <c r="C1717" s="13" t="s">
        <v>12200</v>
      </c>
      <c r="D1717" s="13" t="s">
        <v>12201</v>
      </c>
      <c r="E1717" s="13" t="s">
        <v>12202</v>
      </c>
      <c r="F1717" s="14" t="s">
        <v>18</v>
      </c>
      <c r="G1717" s="15"/>
      <c r="H1717" s="46"/>
      <c r="I1717" s="46"/>
      <c r="J1717" s="46"/>
      <c r="K1717" s="46"/>
      <c r="L1717" s="46"/>
      <c r="M1717" s="46"/>
      <c r="N1717" s="46"/>
      <c r="O1717" s="46"/>
      <c r="P1717" s="46"/>
      <c r="Q1717" s="46"/>
      <c r="R1717" s="46"/>
      <c r="S1717" s="46"/>
      <c r="T1717" s="46"/>
      <c r="U1717" s="46"/>
      <c r="V1717" s="46"/>
      <c r="W1717" s="46"/>
      <c r="X1717" s="46"/>
      <c r="Y1717" s="46"/>
      <c r="Z1717" s="46"/>
    </row>
    <row r="1718" ht="22.5" customHeight="1">
      <c r="A1718" s="17">
        <v>1716.0</v>
      </c>
      <c r="B1718" s="20">
        <v>52.0</v>
      </c>
      <c r="C1718" s="13" t="s">
        <v>12203</v>
      </c>
      <c r="D1718" s="13" t="s">
        <v>12204</v>
      </c>
      <c r="E1718" s="13" t="s">
        <v>12205</v>
      </c>
      <c r="F1718" s="15"/>
      <c r="G1718" s="15"/>
      <c r="H1718" s="46"/>
      <c r="I1718" s="46"/>
      <c r="J1718" s="46"/>
      <c r="K1718" s="46"/>
      <c r="L1718" s="46"/>
      <c r="M1718" s="46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/>
      <c r="X1718" s="46"/>
      <c r="Y1718" s="46"/>
      <c r="Z1718" s="46"/>
    </row>
    <row r="1719" ht="22.5" customHeight="1">
      <c r="A1719" s="11">
        <v>1717.0</v>
      </c>
      <c r="B1719" s="20">
        <v>52.0</v>
      </c>
      <c r="C1719" s="13" t="s">
        <v>12206</v>
      </c>
      <c r="D1719" s="13" t="s">
        <v>12207</v>
      </c>
      <c r="E1719" s="13" t="s">
        <v>12208</v>
      </c>
      <c r="F1719" s="14" t="s">
        <v>18</v>
      </c>
      <c r="G1719" s="15"/>
      <c r="H1719" s="46"/>
      <c r="I1719" s="46"/>
      <c r="J1719" s="46"/>
      <c r="K1719" s="46"/>
      <c r="L1719" s="46"/>
      <c r="M1719" s="46"/>
      <c r="N1719" s="46"/>
      <c r="O1719" s="46"/>
      <c r="P1719" s="46"/>
      <c r="Q1719" s="46"/>
      <c r="R1719" s="46"/>
      <c r="S1719" s="46"/>
      <c r="T1719" s="46"/>
      <c r="U1719" s="46"/>
      <c r="V1719" s="46"/>
      <c r="W1719" s="46"/>
      <c r="X1719" s="46"/>
      <c r="Y1719" s="46"/>
      <c r="Z1719" s="46"/>
    </row>
    <row r="1720" ht="22.5" customHeight="1">
      <c r="A1720" s="17">
        <v>1718.0</v>
      </c>
      <c r="B1720" s="20">
        <v>52.0</v>
      </c>
      <c r="C1720" s="13" t="s">
        <v>12209</v>
      </c>
      <c r="D1720" s="13" t="s">
        <v>12210</v>
      </c>
      <c r="E1720" s="13" t="s">
        <v>12211</v>
      </c>
      <c r="F1720" s="14" t="s">
        <v>18</v>
      </c>
      <c r="G1720" s="15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  <c r="S1720" s="46"/>
      <c r="T1720" s="46"/>
      <c r="U1720" s="46"/>
      <c r="V1720" s="46"/>
      <c r="W1720" s="46"/>
      <c r="X1720" s="46"/>
      <c r="Y1720" s="46"/>
      <c r="Z1720" s="46"/>
    </row>
    <row r="1721" ht="22.5" customHeight="1">
      <c r="A1721" s="11">
        <v>1719.0</v>
      </c>
      <c r="B1721" s="20">
        <v>52.0</v>
      </c>
      <c r="C1721" s="13" t="s">
        <v>12212</v>
      </c>
      <c r="D1721" s="13" t="s">
        <v>12213</v>
      </c>
      <c r="E1721" s="13" t="s">
        <v>12214</v>
      </c>
      <c r="F1721" s="14" t="s">
        <v>18</v>
      </c>
      <c r="G1721" s="15"/>
      <c r="H1721" s="46"/>
      <c r="I1721" s="46"/>
      <c r="J1721" s="46"/>
      <c r="K1721" s="46"/>
      <c r="L1721" s="46"/>
      <c r="M1721" s="46"/>
      <c r="N1721" s="46"/>
      <c r="O1721" s="46"/>
      <c r="P1721" s="46"/>
      <c r="Q1721" s="46"/>
      <c r="R1721" s="46"/>
      <c r="S1721" s="46"/>
      <c r="T1721" s="46"/>
      <c r="U1721" s="46"/>
      <c r="V1721" s="46"/>
      <c r="W1721" s="46"/>
      <c r="X1721" s="46"/>
      <c r="Y1721" s="46"/>
      <c r="Z1721" s="46"/>
    </row>
    <row r="1722" ht="22.5" customHeight="1">
      <c r="A1722" s="17">
        <v>1720.0</v>
      </c>
      <c r="B1722" s="20">
        <v>52.0</v>
      </c>
      <c r="C1722" s="13" t="s">
        <v>10145</v>
      </c>
      <c r="D1722" s="13" t="s">
        <v>10146</v>
      </c>
      <c r="E1722" s="13" t="s">
        <v>10147</v>
      </c>
      <c r="F1722" s="14" t="s">
        <v>18</v>
      </c>
      <c r="G1722" s="15"/>
      <c r="H1722" s="46"/>
      <c r="I1722" s="46"/>
      <c r="J1722" s="46"/>
      <c r="K1722" s="46"/>
      <c r="L1722" s="46"/>
      <c r="M1722" s="46"/>
      <c r="N1722" s="46"/>
      <c r="O1722" s="46"/>
      <c r="P1722" s="46"/>
      <c r="Q1722" s="46"/>
      <c r="R1722" s="46"/>
      <c r="S1722" s="46"/>
      <c r="T1722" s="46"/>
      <c r="U1722" s="46"/>
      <c r="V1722" s="46"/>
      <c r="W1722" s="46"/>
      <c r="X1722" s="46"/>
      <c r="Y1722" s="46"/>
      <c r="Z1722" s="46"/>
    </row>
    <row r="1723" ht="22.5" customHeight="1">
      <c r="A1723" s="11">
        <v>1721.0</v>
      </c>
      <c r="B1723" s="20">
        <v>52.0</v>
      </c>
      <c r="C1723" s="13" t="s">
        <v>12215</v>
      </c>
      <c r="D1723" s="13" t="s">
        <v>12216</v>
      </c>
      <c r="E1723" s="13" t="s">
        <v>12217</v>
      </c>
      <c r="F1723" s="15"/>
      <c r="G1723" s="15"/>
      <c r="H1723" s="46"/>
      <c r="I1723" s="46"/>
      <c r="J1723" s="46"/>
      <c r="K1723" s="46"/>
      <c r="L1723" s="46"/>
      <c r="M1723" s="46"/>
      <c r="N1723" s="46"/>
      <c r="O1723" s="46"/>
      <c r="P1723" s="46"/>
      <c r="Q1723" s="46"/>
      <c r="R1723" s="46"/>
      <c r="S1723" s="46"/>
      <c r="T1723" s="46"/>
      <c r="U1723" s="46"/>
      <c r="V1723" s="46"/>
      <c r="W1723" s="46"/>
      <c r="X1723" s="46"/>
      <c r="Y1723" s="46"/>
      <c r="Z1723" s="46"/>
    </row>
    <row r="1724" ht="22.5" customHeight="1">
      <c r="A1724" s="17">
        <v>1722.0</v>
      </c>
      <c r="B1724" s="20">
        <v>52.0</v>
      </c>
      <c r="C1724" s="13" t="s">
        <v>12218</v>
      </c>
      <c r="D1724" s="13" t="s">
        <v>12219</v>
      </c>
      <c r="E1724" s="13" t="s">
        <v>12220</v>
      </c>
      <c r="F1724" s="15"/>
      <c r="G1724" s="15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  <c r="S1724" s="46"/>
      <c r="T1724" s="46"/>
      <c r="U1724" s="46"/>
      <c r="V1724" s="46"/>
      <c r="W1724" s="46"/>
      <c r="X1724" s="46"/>
      <c r="Y1724" s="46"/>
      <c r="Z1724" s="46"/>
    </row>
    <row r="1725" ht="22.5" customHeight="1">
      <c r="A1725" s="11">
        <v>1723.0</v>
      </c>
      <c r="B1725" s="20">
        <v>52.0</v>
      </c>
      <c r="C1725" s="13" t="s">
        <v>12221</v>
      </c>
      <c r="D1725" s="13" t="s">
        <v>12222</v>
      </c>
      <c r="E1725" s="13" t="s">
        <v>12223</v>
      </c>
      <c r="F1725" s="15"/>
      <c r="G1725" s="15"/>
      <c r="H1725" s="46"/>
      <c r="I1725" s="46"/>
      <c r="J1725" s="46"/>
      <c r="K1725" s="46"/>
      <c r="L1725" s="46"/>
      <c r="M1725" s="46"/>
      <c r="N1725" s="46"/>
      <c r="O1725" s="46"/>
      <c r="P1725" s="46"/>
      <c r="Q1725" s="46"/>
      <c r="R1725" s="46"/>
      <c r="S1725" s="46"/>
      <c r="T1725" s="46"/>
      <c r="U1725" s="46"/>
      <c r="V1725" s="46"/>
      <c r="W1725" s="46"/>
      <c r="X1725" s="46"/>
      <c r="Y1725" s="46"/>
      <c r="Z1725" s="46"/>
    </row>
    <row r="1726" ht="22.5" customHeight="1">
      <c r="A1726" s="17">
        <v>1724.0</v>
      </c>
      <c r="B1726" s="20">
        <v>52.0</v>
      </c>
      <c r="C1726" s="13" t="s">
        <v>12224</v>
      </c>
      <c r="D1726" s="13" t="s">
        <v>12225</v>
      </c>
      <c r="E1726" s="13" t="s">
        <v>12226</v>
      </c>
      <c r="F1726" s="14" t="s">
        <v>18</v>
      </c>
      <c r="G1726" s="15"/>
      <c r="H1726" s="46"/>
      <c r="I1726" s="46"/>
      <c r="J1726" s="46"/>
      <c r="K1726" s="46"/>
      <c r="L1726" s="46"/>
      <c r="M1726" s="46"/>
      <c r="N1726" s="46"/>
      <c r="O1726" s="46"/>
      <c r="P1726" s="46"/>
      <c r="Q1726" s="46"/>
      <c r="R1726" s="46"/>
      <c r="S1726" s="46"/>
      <c r="T1726" s="46"/>
      <c r="U1726" s="46"/>
      <c r="V1726" s="46"/>
      <c r="W1726" s="46"/>
      <c r="X1726" s="46"/>
      <c r="Y1726" s="46"/>
      <c r="Z1726" s="46"/>
    </row>
    <row r="1727" ht="22.5" customHeight="1">
      <c r="A1727" s="11">
        <v>1725.0</v>
      </c>
      <c r="B1727" s="20">
        <v>52.0</v>
      </c>
      <c r="C1727" s="13" t="s">
        <v>12227</v>
      </c>
      <c r="D1727" s="13" t="s">
        <v>12228</v>
      </c>
      <c r="E1727" s="13" t="s">
        <v>12229</v>
      </c>
      <c r="F1727" s="14" t="s">
        <v>18</v>
      </c>
      <c r="G1727" s="15"/>
      <c r="H1727" s="46"/>
      <c r="I1727" s="46"/>
      <c r="J1727" s="46"/>
      <c r="K1727" s="46"/>
      <c r="L1727" s="46"/>
      <c r="M1727" s="46"/>
      <c r="N1727" s="46"/>
      <c r="O1727" s="46"/>
      <c r="P1727" s="46"/>
      <c r="Q1727" s="46"/>
      <c r="R1727" s="46"/>
      <c r="S1727" s="46"/>
      <c r="T1727" s="46"/>
      <c r="U1727" s="46"/>
      <c r="V1727" s="46"/>
      <c r="W1727" s="46"/>
      <c r="X1727" s="46"/>
      <c r="Y1727" s="46"/>
      <c r="Z1727" s="46"/>
    </row>
    <row r="1728" ht="22.5" customHeight="1">
      <c r="A1728" s="17">
        <v>1726.0</v>
      </c>
      <c r="B1728" s="20">
        <v>52.0</v>
      </c>
      <c r="C1728" s="13" t="s">
        <v>12230</v>
      </c>
      <c r="D1728" s="13" t="s">
        <v>12231</v>
      </c>
      <c r="E1728" s="13" t="s">
        <v>12232</v>
      </c>
      <c r="F1728" s="15"/>
      <c r="G1728" s="15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  <c r="S1728" s="46"/>
      <c r="T1728" s="46"/>
      <c r="U1728" s="46"/>
      <c r="V1728" s="46"/>
      <c r="W1728" s="46"/>
      <c r="X1728" s="46"/>
      <c r="Y1728" s="46"/>
      <c r="Z1728" s="46"/>
    </row>
    <row r="1729" ht="22.5" customHeight="1">
      <c r="A1729" s="11">
        <v>1727.0</v>
      </c>
      <c r="B1729" s="20">
        <v>52.0</v>
      </c>
      <c r="C1729" s="13" t="s">
        <v>12233</v>
      </c>
      <c r="D1729" s="13" t="s">
        <v>12234</v>
      </c>
      <c r="E1729" s="13" t="s">
        <v>12235</v>
      </c>
      <c r="F1729" s="15"/>
      <c r="G1729" s="15"/>
      <c r="H1729" s="46"/>
      <c r="I1729" s="46"/>
      <c r="J1729" s="46"/>
      <c r="K1729" s="46"/>
      <c r="L1729" s="46"/>
      <c r="M1729" s="46"/>
      <c r="N1729" s="46"/>
      <c r="O1729" s="46"/>
      <c r="P1729" s="46"/>
      <c r="Q1729" s="46"/>
      <c r="R1729" s="46"/>
      <c r="S1729" s="46"/>
      <c r="T1729" s="46"/>
      <c r="U1729" s="46"/>
      <c r="V1729" s="46"/>
      <c r="W1729" s="46"/>
      <c r="X1729" s="46"/>
      <c r="Y1729" s="46"/>
      <c r="Z1729" s="46"/>
    </row>
    <row r="1730" ht="22.5" customHeight="1">
      <c r="A1730" s="17">
        <v>1728.0</v>
      </c>
      <c r="B1730" s="20">
        <v>52.0</v>
      </c>
      <c r="C1730" s="13" t="s">
        <v>10833</v>
      </c>
      <c r="D1730" s="13" t="s">
        <v>10834</v>
      </c>
      <c r="E1730" s="13" t="s">
        <v>10835</v>
      </c>
      <c r="F1730" s="15"/>
      <c r="G1730" s="15"/>
      <c r="H1730" s="46"/>
      <c r="I1730" s="46"/>
      <c r="J1730" s="46"/>
      <c r="K1730" s="46"/>
      <c r="L1730" s="46"/>
      <c r="M1730" s="46"/>
      <c r="N1730" s="46"/>
      <c r="O1730" s="46"/>
      <c r="P1730" s="46"/>
      <c r="Q1730" s="46"/>
      <c r="R1730" s="46"/>
      <c r="S1730" s="46"/>
      <c r="T1730" s="46"/>
      <c r="U1730" s="46"/>
      <c r="V1730" s="46"/>
      <c r="W1730" s="46"/>
      <c r="X1730" s="46"/>
      <c r="Y1730" s="46"/>
      <c r="Z1730" s="46"/>
    </row>
    <row r="1731" ht="22.5" customHeight="1">
      <c r="A1731" s="11">
        <v>1729.0</v>
      </c>
      <c r="B1731" s="20">
        <v>52.0</v>
      </c>
      <c r="C1731" s="13" t="s">
        <v>12236</v>
      </c>
      <c r="D1731" s="13" t="s">
        <v>12237</v>
      </c>
      <c r="E1731" s="13" t="s">
        <v>12238</v>
      </c>
      <c r="F1731" s="14" t="s">
        <v>18</v>
      </c>
      <c r="G1731" s="15"/>
      <c r="H1731" s="46"/>
      <c r="I1731" s="46"/>
      <c r="J1731" s="46"/>
      <c r="K1731" s="46"/>
      <c r="L1731" s="46"/>
      <c r="M1731" s="46"/>
      <c r="N1731" s="46"/>
      <c r="O1731" s="46"/>
      <c r="P1731" s="46"/>
      <c r="Q1731" s="46"/>
      <c r="R1731" s="46"/>
      <c r="S1731" s="46"/>
      <c r="T1731" s="46"/>
      <c r="U1731" s="46"/>
      <c r="V1731" s="46"/>
      <c r="W1731" s="46"/>
      <c r="X1731" s="46"/>
      <c r="Y1731" s="46"/>
      <c r="Z1731" s="46"/>
    </row>
    <row r="1732" ht="22.5" customHeight="1">
      <c r="A1732" s="17">
        <v>1730.0</v>
      </c>
      <c r="B1732" s="20">
        <v>52.0</v>
      </c>
      <c r="C1732" s="13" t="s">
        <v>11969</v>
      </c>
      <c r="D1732" s="13" t="s">
        <v>11970</v>
      </c>
      <c r="E1732" s="13" t="s">
        <v>11971</v>
      </c>
      <c r="F1732" s="15"/>
      <c r="G1732" s="15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  <c r="S1732" s="46"/>
      <c r="T1732" s="46"/>
      <c r="U1732" s="46"/>
      <c r="V1732" s="46"/>
      <c r="W1732" s="46"/>
      <c r="X1732" s="46"/>
      <c r="Y1732" s="46"/>
      <c r="Z1732" s="46"/>
    </row>
    <row r="1733" ht="22.5" customHeight="1">
      <c r="A1733" s="11">
        <v>1731.0</v>
      </c>
      <c r="B1733" s="20">
        <v>52.0</v>
      </c>
      <c r="C1733" s="13" t="s">
        <v>12239</v>
      </c>
      <c r="D1733" s="13" t="s">
        <v>12240</v>
      </c>
      <c r="E1733" s="13" t="s">
        <v>12241</v>
      </c>
      <c r="F1733" s="14" t="s">
        <v>18</v>
      </c>
      <c r="G1733" s="15"/>
      <c r="H1733" s="46"/>
      <c r="I1733" s="46"/>
      <c r="J1733" s="46"/>
      <c r="K1733" s="46"/>
      <c r="L1733" s="46"/>
      <c r="M1733" s="46"/>
      <c r="N1733" s="46"/>
      <c r="O1733" s="46"/>
      <c r="P1733" s="46"/>
      <c r="Q1733" s="46"/>
      <c r="R1733" s="46"/>
      <c r="S1733" s="46"/>
      <c r="T1733" s="46"/>
      <c r="U1733" s="46"/>
      <c r="V1733" s="46"/>
      <c r="W1733" s="46"/>
      <c r="X1733" s="46"/>
      <c r="Y1733" s="46"/>
      <c r="Z1733" s="46"/>
    </row>
    <row r="1734" ht="22.5" customHeight="1">
      <c r="A1734" s="17">
        <v>1732.0</v>
      </c>
      <c r="B1734" s="20">
        <v>52.0</v>
      </c>
      <c r="C1734" s="13" t="s">
        <v>11040</v>
      </c>
      <c r="D1734" s="13" t="s">
        <v>11041</v>
      </c>
      <c r="E1734" s="13" t="s">
        <v>11042</v>
      </c>
      <c r="F1734" s="15"/>
      <c r="G1734" s="15"/>
      <c r="H1734" s="46"/>
      <c r="I1734" s="46"/>
      <c r="J1734" s="46"/>
      <c r="K1734" s="46"/>
      <c r="L1734" s="46"/>
      <c r="M1734" s="46"/>
      <c r="N1734" s="46"/>
      <c r="O1734" s="46"/>
      <c r="P1734" s="46"/>
      <c r="Q1734" s="46"/>
      <c r="R1734" s="46"/>
      <c r="S1734" s="46"/>
      <c r="T1734" s="46"/>
      <c r="U1734" s="46"/>
      <c r="V1734" s="46"/>
      <c r="W1734" s="46"/>
      <c r="X1734" s="46"/>
      <c r="Y1734" s="46"/>
      <c r="Z1734" s="46"/>
    </row>
    <row r="1735" ht="22.5" customHeight="1">
      <c r="A1735" s="11">
        <v>1733.0</v>
      </c>
      <c r="B1735" s="20">
        <v>52.0</v>
      </c>
      <c r="C1735" s="13" t="s">
        <v>12242</v>
      </c>
      <c r="D1735" s="13" t="s">
        <v>12243</v>
      </c>
      <c r="E1735" s="13" t="s">
        <v>12244</v>
      </c>
      <c r="F1735" s="15"/>
      <c r="G1735" s="15"/>
      <c r="H1735" s="46"/>
      <c r="I1735" s="46"/>
      <c r="J1735" s="46"/>
      <c r="K1735" s="46"/>
      <c r="L1735" s="46"/>
      <c r="M1735" s="46"/>
      <c r="N1735" s="46"/>
      <c r="O1735" s="46"/>
      <c r="P1735" s="46"/>
      <c r="Q1735" s="46"/>
      <c r="R1735" s="46"/>
      <c r="S1735" s="46"/>
      <c r="T1735" s="46"/>
      <c r="U1735" s="46"/>
      <c r="V1735" s="46"/>
      <c r="W1735" s="46"/>
      <c r="X1735" s="46"/>
      <c r="Y1735" s="46"/>
      <c r="Z1735" s="46"/>
    </row>
    <row r="1736" ht="22.5" customHeight="1">
      <c r="A1736" s="17">
        <v>1734.0</v>
      </c>
      <c r="B1736" s="20">
        <v>52.0</v>
      </c>
      <c r="C1736" s="13" t="s">
        <v>10235</v>
      </c>
      <c r="D1736" s="13" t="s">
        <v>10236</v>
      </c>
      <c r="E1736" s="13" t="s">
        <v>12245</v>
      </c>
      <c r="F1736" s="14" t="s">
        <v>18</v>
      </c>
      <c r="G1736" s="15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  <c r="S1736" s="46"/>
      <c r="T1736" s="46"/>
      <c r="U1736" s="46"/>
      <c r="V1736" s="46"/>
      <c r="W1736" s="46"/>
      <c r="X1736" s="46"/>
      <c r="Y1736" s="46"/>
      <c r="Z1736" s="46"/>
    </row>
    <row r="1737" ht="22.5" customHeight="1">
      <c r="A1737" s="11">
        <v>1735.0</v>
      </c>
      <c r="B1737" s="20">
        <v>52.0</v>
      </c>
      <c r="C1737" s="13" t="s">
        <v>12246</v>
      </c>
      <c r="D1737" s="13" t="s">
        <v>12247</v>
      </c>
      <c r="E1737" s="13" t="s">
        <v>12248</v>
      </c>
      <c r="F1737" s="15"/>
      <c r="G1737" s="15"/>
      <c r="H1737" s="46"/>
      <c r="I1737" s="46"/>
      <c r="J1737" s="46"/>
      <c r="K1737" s="46"/>
      <c r="L1737" s="46"/>
      <c r="M1737" s="46"/>
      <c r="N1737" s="46"/>
      <c r="O1737" s="46"/>
      <c r="P1737" s="46"/>
      <c r="Q1737" s="46"/>
      <c r="R1737" s="46"/>
      <c r="S1737" s="46"/>
      <c r="T1737" s="46"/>
      <c r="U1737" s="46"/>
      <c r="V1737" s="46"/>
      <c r="W1737" s="46"/>
      <c r="X1737" s="46"/>
      <c r="Y1737" s="46"/>
      <c r="Z1737" s="46"/>
    </row>
    <row r="1738" ht="22.5" customHeight="1">
      <c r="A1738" s="17">
        <v>1736.0</v>
      </c>
      <c r="B1738" s="20">
        <v>52.0</v>
      </c>
      <c r="C1738" s="13" t="s">
        <v>12249</v>
      </c>
      <c r="D1738" s="13" t="s">
        <v>12250</v>
      </c>
      <c r="E1738" s="13" t="s">
        <v>12251</v>
      </c>
      <c r="F1738" s="14" t="s">
        <v>18</v>
      </c>
      <c r="G1738" s="15"/>
      <c r="H1738" s="46"/>
      <c r="I1738" s="46"/>
      <c r="J1738" s="46"/>
      <c r="K1738" s="46"/>
      <c r="L1738" s="46"/>
      <c r="M1738" s="46"/>
      <c r="N1738" s="46"/>
      <c r="O1738" s="46"/>
      <c r="P1738" s="46"/>
      <c r="Q1738" s="46"/>
      <c r="R1738" s="46"/>
      <c r="S1738" s="46"/>
      <c r="T1738" s="46"/>
      <c r="U1738" s="46"/>
      <c r="V1738" s="46"/>
      <c r="W1738" s="46"/>
      <c r="X1738" s="46"/>
      <c r="Y1738" s="46"/>
      <c r="Z1738" s="46"/>
    </row>
    <row r="1739" ht="22.5" customHeight="1">
      <c r="A1739" s="11">
        <v>1737.0</v>
      </c>
      <c r="B1739" s="20">
        <v>52.0</v>
      </c>
      <c r="C1739" s="13" t="s">
        <v>11685</v>
      </c>
      <c r="D1739" s="13" t="s">
        <v>11686</v>
      </c>
      <c r="E1739" s="13" t="s">
        <v>12252</v>
      </c>
      <c r="F1739" s="15"/>
      <c r="G1739" s="15"/>
      <c r="H1739" s="46"/>
      <c r="I1739" s="46"/>
      <c r="J1739" s="46"/>
      <c r="K1739" s="46"/>
      <c r="L1739" s="46"/>
      <c r="M1739" s="46"/>
      <c r="N1739" s="46"/>
      <c r="O1739" s="46"/>
      <c r="P1739" s="46"/>
      <c r="Q1739" s="46"/>
      <c r="R1739" s="46"/>
      <c r="S1739" s="46"/>
      <c r="T1739" s="46"/>
      <c r="U1739" s="46"/>
      <c r="V1739" s="46"/>
      <c r="W1739" s="46"/>
      <c r="X1739" s="46"/>
      <c r="Y1739" s="46"/>
      <c r="Z1739" s="46"/>
    </row>
    <row r="1740" ht="22.5" customHeight="1">
      <c r="A1740" s="17">
        <v>1738.0</v>
      </c>
      <c r="B1740" s="20">
        <v>52.0</v>
      </c>
      <c r="C1740" s="13" t="s">
        <v>12253</v>
      </c>
      <c r="D1740" s="13" t="s">
        <v>12254</v>
      </c>
      <c r="E1740" s="13" t="s">
        <v>12255</v>
      </c>
      <c r="F1740" s="15"/>
      <c r="G1740" s="15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  <c r="S1740" s="46"/>
      <c r="T1740" s="46"/>
      <c r="U1740" s="46"/>
      <c r="V1740" s="46"/>
      <c r="W1740" s="46"/>
      <c r="X1740" s="46"/>
      <c r="Y1740" s="46"/>
      <c r="Z1740" s="46"/>
    </row>
    <row r="1741" ht="22.5" customHeight="1">
      <c r="A1741" s="11">
        <v>1739.0</v>
      </c>
      <c r="B1741" s="20">
        <v>52.0</v>
      </c>
      <c r="C1741" s="13" t="s">
        <v>12256</v>
      </c>
      <c r="D1741" s="13" t="s">
        <v>12257</v>
      </c>
      <c r="E1741" s="13" t="s">
        <v>12258</v>
      </c>
      <c r="F1741" s="14" t="s">
        <v>18</v>
      </c>
      <c r="G1741" s="15"/>
      <c r="H1741" s="46"/>
      <c r="I1741" s="46"/>
      <c r="J1741" s="46"/>
      <c r="K1741" s="46"/>
      <c r="L1741" s="46"/>
      <c r="M1741" s="46"/>
      <c r="N1741" s="46"/>
      <c r="O1741" s="46"/>
      <c r="P1741" s="46"/>
      <c r="Q1741" s="46"/>
      <c r="R1741" s="46"/>
      <c r="S1741" s="46"/>
      <c r="T1741" s="46"/>
      <c r="U1741" s="46"/>
      <c r="V1741" s="46"/>
      <c r="W1741" s="46"/>
      <c r="X1741" s="46"/>
      <c r="Y1741" s="46"/>
      <c r="Z1741" s="46"/>
    </row>
    <row r="1742" ht="22.5" customHeight="1">
      <c r="A1742" s="17">
        <v>1740.0</v>
      </c>
      <c r="B1742" s="20">
        <v>51.0</v>
      </c>
      <c r="C1742" s="13" t="s">
        <v>11441</v>
      </c>
      <c r="D1742" s="13" t="s">
        <v>11442</v>
      </c>
      <c r="E1742" s="13" t="s">
        <v>11443</v>
      </c>
      <c r="F1742" s="14" t="s">
        <v>18</v>
      </c>
      <c r="G1742" s="15"/>
      <c r="H1742" s="46"/>
      <c r="I1742" s="46"/>
      <c r="J1742" s="46"/>
      <c r="K1742" s="46"/>
      <c r="L1742" s="46"/>
      <c r="M1742" s="46"/>
      <c r="N1742" s="46"/>
      <c r="O1742" s="46"/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</row>
    <row r="1743" ht="22.5" customHeight="1">
      <c r="A1743" s="11">
        <v>1741.0</v>
      </c>
      <c r="B1743" s="20">
        <v>51.0</v>
      </c>
      <c r="C1743" s="13" t="s">
        <v>8762</v>
      </c>
      <c r="D1743" s="13" t="s">
        <v>8763</v>
      </c>
      <c r="E1743" s="13" t="s">
        <v>8764</v>
      </c>
      <c r="F1743" s="15"/>
      <c r="G1743" s="15"/>
      <c r="H1743" s="46"/>
      <c r="I1743" s="46"/>
      <c r="J1743" s="46"/>
      <c r="K1743" s="46"/>
      <c r="L1743" s="46"/>
      <c r="M1743" s="46"/>
      <c r="N1743" s="46"/>
      <c r="O1743" s="46"/>
      <c r="P1743" s="46"/>
      <c r="Q1743" s="46"/>
      <c r="R1743" s="46"/>
      <c r="S1743" s="46"/>
      <c r="T1743" s="46"/>
      <c r="U1743" s="46"/>
      <c r="V1743" s="46"/>
      <c r="W1743" s="46"/>
      <c r="X1743" s="46"/>
      <c r="Y1743" s="46"/>
      <c r="Z1743" s="46"/>
    </row>
    <row r="1744" ht="22.5" customHeight="1">
      <c r="A1744" s="17">
        <v>1742.0</v>
      </c>
      <c r="B1744" s="20">
        <v>51.0</v>
      </c>
      <c r="C1744" s="13" t="s">
        <v>12259</v>
      </c>
      <c r="D1744" s="13" t="s">
        <v>12260</v>
      </c>
      <c r="E1744" s="13" t="s">
        <v>12261</v>
      </c>
      <c r="F1744" s="14" t="s">
        <v>18</v>
      </c>
      <c r="G1744" s="15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  <c r="Y1744" s="46"/>
      <c r="Z1744" s="46"/>
    </row>
    <row r="1745" ht="22.5" customHeight="1">
      <c r="A1745" s="11">
        <v>1743.0</v>
      </c>
      <c r="B1745" s="20">
        <v>51.0</v>
      </c>
      <c r="C1745" s="13" t="s">
        <v>12262</v>
      </c>
      <c r="D1745" s="13" t="s">
        <v>12263</v>
      </c>
      <c r="E1745" s="13" t="s">
        <v>12264</v>
      </c>
      <c r="F1745" s="14" t="s">
        <v>18</v>
      </c>
      <c r="G1745" s="15"/>
      <c r="H1745" s="46"/>
      <c r="I1745" s="46"/>
      <c r="J1745" s="46"/>
      <c r="K1745" s="46"/>
      <c r="L1745" s="46"/>
      <c r="M1745" s="46"/>
      <c r="N1745" s="46"/>
      <c r="O1745" s="46"/>
      <c r="P1745" s="46"/>
      <c r="Q1745" s="46"/>
      <c r="R1745" s="46"/>
      <c r="S1745" s="46"/>
      <c r="T1745" s="46"/>
      <c r="U1745" s="46"/>
      <c r="V1745" s="46"/>
      <c r="W1745" s="46"/>
      <c r="X1745" s="46"/>
      <c r="Y1745" s="46"/>
      <c r="Z1745" s="46"/>
    </row>
    <row r="1746" ht="22.5" customHeight="1">
      <c r="A1746" s="17">
        <v>1744.0</v>
      </c>
      <c r="B1746" s="20">
        <v>51.0</v>
      </c>
      <c r="C1746" s="13" t="s">
        <v>12265</v>
      </c>
      <c r="D1746" s="13" t="s">
        <v>12266</v>
      </c>
      <c r="E1746" s="13" t="s">
        <v>12267</v>
      </c>
      <c r="F1746" s="14" t="s">
        <v>18</v>
      </c>
      <c r="G1746" s="15"/>
      <c r="H1746" s="46"/>
      <c r="I1746" s="46"/>
      <c r="J1746" s="46"/>
      <c r="K1746" s="46"/>
      <c r="L1746" s="46"/>
      <c r="M1746" s="46"/>
      <c r="N1746" s="46"/>
      <c r="O1746" s="46"/>
      <c r="P1746" s="46"/>
      <c r="Q1746" s="46"/>
      <c r="R1746" s="46"/>
      <c r="S1746" s="46"/>
      <c r="T1746" s="46"/>
      <c r="U1746" s="46"/>
      <c r="V1746" s="46"/>
      <c r="W1746" s="46"/>
      <c r="X1746" s="46"/>
      <c r="Y1746" s="46"/>
      <c r="Z1746" s="46"/>
    </row>
    <row r="1747" ht="22.5" customHeight="1">
      <c r="A1747" s="11">
        <v>1745.0</v>
      </c>
      <c r="B1747" s="20">
        <v>51.0</v>
      </c>
      <c r="C1747" s="13" t="s">
        <v>5195</v>
      </c>
      <c r="D1747" s="13" t="s">
        <v>5194</v>
      </c>
      <c r="E1747" s="13" t="s">
        <v>12268</v>
      </c>
      <c r="F1747" s="15"/>
      <c r="G1747" s="15"/>
      <c r="H1747" s="46"/>
      <c r="I1747" s="46"/>
      <c r="J1747" s="46"/>
      <c r="K1747" s="46"/>
      <c r="L1747" s="46"/>
      <c r="M1747" s="46"/>
      <c r="N1747" s="46"/>
      <c r="O1747" s="46"/>
      <c r="P1747" s="46"/>
      <c r="Q1747" s="46"/>
      <c r="R1747" s="46"/>
      <c r="S1747" s="46"/>
      <c r="T1747" s="46"/>
      <c r="U1747" s="46"/>
      <c r="V1747" s="46"/>
      <c r="W1747" s="46"/>
      <c r="X1747" s="46"/>
      <c r="Y1747" s="46"/>
      <c r="Z1747" s="46"/>
    </row>
    <row r="1748" ht="22.5" customHeight="1">
      <c r="A1748" s="17">
        <v>1746.0</v>
      </c>
      <c r="B1748" s="20">
        <v>51.0</v>
      </c>
      <c r="C1748" s="13" t="s">
        <v>12269</v>
      </c>
      <c r="D1748" s="13" t="s">
        <v>12270</v>
      </c>
      <c r="E1748" s="13" t="s">
        <v>12271</v>
      </c>
      <c r="F1748" s="14" t="s">
        <v>18</v>
      </c>
      <c r="G1748" s="15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  <c r="S1748" s="46"/>
      <c r="T1748" s="46"/>
      <c r="U1748" s="46"/>
      <c r="V1748" s="46"/>
      <c r="W1748" s="46"/>
      <c r="X1748" s="46"/>
      <c r="Y1748" s="46"/>
      <c r="Z1748" s="46"/>
    </row>
    <row r="1749" ht="22.5" customHeight="1">
      <c r="A1749" s="11">
        <v>1747.0</v>
      </c>
      <c r="B1749" s="20">
        <v>51.0</v>
      </c>
      <c r="C1749" s="13" t="s">
        <v>11273</v>
      </c>
      <c r="D1749" s="13" t="s">
        <v>11274</v>
      </c>
      <c r="E1749" s="13" t="s">
        <v>12055</v>
      </c>
      <c r="F1749" s="14" t="s">
        <v>18</v>
      </c>
      <c r="G1749" s="15"/>
      <c r="H1749" s="46"/>
      <c r="I1749" s="46"/>
      <c r="J1749" s="46"/>
      <c r="K1749" s="46"/>
      <c r="L1749" s="46"/>
      <c r="M1749" s="46"/>
      <c r="N1749" s="46"/>
      <c r="O1749" s="46"/>
      <c r="P1749" s="46"/>
      <c r="Q1749" s="46"/>
      <c r="R1749" s="46"/>
      <c r="S1749" s="46"/>
      <c r="T1749" s="46"/>
      <c r="U1749" s="46"/>
      <c r="V1749" s="46"/>
      <c r="W1749" s="46"/>
      <c r="X1749" s="46"/>
      <c r="Y1749" s="46"/>
      <c r="Z1749" s="46"/>
    </row>
    <row r="1750" ht="22.5" customHeight="1">
      <c r="A1750" s="17">
        <v>1748.0</v>
      </c>
      <c r="B1750" s="20">
        <v>51.0</v>
      </c>
      <c r="C1750" s="13" t="s">
        <v>9617</v>
      </c>
      <c r="D1750" s="13" t="s">
        <v>9618</v>
      </c>
      <c r="E1750" s="13" t="s">
        <v>9619</v>
      </c>
      <c r="F1750" s="15"/>
      <c r="G1750" s="15"/>
      <c r="H1750" s="46"/>
      <c r="I1750" s="46"/>
      <c r="J1750" s="46"/>
      <c r="K1750" s="46"/>
      <c r="L1750" s="46"/>
      <c r="M1750" s="46"/>
      <c r="N1750" s="46"/>
      <c r="O1750" s="46"/>
      <c r="P1750" s="46"/>
      <c r="Q1750" s="46"/>
      <c r="R1750" s="46"/>
      <c r="S1750" s="46"/>
      <c r="T1750" s="46"/>
      <c r="U1750" s="46"/>
      <c r="V1750" s="46"/>
      <c r="W1750" s="46"/>
      <c r="X1750" s="46"/>
      <c r="Y1750" s="46"/>
      <c r="Z1750" s="46"/>
    </row>
    <row r="1751" ht="22.5" customHeight="1">
      <c r="A1751" s="11">
        <v>1749.0</v>
      </c>
      <c r="B1751" s="20">
        <v>51.0</v>
      </c>
      <c r="C1751" s="13" t="s">
        <v>12272</v>
      </c>
      <c r="D1751" s="13" t="s">
        <v>12273</v>
      </c>
      <c r="E1751" s="13" t="s">
        <v>12274</v>
      </c>
      <c r="F1751" s="15"/>
      <c r="G1751" s="15"/>
      <c r="H1751" s="46"/>
      <c r="I1751" s="46"/>
      <c r="J1751" s="46"/>
      <c r="K1751" s="46"/>
      <c r="L1751" s="46"/>
      <c r="M1751" s="46"/>
      <c r="N1751" s="46"/>
      <c r="O1751" s="46"/>
      <c r="P1751" s="46"/>
      <c r="Q1751" s="46"/>
      <c r="R1751" s="46"/>
      <c r="S1751" s="46"/>
      <c r="T1751" s="46"/>
      <c r="U1751" s="46"/>
      <c r="V1751" s="46"/>
      <c r="W1751" s="46"/>
      <c r="X1751" s="46"/>
      <c r="Y1751" s="46"/>
      <c r="Z1751" s="46"/>
    </row>
    <row r="1752" ht="22.5" customHeight="1">
      <c r="A1752" s="17">
        <v>1750.0</v>
      </c>
      <c r="B1752" s="20">
        <v>51.0</v>
      </c>
      <c r="C1752" s="13" t="s">
        <v>5473</v>
      </c>
      <c r="D1752" s="13" t="s">
        <v>5472</v>
      </c>
      <c r="E1752" s="13" t="s">
        <v>12275</v>
      </c>
      <c r="F1752" s="15"/>
      <c r="G1752" s="15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  <c r="S1752" s="46"/>
      <c r="T1752" s="46"/>
      <c r="U1752" s="46"/>
      <c r="V1752" s="46"/>
      <c r="W1752" s="46"/>
      <c r="X1752" s="46"/>
      <c r="Y1752" s="46"/>
      <c r="Z1752" s="46"/>
    </row>
    <row r="1753" ht="22.5" customHeight="1">
      <c r="A1753" s="11">
        <v>1751.0</v>
      </c>
      <c r="B1753" s="20">
        <v>51.0</v>
      </c>
      <c r="C1753" s="13" t="s">
        <v>12276</v>
      </c>
      <c r="D1753" s="13" t="s">
        <v>12277</v>
      </c>
      <c r="E1753" s="13" t="s">
        <v>12278</v>
      </c>
      <c r="F1753" s="15"/>
      <c r="G1753" s="15"/>
      <c r="H1753" s="46"/>
      <c r="I1753" s="46"/>
      <c r="J1753" s="46"/>
      <c r="K1753" s="46"/>
      <c r="L1753" s="46"/>
      <c r="M1753" s="46"/>
      <c r="N1753" s="46"/>
      <c r="O1753" s="46"/>
      <c r="P1753" s="46"/>
      <c r="Q1753" s="46"/>
      <c r="R1753" s="46"/>
      <c r="S1753" s="46"/>
      <c r="T1753" s="46"/>
      <c r="U1753" s="46"/>
      <c r="V1753" s="46"/>
      <c r="W1753" s="46"/>
      <c r="X1753" s="46"/>
      <c r="Y1753" s="46"/>
      <c r="Z1753" s="46"/>
    </row>
    <row r="1754" ht="22.5" customHeight="1">
      <c r="A1754" s="17">
        <v>1752.0</v>
      </c>
      <c r="B1754" s="20">
        <v>51.0</v>
      </c>
      <c r="C1754" s="13" t="s">
        <v>5889</v>
      </c>
      <c r="D1754" s="13" t="s">
        <v>5888</v>
      </c>
      <c r="E1754" s="13" t="s">
        <v>12279</v>
      </c>
      <c r="F1754" s="15"/>
      <c r="G1754" s="15"/>
      <c r="H1754" s="46"/>
      <c r="I1754" s="46"/>
      <c r="J1754" s="46"/>
      <c r="K1754" s="46"/>
      <c r="L1754" s="46"/>
      <c r="M1754" s="46"/>
      <c r="N1754" s="46"/>
      <c r="O1754" s="46"/>
      <c r="P1754" s="46"/>
      <c r="Q1754" s="46"/>
      <c r="R1754" s="46"/>
      <c r="S1754" s="46"/>
      <c r="T1754" s="46"/>
      <c r="U1754" s="46"/>
      <c r="V1754" s="46"/>
      <c r="W1754" s="46"/>
      <c r="X1754" s="46"/>
      <c r="Y1754" s="46"/>
      <c r="Z1754" s="46"/>
    </row>
    <row r="1755" ht="22.5" customHeight="1">
      <c r="A1755" s="11">
        <v>1753.0</v>
      </c>
      <c r="B1755" s="20">
        <v>51.0</v>
      </c>
      <c r="C1755" s="13" t="s">
        <v>12280</v>
      </c>
      <c r="D1755" s="13" t="s">
        <v>12281</v>
      </c>
      <c r="E1755" s="13" t="s">
        <v>12282</v>
      </c>
      <c r="F1755" s="15"/>
      <c r="G1755" s="15"/>
      <c r="H1755" s="46"/>
      <c r="I1755" s="46"/>
      <c r="J1755" s="46"/>
      <c r="K1755" s="46"/>
      <c r="L1755" s="46"/>
      <c r="M1755" s="46"/>
      <c r="N1755" s="46"/>
      <c r="O1755" s="46"/>
      <c r="P1755" s="46"/>
      <c r="Q1755" s="46"/>
      <c r="R1755" s="46"/>
      <c r="S1755" s="46"/>
      <c r="T1755" s="46"/>
      <c r="U1755" s="46"/>
      <c r="V1755" s="46"/>
      <c r="W1755" s="46"/>
      <c r="X1755" s="46"/>
      <c r="Y1755" s="46"/>
      <c r="Z1755" s="46"/>
    </row>
    <row r="1756" ht="22.5" customHeight="1">
      <c r="A1756" s="17">
        <v>1754.0</v>
      </c>
      <c r="B1756" s="20">
        <v>51.0</v>
      </c>
      <c r="C1756" s="13" t="s">
        <v>4449</v>
      </c>
      <c r="D1756" s="13" t="s">
        <v>4448</v>
      </c>
      <c r="E1756" s="13" t="s">
        <v>12283</v>
      </c>
      <c r="F1756" s="15"/>
      <c r="G1756" s="15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  <c r="S1756" s="46"/>
      <c r="T1756" s="46"/>
      <c r="U1756" s="46"/>
      <c r="V1756" s="46"/>
      <c r="W1756" s="46"/>
      <c r="X1756" s="46"/>
      <c r="Y1756" s="46"/>
      <c r="Z1756" s="46"/>
    </row>
    <row r="1757" ht="22.5" customHeight="1">
      <c r="A1757" s="11">
        <v>1755.0</v>
      </c>
      <c r="B1757" s="20">
        <v>51.0</v>
      </c>
      <c r="C1757" s="13" t="s">
        <v>12284</v>
      </c>
      <c r="D1757" s="13" t="s">
        <v>12285</v>
      </c>
      <c r="E1757" s="13" t="s">
        <v>12286</v>
      </c>
      <c r="F1757" s="15"/>
      <c r="G1757" s="15"/>
      <c r="H1757" s="46"/>
      <c r="I1757" s="46"/>
      <c r="J1757" s="46"/>
      <c r="K1757" s="46"/>
      <c r="L1757" s="46"/>
      <c r="M1757" s="46"/>
      <c r="N1757" s="46"/>
      <c r="O1757" s="46"/>
      <c r="P1757" s="46"/>
      <c r="Q1757" s="46"/>
      <c r="R1757" s="46"/>
      <c r="S1757" s="46"/>
      <c r="T1757" s="46"/>
      <c r="U1757" s="46"/>
      <c r="V1757" s="46"/>
      <c r="W1757" s="46"/>
      <c r="X1757" s="46"/>
      <c r="Y1757" s="46"/>
      <c r="Z1757" s="46"/>
    </row>
    <row r="1758" ht="22.5" customHeight="1">
      <c r="A1758" s="17">
        <v>1756.0</v>
      </c>
      <c r="B1758" s="20">
        <v>51.0</v>
      </c>
      <c r="C1758" s="13" t="s">
        <v>11847</v>
      </c>
      <c r="D1758" s="13" t="s">
        <v>11848</v>
      </c>
      <c r="E1758" s="13" t="s">
        <v>11849</v>
      </c>
      <c r="F1758" s="15"/>
      <c r="G1758" s="15"/>
      <c r="H1758" s="46"/>
      <c r="I1758" s="46"/>
      <c r="J1758" s="46"/>
      <c r="K1758" s="46"/>
      <c r="L1758" s="46"/>
      <c r="M1758" s="46"/>
      <c r="N1758" s="46"/>
      <c r="O1758" s="46"/>
      <c r="P1758" s="46"/>
      <c r="Q1758" s="46"/>
      <c r="R1758" s="46"/>
      <c r="S1758" s="46"/>
      <c r="T1758" s="46"/>
      <c r="U1758" s="46"/>
      <c r="V1758" s="46"/>
      <c r="W1758" s="46"/>
      <c r="X1758" s="46"/>
      <c r="Y1758" s="46"/>
      <c r="Z1758" s="46"/>
    </row>
    <row r="1759" ht="22.5" customHeight="1">
      <c r="A1759" s="11">
        <v>1757.0</v>
      </c>
      <c r="B1759" s="20">
        <v>51.0</v>
      </c>
      <c r="C1759" s="13" t="s">
        <v>9529</v>
      </c>
      <c r="D1759" s="13" t="s">
        <v>9530</v>
      </c>
      <c r="E1759" s="13" t="s">
        <v>9531</v>
      </c>
      <c r="F1759" s="15"/>
      <c r="G1759" s="15"/>
      <c r="H1759" s="46"/>
      <c r="I1759" s="46"/>
      <c r="J1759" s="46"/>
      <c r="K1759" s="46"/>
      <c r="L1759" s="46"/>
      <c r="M1759" s="46"/>
      <c r="N1759" s="46"/>
      <c r="O1759" s="46"/>
      <c r="P1759" s="46"/>
      <c r="Q1759" s="46"/>
      <c r="R1759" s="46"/>
      <c r="S1759" s="46"/>
      <c r="T1759" s="46"/>
      <c r="U1759" s="46"/>
      <c r="V1759" s="46"/>
      <c r="W1759" s="46"/>
      <c r="X1759" s="46"/>
      <c r="Y1759" s="46"/>
      <c r="Z1759" s="46"/>
    </row>
    <row r="1760" ht="22.5" customHeight="1">
      <c r="A1760" s="17">
        <v>1758.0</v>
      </c>
      <c r="B1760" s="20">
        <v>51.0</v>
      </c>
      <c r="C1760" s="13" t="s">
        <v>11944</v>
      </c>
      <c r="D1760" s="13" t="s">
        <v>11945</v>
      </c>
      <c r="E1760" s="13" t="s">
        <v>12287</v>
      </c>
      <c r="F1760" s="15"/>
      <c r="G1760" s="15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  <c r="S1760" s="46"/>
      <c r="T1760" s="46"/>
      <c r="U1760" s="46"/>
      <c r="V1760" s="46"/>
      <c r="W1760" s="46"/>
      <c r="X1760" s="46"/>
      <c r="Y1760" s="46"/>
      <c r="Z1760" s="46"/>
    </row>
    <row r="1761" ht="22.5" customHeight="1">
      <c r="A1761" s="11">
        <v>1759.0</v>
      </c>
      <c r="B1761" s="20">
        <v>51.0</v>
      </c>
      <c r="C1761" s="13" t="s">
        <v>10806</v>
      </c>
      <c r="D1761" s="13" t="s">
        <v>10807</v>
      </c>
      <c r="E1761" s="13" t="s">
        <v>10808</v>
      </c>
      <c r="F1761" s="15"/>
      <c r="G1761" s="15"/>
      <c r="H1761" s="46"/>
      <c r="I1761" s="46"/>
      <c r="J1761" s="46"/>
      <c r="K1761" s="46"/>
      <c r="L1761" s="46"/>
      <c r="M1761" s="46"/>
      <c r="N1761" s="46"/>
      <c r="O1761" s="46"/>
      <c r="P1761" s="46"/>
      <c r="Q1761" s="46"/>
      <c r="R1761" s="46"/>
      <c r="S1761" s="46"/>
      <c r="T1761" s="46"/>
      <c r="U1761" s="46"/>
      <c r="V1761" s="46"/>
      <c r="W1761" s="46"/>
      <c r="X1761" s="46"/>
      <c r="Y1761" s="46"/>
      <c r="Z1761" s="46"/>
    </row>
    <row r="1762" ht="22.5" customHeight="1">
      <c r="A1762" s="17">
        <v>1760.0</v>
      </c>
      <c r="B1762" s="20">
        <v>51.0</v>
      </c>
      <c r="C1762" s="13" t="s">
        <v>12123</v>
      </c>
      <c r="D1762" s="13" t="s">
        <v>12124</v>
      </c>
      <c r="E1762" s="13" t="s">
        <v>12125</v>
      </c>
      <c r="F1762" s="15"/>
      <c r="G1762" s="15"/>
      <c r="H1762" s="46"/>
      <c r="I1762" s="46"/>
      <c r="J1762" s="46"/>
      <c r="K1762" s="46"/>
      <c r="L1762" s="46"/>
      <c r="M1762" s="46"/>
      <c r="N1762" s="46"/>
      <c r="O1762" s="46"/>
      <c r="P1762" s="46"/>
      <c r="Q1762" s="46"/>
      <c r="R1762" s="46"/>
      <c r="S1762" s="46"/>
      <c r="T1762" s="46"/>
      <c r="U1762" s="46"/>
      <c r="V1762" s="46"/>
      <c r="W1762" s="46"/>
      <c r="X1762" s="46"/>
      <c r="Y1762" s="46"/>
      <c r="Z1762" s="46"/>
    </row>
    <row r="1763" ht="22.5" customHeight="1">
      <c r="A1763" s="11">
        <v>1761.0</v>
      </c>
      <c r="B1763" s="20">
        <v>51.0</v>
      </c>
      <c r="C1763" s="13" t="s">
        <v>12288</v>
      </c>
      <c r="D1763" s="13" t="s">
        <v>12289</v>
      </c>
      <c r="E1763" s="13" t="s">
        <v>12290</v>
      </c>
      <c r="F1763" s="15"/>
      <c r="G1763" s="15"/>
      <c r="H1763" s="46"/>
      <c r="I1763" s="46"/>
      <c r="J1763" s="46"/>
      <c r="K1763" s="46"/>
      <c r="L1763" s="46"/>
      <c r="M1763" s="46"/>
      <c r="N1763" s="46"/>
      <c r="O1763" s="46"/>
      <c r="P1763" s="46"/>
      <c r="Q1763" s="46"/>
      <c r="R1763" s="46"/>
      <c r="S1763" s="46"/>
      <c r="T1763" s="46"/>
      <c r="U1763" s="46"/>
      <c r="V1763" s="46"/>
      <c r="W1763" s="46"/>
      <c r="X1763" s="46"/>
      <c r="Y1763" s="46"/>
      <c r="Z1763" s="46"/>
    </row>
    <row r="1764" ht="22.5" customHeight="1">
      <c r="A1764" s="17">
        <v>1762.0</v>
      </c>
      <c r="B1764" s="20">
        <v>51.0</v>
      </c>
      <c r="C1764" s="13" t="s">
        <v>10536</v>
      </c>
      <c r="D1764" s="13" t="s">
        <v>12291</v>
      </c>
      <c r="E1764" s="13" t="s">
        <v>12292</v>
      </c>
      <c r="F1764" s="15"/>
      <c r="G1764" s="15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  <c r="S1764" s="46"/>
      <c r="T1764" s="46"/>
      <c r="U1764" s="46"/>
      <c r="V1764" s="46"/>
      <c r="W1764" s="46"/>
      <c r="X1764" s="46"/>
      <c r="Y1764" s="46"/>
      <c r="Z1764" s="46"/>
    </row>
    <row r="1765" ht="22.5" customHeight="1">
      <c r="A1765" s="11">
        <v>1763.0</v>
      </c>
      <c r="B1765" s="20">
        <v>51.0</v>
      </c>
      <c r="C1765" s="13" t="s">
        <v>12293</v>
      </c>
      <c r="D1765" s="13" t="s">
        <v>12294</v>
      </c>
      <c r="E1765" s="13" t="s">
        <v>12295</v>
      </c>
      <c r="F1765" s="14" t="s">
        <v>18</v>
      </c>
      <c r="G1765" s="15"/>
      <c r="H1765" s="46"/>
      <c r="I1765" s="46"/>
      <c r="J1765" s="46"/>
      <c r="K1765" s="46"/>
      <c r="L1765" s="46"/>
      <c r="M1765" s="46"/>
      <c r="N1765" s="46"/>
      <c r="O1765" s="46"/>
      <c r="P1765" s="46"/>
      <c r="Q1765" s="46"/>
      <c r="R1765" s="46"/>
      <c r="S1765" s="46"/>
      <c r="T1765" s="46"/>
      <c r="U1765" s="46"/>
      <c r="V1765" s="46"/>
      <c r="W1765" s="46"/>
      <c r="X1765" s="46"/>
      <c r="Y1765" s="46"/>
      <c r="Z1765" s="46"/>
    </row>
    <row r="1766" ht="22.5" customHeight="1">
      <c r="A1766" s="17">
        <v>1764.0</v>
      </c>
      <c r="B1766" s="20">
        <v>51.0</v>
      </c>
      <c r="C1766" s="13" t="s">
        <v>8878</v>
      </c>
      <c r="D1766" s="13" t="s">
        <v>8879</v>
      </c>
      <c r="E1766" s="13" t="s">
        <v>8880</v>
      </c>
      <c r="F1766" s="15"/>
      <c r="G1766" s="15"/>
      <c r="H1766" s="46"/>
      <c r="I1766" s="46"/>
      <c r="J1766" s="46"/>
      <c r="K1766" s="46"/>
      <c r="L1766" s="46"/>
      <c r="M1766" s="46"/>
      <c r="N1766" s="46"/>
      <c r="O1766" s="46"/>
      <c r="P1766" s="46"/>
      <c r="Q1766" s="46"/>
      <c r="R1766" s="46"/>
      <c r="S1766" s="46"/>
      <c r="T1766" s="46"/>
      <c r="U1766" s="46"/>
      <c r="V1766" s="46"/>
      <c r="W1766" s="46"/>
      <c r="X1766" s="46"/>
      <c r="Y1766" s="46"/>
      <c r="Z1766" s="46"/>
    </row>
    <row r="1767" ht="22.5" customHeight="1">
      <c r="A1767" s="11">
        <v>1765.0</v>
      </c>
      <c r="B1767" s="20">
        <v>51.0</v>
      </c>
      <c r="C1767" s="13" t="s">
        <v>12296</v>
      </c>
      <c r="D1767" s="13" t="s">
        <v>12297</v>
      </c>
      <c r="E1767" s="13" t="s">
        <v>12298</v>
      </c>
      <c r="F1767" s="15"/>
      <c r="G1767" s="15"/>
      <c r="H1767" s="46"/>
      <c r="I1767" s="46"/>
      <c r="J1767" s="46"/>
      <c r="K1767" s="46"/>
      <c r="L1767" s="46"/>
      <c r="M1767" s="46"/>
      <c r="N1767" s="46"/>
      <c r="O1767" s="46"/>
      <c r="P1767" s="46"/>
      <c r="Q1767" s="46"/>
      <c r="R1767" s="46"/>
      <c r="S1767" s="46"/>
      <c r="T1767" s="46"/>
      <c r="U1767" s="46"/>
      <c r="V1767" s="46"/>
      <c r="W1767" s="46"/>
      <c r="X1767" s="46"/>
      <c r="Y1767" s="46"/>
      <c r="Z1767" s="46"/>
    </row>
    <row r="1768" ht="22.5" customHeight="1">
      <c r="A1768" s="17">
        <v>1766.0</v>
      </c>
      <c r="B1768" s="20">
        <v>51.0</v>
      </c>
      <c r="C1768" s="13" t="s">
        <v>4615</v>
      </c>
      <c r="D1768" s="13" t="s">
        <v>4614</v>
      </c>
      <c r="E1768" s="13" t="s">
        <v>12299</v>
      </c>
      <c r="F1768" s="14" t="s">
        <v>18</v>
      </c>
      <c r="G1768" s="15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  <c r="S1768" s="46"/>
      <c r="T1768" s="46"/>
      <c r="U1768" s="46"/>
      <c r="V1768" s="46"/>
      <c r="W1768" s="46"/>
      <c r="X1768" s="46"/>
      <c r="Y1768" s="46"/>
      <c r="Z1768" s="46"/>
    </row>
    <row r="1769" ht="22.5" customHeight="1">
      <c r="A1769" s="11">
        <v>1767.0</v>
      </c>
      <c r="B1769" s="20">
        <v>51.0</v>
      </c>
      <c r="C1769" s="13" t="s">
        <v>12300</v>
      </c>
      <c r="D1769" s="13" t="s">
        <v>12301</v>
      </c>
      <c r="E1769" s="13" t="s">
        <v>12302</v>
      </c>
      <c r="F1769" s="14" t="s">
        <v>18</v>
      </c>
      <c r="G1769" s="15"/>
      <c r="H1769" s="46"/>
      <c r="I1769" s="46"/>
      <c r="J1769" s="46"/>
      <c r="K1769" s="46"/>
      <c r="L1769" s="46"/>
      <c r="M1769" s="46"/>
      <c r="N1769" s="46"/>
      <c r="O1769" s="46"/>
      <c r="P1769" s="46"/>
      <c r="Q1769" s="46"/>
      <c r="R1769" s="46"/>
      <c r="S1769" s="46"/>
      <c r="T1769" s="46"/>
      <c r="U1769" s="46"/>
      <c r="V1769" s="46"/>
      <c r="W1769" s="46"/>
      <c r="X1769" s="46"/>
      <c r="Y1769" s="46"/>
      <c r="Z1769" s="46"/>
    </row>
    <row r="1770" ht="22.5" customHeight="1">
      <c r="A1770" s="17">
        <v>1768.0</v>
      </c>
      <c r="B1770" s="20">
        <v>51.0</v>
      </c>
      <c r="C1770" s="13" t="s">
        <v>12303</v>
      </c>
      <c r="D1770" s="13" t="s">
        <v>12304</v>
      </c>
      <c r="E1770" s="13" t="s">
        <v>12305</v>
      </c>
      <c r="F1770" s="14" t="s">
        <v>18</v>
      </c>
      <c r="G1770" s="15"/>
      <c r="H1770" s="46"/>
      <c r="I1770" s="46"/>
      <c r="J1770" s="46"/>
      <c r="K1770" s="46"/>
      <c r="L1770" s="46"/>
      <c r="M1770" s="46"/>
      <c r="N1770" s="46"/>
      <c r="O1770" s="46"/>
      <c r="P1770" s="46"/>
      <c r="Q1770" s="46"/>
      <c r="R1770" s="46"/>
      <c r="S1770" s="46"/>
      <c r="T1770" s="46"/>
      <c r="U1770" s="46"/>
      <c r="V1770" s="46"/>
      <c r="W1770" s="46"/>
      <c r="X1770" s="46"/>
      <c r="Y1770" s="46"/>
      <c r="Z1770" s="46"/>
    </row>
    <row r="1771" ht="22.5" customHeight="1">
      <c r="A1771" s="11">
        <v>1769.0</v>
      </c>
      <c r="B1771" s="20">
        <v>51.0</v>
      </c>
      <c r="C1771" s="13" t="s">
        <v>12306</v>
      </c>
      <c r="D1771" s="13" t="s">
        <v>12307</v>
      </c>
      <c r="E1771" s="13" t="s">
        <v>12308</v>
      </c>
      <c r="F1771" s="15"/>
      <c r="G1771" s="15"/>
      <c r="H1771" s="46"/>
      <c r="I1771" s="46"/>
      <c r="J1771" s="46"/>
      <c r="K1771" s="46"/>
      <c r="L1771" s="46"/>
      <c r="M1771" s="46"/>
      <c r="N1771" s="46"/>
      <c r="O1771" s="46"/>
      <c r="P1771" s="46"/>
      <c r="Q1771" s="46"/>
      <c r="R1771" s="46"/>
      <c r="S1771" s="46"/>
      <c r="T1771" s="46"/>
      <c r="U1771" s="46"/>
      <c r="V1771" s="46"/>
      <c r="W1771" s="46"/>
      <c r="X1771" s="46"/>
      <c r="Y1771" s="46"/>
      <c r="Z1771" s="46"/>
    </row>
    <row r="1772" ht="22.5" customHeight="1">
      <c r="A1772" s="17">
        <v>1770.0</v>
      </c>
      <c r="B1772" s="20">
        <v>50.0</v>
      </c>
      <c r="C1772" s="13" t="s">
        <v>9180</v>
      </c>
      <c r="D1772" s="13" t="s">
        <v>9181</v>
      </c>
      <c r="E1772" s="13" t="s">
        <v>9182</v>
      </c>
      <c r="F1772" s="15"/>
      <c r="G1772" s="15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  <c r="S1772" s="46"/>
      <c r="T1772" s="46"/>
      <c r="U1772" s="46"/>
      <c r="V1772" s="46"/>
      <c r="W1772" s="46"/>
      <c r="X1772" s="46"/>
      <c r="Y1772" s="46"/>
      <c r="Z1772" s="46"/>
    </row>
    <row r="1773" ht="22.5" customHeight="1">
      <c r="A1773" s="11">
        <v>1771.0</v>
      </c>
      <c r="B1773" s="20">
        <v>50.0</v>
      </c>
      <c r="C1773" s="13" t="s">
        <v>8792</v>
      </c>
      <c r="D1773" s="13" t="s">
        <v>8793</v>
      </c>
      <c r="E1773" s="13" t="s">
        <v>8794</v>
      </c>
      <c r="F1773" s="15"/>
      <c r="G1773" s="15"/>
      <c r="H1773" s="46"/>
      <c r="I1773" s="46"/>
      <c r="J1773" s="46"/>
      <c r="K1773" s="46"/>
      <c r="L1773" s="46"/>
      <c r="M1773" s="46"/>
      <c r="N1773" s="46"/>
      <c r="O1773" s="46"/>
      <c r="P1773" s="46"/>
      <c r="Q1773" s="46"/>
      <c r="R1773" s="46"/>
      <c r="S1773" s="46"/>
      <c r="T1773" s="46"/>
      <c r="U1773" s="46"/>
      <c r="V1773" s="46"/>
      <c r="W1773" s="46"/>
      <c r="X1773" s="46"/>
      <c r="Y1773" s="46"/>
      <c r="Z1773" s="46"/>
    </row>
    <row r="1774" ht="22.5" customHeight="1">
      <c r="A1774" s="17">
        <v>1772.0</v>
      </c>
      <c r="B1774" s="20">
        <v>50.0</v>
      </c>
      <c r="C1774" s="13" t="s">
        <v>12309</v>
      </c>
      <c r="D1774" s="13" t="s">
        <v>12310</v>
      </c>
      <c r="E1774" s="13" t="s">
        <v>12311</v>
      </c>
      <c r="F1774" s="14" t="s">
        <v>18</v>
      </c>
      <c r="G1774" s="15"/>
      <c r="H1774" s="46"/>
      <c r="I1774" s="46"/>
      <c r="J1774" s="46"/>
      <c r="K1774" s="46"/>
      <c r="L1774" s="46"/>
      <c r="M1774" s="46"/>
      <c r="N1774" s="46"/>
      <c r="O1774" s="46"/>
      <c r="P1774" s="46"/>
      <c r="Q1774" s="46"/>
      <c r="R1774" s="46"/>
      <c r="S1774" s="46"/>
      <c r="T1774" s="46"/>
      <c r="U1774" s="46"/>
      <c r="V1774" s="46"/>
      <c r="W1774" s="46"/>
      <c r="X1774" s="46"/>
      <c r="Y1774" s="46"/>
      <c r="Z1774" s="46"/>
    </row>
    <row r="1775" ht="22.5" customHeight="1">
      <c r="A1775" s="11">
        <v>1773.0</v>
      </c>
      <c r="B1775" s="20">
        <v>50.0</v>
      </c>
      <c r="C1775" s="13" t="s">
        <v>10335</v>
      </c>
      <c r="D1775" s="13" t="s">
        <v>1511</v>
      </c>
      <c r="E1775" s="13" t="s">
        <v>3492</v>
      </c>
      <c r="F1775" s="15"/>
      <c r="G1775" s="15"/>
      <c r="H1775" s="46"/>
      <c r="I1775" s="46"/>
      <c r="J1775" s="46"/>
      <c r="K1775" s="46"/>
      <c r="L1775" s="46"/>
      <c r="M1775" s="46"/>
      <c r="N1775" s="46"/>
      <c r="O1775" s="46"/>
      <c r="P1775" s="46"/>
      <c r="Q1775" s="46"/>
      <c r="R1775" s="46"/>
      <c r="S1775" s="46"/>
      <c r="T1775" s="46"/>
      <c r="U1775" s="46"/>
      <c r="V1775" s="46"/>
      <c r="W1775" s="46"/>
      <c r="X1775" s="46"/>
      <c r="Y1775" s="46"/>
      <c r="Z1775" s="46"/>
    </row>
    <row r="1776" ht="22.5" customHeight="1">
      <c r="A1776" s="17">
        <v>1774.0</v>
      </c>
      <c r="B1776" s="20">
        <v>50.0</v>
      </c>
      <c r="C1776" s="13" t="s">
        <v>12312</v>
      </c>
      <c r="D1776" s="13" t="s">
        <v>12313</v>
      </c>
      <c r="E1776" s="13" t="s">
        <v>12314</v>
      </c>
      <c r="F1776" s="14" t="s">
        <v>18</v>
      </c>
      <c r="G1776" s="15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  <c r="S1776" s="46"/>
      <c r="T1776" s="46"/>
      <c r="U1776" s="46"/>
      <c r="V1776" s="46"/>
      <c r="W1776" s="46"/>
      <c r="X1776" s="46"/>
      <c r="Y1776" s="46"/>
      <c r="Z1776" s="46"/>
    </row>
    <row r="1777" ht="22.5" customHeight="1">
      <c r="A1777" s="11">
        <v>1775.0</v>
      </c>
      <c r="B1777" s="20">
        <v>50.0</v>
      </c>
      <c r="C1777" s="13" t="s">
        <v>12315</v>
      </c>
      <c r="D1777" s="13" t="s">
        <v>12316</v>
      </c>
      <c r="E1777" s="13" t="s">
        <v>12317</v>
      </c>
      <c r="F1777" s="14" t="s">
        <v>18</v>
      </c>
      <c r="G1777" s="15"/>
      <c r="H1777" s="46"/>
      <c r="I1777" s="46"/>
      <c r="J1777" s="46"/>
      <c r="K1777" s="46"/>
      <c r="L1777" s="46"/>
      <c r="M1777" s="46"/>
      <c r="N1777" s="46"/>
      <c r="O1777" s="46"/>
      <c r="P1777" s="46"/>
      <c r="Q1777" s="46"/>
      <c r="R1777" s="46"/>
      <c r="S1777" s="46"/>
      <c r="T1777" s="46"/>
      <c r="U1777" s="46"/>
      <c r="V1777" s="46"/>
      <c r="W1777" s="46"/>
      <c r="X1777" s="46"/>
      <c r="Y1777" s="46"/>
      <c r="Z1777" s="46"/>
    </row>
    <row r="1778" ht="22.5" customHeight="1">
      <c r="A1778" s="17">
        <v>1776.0</v>
      </c>
      <c r="B1778" s="20">
        <v>50.0</v>
      </c>
      <c r="C1778" s="13" t="s">
        <v>8830</v>
      </c>
      <c r="D1778" s="13" t="s">
        <v>8831</v>
      </c>
      <c r="E1778" s="13" t="s">
        <v>8832</v>
      </c>
      <c r="F1778" s="15"/>
      <c r="G1778" s="15"/>
      <c r="H1778" s="46"/>
      <c r="I1778" s="46"/>
      <c r="J1778" s="46"/>
      <c r="K1778" s="46"/>
      <c r="L1778" s="46"/>
      <c r="M1778" s="46"/>
      <c r="N1778" s="46"/>
      <c r="O1778" s="46"/>
      <c r="P1778" s="46"/>
      <c r="Q1778" s="46"/>
      <c r="R1778" s="46"/>
      <c r="S1778" s="46"/>
      <c r="T1778" s="46"/>
      <c r="U1778" s="46"/>
      <c r="V1778" s="46"/>
      <c r="W1778" s="46"/>
      <c r="X1778" s="46"/>
      <c r="Y1778" s="46"/>
      <c r="Z1778" s="46"/>
    </row>
    <row r="1779" ht="22.5" customHeight="1">
      <c r="A1779" s="11">
        <v>1777.0</v>
      </c>
      <c r="B1779" s="20">
        <v>50.0</v>
      </c>
      <c r="C1779" s="13" t="s">
        <v>12318</v>
      </c>
      <c r="D1779" s="13" t="s">
        <v>12319</v>
      </c>
      <c r="E1779" s="13" t="s">
        <v>12320</v>
      </c>
      <c r="F1779" s="15"/>
      <c r="G1779" s="15"/>
      <c r="H1779" s="46"/>
      <c r="I1779" s="46"/>
      <c r="J1779" s="46"/>
      <c r="K1779" s="46"/>
      <c r="L1779" s="46"/>
      <c r="M1779" s="46"/>
      <c r="N1779" s="46"/>
      <c r="O1779" s="46"/>
      <c r="P1779" s="46"/>
      <c r="Q1779" s="46"/>
      <c r="R1779" s="46"/>
      <c r="S1779" s="46"/>
      <c r="T1779" s="46"/>
      <c r="U1779" s="46"/>
      <c r="V1779" s="46"/>
      <c r="W1779" s="46"/>
      <c r="X1779" s="46"/>
      <c r="Y1779" s="46"/>
      <c r="Z1779" s="46"/>
    </row>
    <row r="1780" ht="22.5" customHeight="1">
      <c r="A1780" s="17">
        <v>1778.0</v>
      </c>
      <c r="B1780" s="20">
        <v>50.0</v>
      </c>
      <c r="C1780" s="13" t="s">
        <v>12321</v>
      </c>
      <c r="D1780" s="13" t="s">
        <v>12322</v>
      </c>
      <c r="E1780" s="13" t="s">
        <v>12323</v>
      </c>
      <c r="F1780" s="15"/>
      <c r="G1780" s="15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  <c r="S1780" s="46"/>
      <c r="T1780" s="46"/>
      <c r="U1780" s="46"/>
      <c r="V1780" s="46"/>
      <c r="W1780" s="46"/>
      <c r="X1780" s="46"/>
      <c r="Y1780" s="46"/>
      <c r="Z1780" s="46"/>
    </row>
    <row r="1781" ht="22.5" customHeight="1">
      <c r="A1781" s="11">
        <v>1779.0</v>
      </c>
      <c r="B1781" s="20">
        <v>50.0</v>
      </c>
      <c r="C1781" s="13" t="s">
        <v>11441</v>
      </c>
      <c r="D1781" s="13" t="s">
        <v>11442</v>
      </c>
      <c r="E1781" s="13" t="s">
        <v>11443</v>
      </c>
      <c r="F1781" s="15"/>
      <c r="G1781" s="15"/>
      <c r="H1781" s="46"/>
      <c r="I1781" s="46"/>
      <c r="J1781" s="46"/>
      <c r="K1781" s="46"/>
      <c r="L1781" s="46"/>
      <c r="M1781" s="46"/>
      <c r="N1781" s="46"/>
      <c r="O1781" s="46"/>
      <c r="P1781" s="46"/>
      <c r="Q1781" s="46"/>
      <c r="R1781" s="46"/>
      <c r="S1781" s="46"/>
      <c r="T1781" s="46"/>
      <c r="U1781" s="46"/>
      <c r="V1781" s="46"/>
      <c r="W1781" s="46"/>
      <c r="X1781" s="46"/>
      <c r="Y1781" s="46"/>
      <c r="Z1781" s="46"/>
    </row>
    <row r="1782" ht="22.5" customHeight="1">
      <c r="A1782" s="17">
        <v>1780.0</v>
      </c>
      <c r="B1782" s="20">
        <v>50.0</v>
      </c>
      <c r="C1782" s="13" t="s">
        <v>9146</v>
      </c>
      <c r="D1782" s="13" t="s">
        <v>9147</v>
      </c>
      <c r="E1782" s="13" t="s">
        <v>12324</v>
      </c>
      <c r="F1782" s="15"/>
      <c r="G1782" s="15"/>
      <c r="H1782" s="46"/>
      <c r="I1782" s="46"/>
      <c r="J1782" s="46"/>
      <c r="K1782" s="46"/>
      <c r="L1782" s="46"/>
      <c r="M1782" s="46"/>
      <c r="N1782" s="46"/>
      <c r="O1782" s="46"/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</row>
    <row r="1783" ht="22.5" customHeight="1">
      <c r="A1783" s="11">
        <v>1781.0</v>
      </c>
      <c r="B1783" s="20">
        <v>50.0</v>
      </c>
      <c r="C1783" s="13" t="s">
        <v>5691</v>
      </c>
      <c r="D1783" s="13" t="s">
        <v>5690</v>
      </c>
      <c r="E1783" s="13" t="s">
        <v>12325</v>
      </c>
      <c r="F1783" s="14" t="s">
        <v>18</v>
      </c>
      <c r="G1783" s="15"/>
      <c r="H1783" s="46"/>
      <c r="I1783" s="46"/>
      <c r="J1783" s="46"/>
      <c r="K1783" s="46"/>
      <c r="L1783" s="46"/>
      <c r="M1783" s="46"/>
      <c r="N1783" s="46"/>
      <c r="O1783" s="46"/>
      <c r="P1783" s="46"/>
      <c r="Q1783" s="46"/>
      <c r="R1783" s="46"/>
      <c r="S1783" s="46"/>
      <c r="T1783" s="46"/>
      <c r="U1783" s="46"/>
      <c r="V1783" s="46"/>
      <c r="W1783" s="46"/>
      <c r="X1783" s="46"/>
      <c r="Y1783" s="46"/>
      <c r="Z1783" s="46"/>
    </row>
    <row r="1784" ht="22.5" customHeight="1">
      <c r="A1784" s="17">
        <v>1782.0</v>
      </c>
      <c r="B1784" s="20">
        <v>50.0</v>
      </c>
      <c r="C1784" s="13" t="s">
        <v>12326</v>
      </c>
      <c r="D1784" s="13" t="s">
        <v>12327</v>
      </c>
      <c r="E1784" s="13" t="s">
        <v>12328</v>
      </c>
      <c r="F1784" s="14" t="s">
        <v>18</v>
      </c>
      <c r="G1784" s="15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  <c r="S1784" s="46"/>
      <c r="T1784" s="46"/>
      <c r="U1784" s="46"/>
      <c r="V1784" s="46"/>
      <c r="W1784" s="46"/>
      <c r="X1784" s="46"/>
      <c r="Y1784" s="46"/>
      <c r="Z1784" s="46"/>
    </row>
    <row r="1785" ht="22.5" customHeight="1">
      <c r="A1785" s="11">
        <v>1783.0</v>
      </c>
      <c r="B1785" s="20">
        <v>50.0</v>
      </c>
      <c r="C1785" s="13" t="s">
        <v>9118</v>
      </c>
      <c r="D1785" s="13" t="s">
        <v>9119</v>
      </c>
      <c r="E1785" s="13" t="s">
        <v>9120</v>
      </c>
      <c r="F1785" s="15"/>
      <c r="G1785" s="15"/>
      <c r="H1785" s="46"/>
      <c r="I1785" s="46"/>
      <c r="J1785" s="46"/>
      <c r="K1785" s="46"/>
      <c r="L1785" s="46"/>
      <c r="M1785" s="46"/>
      <c r="N1785" s="46"/>
      <c r="O1785" s="46"/>
      <c r="P1785" s="46"/>
      <c r="Q1785" s="46"/>
      <c r="R1785" s="46"/>
      <c r="S1785" s="46"/>
      <c r="T1785" s="46"/>
      <c r="U1785" s="46"/>
      <c r="V1785" s="46"/>
      <c r="W1785" s="46"/>
      <c r="X1785" s="46"/>
      <c r="Y1785" s="46"/>
      <c r="Z1785" s="46"/>
    </row>
    <row r="1786" ht="22.5" customHeight="1">
      <c r="A1786" s="17">
        <v>1784.0</v>
      </c>
      <c r="B1786" s="20">
        <v>50.0</v>
      </c>
      <c r="C1786" s="13" t="s">
        <v>8762</v>
      </c>
      <c r="D1786" s="13" t="s">
        <v>8763</v>
      </c>
      <c r="E1786" s="13" t="s">
        <v>8764</v>
      </c>
      <c r="F1786" s="15"/>
      <c r="G1786" s="15"/>
      <c r="H1786" s="46"/>
      <c r="I1786" s="46"/>
      <c r="J1786" s="46"/>
      <c r="K1786" s="46"/>
      <c r="L1786" s="46"/>
      <c r="M1786" s="46"/>
      <c r="N1786" s="46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</row>
    <row r="1787" ht="22.5" customHeight="1">
      <c r="A1787" s="11">
        <v>1785.0</v>
      </c>
      <c r="B1787" s="20">
        <v>50.0</v>
      </c>
      <c r="C1787" s="13" t="s">
        <v>9024</v>
      </c>
      <c r="D1787" s="13" t="s">
        <v>9025</v>
      </c>
      <c r="E1787" s="13" t="s">
        <v>9026</v>
      </c>
      <c r="F1787" s="15"/>
      <c r="G1787" s="15"/>
      <c r="H1787" s="46"/>
      <c r="I1787" s="46"/>
      <c r="J1787" s="46"/>
      <c r="K1787" s="46"/>
      <c r="L1787" s="46"/>
      <c r="M1787" s="46"/>
      <c r="N1787" s="46"/>
      <c r="O1787" s="46"/>
      <c r="P1787" s="46"/>
      <c r="Q1787" s="46"/>
      <c r="R1787" s="46"/>
      <c r="S1787" s="46"/>
      <c r="T1787" s="46"/>
      <c r="U1787" s="46"/>
      <c r="V1787" s="46"/>
      <c r="W1787" s="46"/>
      <c r="X1787" s="46"/>
      <c r="Y1787" s="46"/>
      <c r="Z1787" s="46"/>
    </row>
    <row r="1788" ht="22.5" customHeight="1">
      <c r="A1788" s="17">
        <v>1786.0</v>
      </c>
      <c r="B1788" s="20">
        <v>50.0</v>
      </c>
      <c r="C1788" s="13" t="s">
        <v>9002</v>
      </c>
      <c r="D1788" s="13" t="s">
        <v>9003</v>
      </c>
      <c r="E1788" s="13" t="s">
        <v>9004</v>
      </c>
      <c r="F1788" s="14" t="s">
        <v>18</v>
      </c>
      <c r="G1788" s="15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  <c r="S1788" s="46"/>
      <c r="T1788" s="46"/>
      <c r="U1788" s="46"/>
      <c r="V1788" s="46"/>
      <c r="W1788" s="46"/>
      <c r="X1788" s="46"/>
      <c r="Y1788" s="46"/>
      <c r="Z1788" s="46"/>
    </row>
    <row r="1789" ht="22.5" customHeight="1">
      <c r="A1789" s="11">
        <v>1787.0</v>
      </c>
      <c r="B1789" s="20">
        <v>50.0</v>
      </c>
      <c r="C1789" s="13" t="s">
        <v>4865</v>
      </c>
      <c r="D1789" s="13" t="s">
        <v>4864</v>
      </c>
      <c r="E1789" s="13" t="s">
        <v>9388</v>
      </c>
      <c r="F1789" s="15"/>
      <c r="G1789" s="15"/>
      <c r="H1789" s="46"/>
      <c r="I1789" s="46"/>
      <c r="J1789" s="46"/>
      <c r="K1789" s="46"/>
      <c r="L1789" s="46"/>
      <c r="M1789" s="46"/>
      <c r="N1789" s="46"/>
      <c r="O1789" s="46"/>
      <c r="P1789" s="46"/>
      <c r="Q1789" s="46"/>
      <c r="R1789" s="46"/>
      <c r="S1789" s="46"/>
      <c r="T1789" s="46"/>
      <c r="U1789" s="46"/>
      <c r="V1789" s="46"/>
      <c r="W1789" s="46"/>
      <c r="X1789" s="46"/>
      <c r="Y1789" s="46"/>
      <c r="Z1789" s="46"/>
    </row>
    <row r="1790" ht="22.5" customHeight="1">
      <c r="A1790" s="17">
        <v>1788.0</v>
      </c>
      <c r="B1790" s="20">
        <v>50.0</v>
      </c>
      <c r="C1790" s="13" t="s">
        <v>11322</v>
      </c>
      <c r="D1790" s="13" t="s">
        <v>11323</v>
      </c>
      <c r="E1790" s="13" t="s">
        <v>12329</v>
      </c>
      <c r="F1790" s="15"/>
      <c r="G1790" s="15"/>
      <c r="H1790" s="46"/>
      <c r="I1790" s="46"/>
      <c r="J1790" s="46"/>
      <c r="K1790" s="46"/>
      <c r="L1790" s="46"/>
      <c r="M1790" s="46"/>
      <c r="N1790" s="46"/>
      <c r="O1790" s="46"/>
      <c r="P1790" s="46"/>
      <c r="Q1790" s="46"/>
      <c r="R1790" s="46"/>
      <c r="S1790" s="46"/>
      <c r="T1790" s="46"/>
      <c r="U1790" s="46"/>
      <c r="V1790" s="46"/>
      <c r="W1790" s="46"/>
      <c r="X1790" s="46"/>
      <c r="Y1790" s="46"/>
      <c r="Z1790" s="46"/>
    </row>
    <row r="1791" ht="22.5" customHeight="1">
      <c r="A1791" s="11">
        <v>1789.0</v>
      </c>
      <c r="B1791" s="20">
        <v>50.0</v>
      </c>
      <c r="C1791" s="13" t="s">
        <v>9500</v>
      </c>
      <c r="D1791" s="13" t="s">
        <v>9501</v>
      </c>
      <c r="E1791" s="13" t="s">
        <v>12330</v>
      </c>
      <c r="F1791" s="15"/>
      <c r="G1791" s="15"/>
      <c r="H1791" s="46"/>
      <c r="I1791" s="46"/>
      <c r="J1791" s="46"/>
      <c r="K1791" s="46"/>
      <c r="L1791" s="46"/>
      <c r="M1791" s="46"/>
      <c r="N1791" s="46"/>
      <c r="O1791" s="46"/>
      <c r="P1791" s="46"/>
      <c r="Q1791" s="46"/>
      <c r="R1791" s="46"/>
      <c r="S1791" s="46"/>
      <c r="T1791" s="46"/>
      <c r="U1791" s="46"/>
      <c r="V1791" s="46"/>
      <c r="W1791" s="46"/>
      <c r="X1791" s="46"/>
      <c r="Y1791" s="46"/>
      <c r="Z1791" s="46"/>
    </row>
    <row r="1792" ht="22.5" customHeight="1">
      <c r="A1792" s="17">
        <v>1790.0</v>
      </c>
      <c r="B1792" s="20">
        <v>50.0</v>
      </c>
      <c r="C1792" s="13" t="s">
        <v>12331</v>
      </c>
      <c r="D1792" s="13" t="s">
        <v>12332</v>
      </c>
      <c r="E1792" s="13" t="s">
        <v>12333</v>
      </c>
      <c r="F1792" s="14" t="s">
        <v>18</v>
      </c>
      <c r="G1792" s="15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  <c r="S1792" s="46"/>
      <c r="T1792" s="46"/>
      <c r="U1792" s="46"/>
      <c r="V1792" s="46"/>
      <c r="W1792" s="46"/>
      <c r="X1792" s="46"/>
      <c r="Y1792" s="46"/>
      <c r="Z1792" s="46"/>
    </row>
    <row r="1793" ht="22.5" customHeight="1">
      <c r="A1793" s="11">
        <v>1791.0</v>
      </c>
      <c r="B1793" s="20">
        <v>50.0</v>
      </c>
      <c r="C1793" s="13" t="s">
        <v>8753</v>
      </c>
      <c r="D1793" s="13" t="s">
        <v>8754</v>
      </c>
      <c r="E1793" s="13" t="s">
        <v>8755</v>
      </c>
      <c r="F1793" s="15"/>
      <c r="G1793" s="15"/>
      <c r="H1793" s="46"/>
      <c r="I1793" s="46"/>
      <c r="J1793" s="46"/>
      <c r="K1793" s="46"/>
      <c r="L1793" s="46"/>
      <c r="M1793" s="46"/>
      <c r="N1793" s="46"/>
      <c r="O1793" s="46"/>
      <c r="P1793" s="46"/>
      <c r="Q1793" s="46"/>
      <c r="R1793" s="46"/>
      <c r="S1793" s="46"/>
      <c r="T1793" s="46"/>
      <c r="U1793" s="46"/>
      <c r="V1793" s="46"/>
      <c r="W1793" s="46"/>
      <c r="X1793" s="46"/>
      <c r="Y1793" s="46"/>
      <c r="Z1793" s="46"/>
    </row>
    <row r="1794" ht="22.5" customHeight="1">
      <c r="A1794" s="17">
        <v>1792.0</v>
      </c>
      <c r="B1794" s="20">
        <v>50.0</v>
      </c>
      <c r="C1794" s="13" t="s">
        <v>9849</v>
      </c>
      <c r="D1794" s="13" t="s">
        <v>9850</v>
      </c>
      <c r="E1794" s="13" t="s">
        <v>9851</v>
      </c>
      <c r="F1794" s="15"/>
      <c r="G1794" s="15"/>
      <c r="H1794" s="46"/>
      <c r="I1794" s="46"/>
      <c r="J1794" s="46"/>
      <c r="K1794" s="46"/>
      <c r="L1794" s="46"/>
      <c r="M1794" s="46"/>
      <c r="N1794" s="46"/>
      <c r="O1794" s="46"/>
      <c r="P1794" s="46"/>
      <c r="Q1794" s="46"/>
      <c r="R1794" s="46"/>
      <c r="S1794" s="46"/>
      <c r="T1794" s="46"/>
      <c r="U1794" s="46"/>
      <c r="V1794" s="46"/>
      <c r="W1794" s="46"/>
      <c r="X1794" s="46"/>
      <c r="Y1794" s="46"/>
      <c r="Z1794" s="46"/>
    </row>
    <row r="1795" ht="22.5" customHeight="1">
      <c r="A1795" s="11">
        <v>1793.0</v>
      </c>
      <c r="B1795" s="20">
        <v>50.0</v>
      </c>
      <c r="C1795" s="13" t="s">
        <v>9536</v>
      </c>
      <c r="D1795" s="13" t="s">
        <v>9537</v>
      </c>
      <c r="E1795" s="13" t="s">
        <v>12334</v>
      </c>
      <c r="F1795" s="15"/>
      <c r="G1795" s="15"/>
      <c r="H1795" s="46"/>
      <c r="I1795" s="46"/>
      <c r="J1795" s="46"/>
      <c r="K1795" s="46"/>
      <c r="L1795" s="46"/>
      <c r="M1795" s="46"/>
      <c r="N1795" s="46"/>
      <c r="O1795" s="46"/>
      <c r="P1795" s="46"/>
      <c r="Q1795" s="46"/>
      <c r="R1795" s="46"/>
      <c r="S1795" s="46"/>
      <c r="T1795" s="46"/>
      <c r="U1795" s="46"/>
      <c r="V1795" s="46"/>
      <c r="W1795" s="46"/>
      <c r="X1795" s="46"/>
      <c r="Y1795" s="46"/>
      <c r="Z1795" s="46"/>
    </row>
    <row r="1796" ht="22.5" customHeight="1">
      <c r="A1796" s="17">
        <v>1794.0</v>
      </c>
      <c r="B1796" s="20">
        <v>50.0</v>
      </c>
      <c r="C1796" s="13" t="s">
        <v>8839</v>
      </c>
      <c r="D1796" s="13" t="s">
        <v>3477</v>
      </c>
      <c r="E1796" s="13" t="s">
        <v>3478</v>
      </c>
      <c r="F1796" s="15"/>
      <c r="G1796" s="15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  <c r="S1796" s="46"/>
      <c r="T1796" s="46"/>
      <c r="U1796" s="46"/>
      <c r="V1796" s="46"/>
      <c r="W1796" s="46"/>
      <c r="X1796" s="46"/>
      <c r="Y1796" s="46"/>
      <c r="Z1796" s="46"/>
    </row>
    <row r="1797" ht="22.5" customHeight="1">
      <c r="A1797" s="11">
        <v>1795.0</v>
      </c>
      <c r="B1797" s="20">
        <v>50.0</v>
      </c>
      <c r="C1797" s="13" t="s">
        <v>8990</v>
      </c>
      <c r="D1797" s="13" t="s">
        <v>8991</v>
      </c>
      <c r="E1797" s="13" t="s">
        <v>11472</v>
      </c>
      <c r="F1797" s="15"/>
      <c r="G1797" s="15"/>
      <c r="H1797" s="46"/>
      <c r="I1797" s="46"/>
      <c r="J1797" s="46"/>
      <c r="K1797" s="46"/>
      <c r="L1797" s="46"/>
      <c r="M1797" s="46"/>
      <c r="N1797" s="46"/>
      <c r="O1797" s="46"/>
      <c r="P1797" s="46"/>
      <c r="Q1797" s="46"/>
      <c r="R1797" s="46"/>
      <c r="S1797" s="46"/>
      <c r="T1797" s="46"/>
      <c r="U1797" s="46"/>
      <c r="V1797" s="46"/>
      <c r="W1797" s="46"/>
      <c r="X1797" s="46"/>
      <c r="Y1797" s="46"/>
      <c r="Z1797" s="46"/>
    </row>
    <row r="1798" ht="22.5" customHeight="1">
      <c r="A1798" s="17">
        <v>1796.0</v>
      </c>
      <c r="B1798" s="20">
        <v>50.0</v>
      </c>
      <c r="C1798" s="13" t="s">
        <v>8871</v>
      </c>
      <c r="D1798" s="13" t="s">
        <v>8872</v>
      </c>
      <c r="E1798" s="13" t="s">
        <v>8873</v>
      </c>
      <c r="F1798" s="15"/>
      <c r="G1798" s="15"/>
      <c r="H1798" s="46"/>
      <c r="I1798" s="46"/>
      <c r="J1798" s="46"/>
      <c r="K1798" s="46"/>
      <c r="L1798" s="46"/>
      <c r="M1798" s="46"/>
      <c r="N1798" s="46"/>
      <c r="O1798" s="46"/>
      <c r="P1798" s="46"/>
      <c r="Q1798" s="46"/>
      <c r="R1798" s="46"/>
      <c r="S1798" s="46"/>
      <c r="T1798" s="46"/>
      <c r="U1798" s="46"/>
      <c r="V1798" s="46"/>
      <c r="W1798" s="46"/>
      <c r="X1798" s="46"/>
      <c r="Y1798" s="46"/>
      <c r="Z1798" s="46"/>
    </row>
    <row r="1799" ht="22.5" customHeight="1">
      <c r="A1799" s="11">
        <v>1797.0</v>
      </c>
      <c r="B1799" s="20">
        <v>50.0</v>
      </c>
      <c r="C1799" s="13" t="s">
        <v>12335</v>
      </c>
      <c r="D1799" s="13" t="s">
        <v>12336</v>
      </c>
      <c r="E1799" s="13" t="s">
        <v>12337</v>
      </c>
      <c r="F1799" s="15"/>
      <c r="G1799" s="15"/>
      <c r="H1799" s="46"/>
      <c r="I1799" s="46"/>
      <c r="J1799" s="46"/>
      <c r="K1799" s="46"/>
      <c r="L1799" s="46"/>
      <c r="M1799" s="46"/>
      <c r="N1799" s="46"/>
      <c r="O1799" s="46"/>
      <c r="P1799" s="46"/>
      <c r="Q1799" s="46"/>
      <c r="R1799" s="46"/>
      <c r="S1799" s="46"/>
      <c r="T1799" s="46"/>
      <c r="U1799" s="46"/>
      <c r="V1799" s="46"/>
      <c r="W1799" s="46"/>
      <c r="X1799" s="46"/>
      <c r="Y1799" s="46"/>
      <c r="Z1799" s="46"/>
    </row>
    <row r="1800" ht="22.5" customHeight="1">
      <c r="A1800" s="17">
        <v>1798.0</v>
      </c>
      <c r="B1800" s="20">
        <v>50.0</v>
      </c>
      <c r="C1800" s="13" t="s">
        <v>12338</v>
      </c>
      <c r="D1800" s="13" t="s">
        <v>12339</v>
      </c>
      <c r="E1800" s="13" t="s">
        <v>12340</v>
      </c>
      <c r="F1800" s="14" t="s">
        <v>18</v>
      </c>
      <c r="G1800" s="15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  <c r="S1800" s="46"/>
      <c r="T1800" s="46"/>
      <c r="U1800" s="46"/>
      <c r="V1800" s="46"/>
      <c r="W1800" s="46"/>
      <c r="X1800" s="46"/>
      <c r="Y1800" s="46"/>
      <c r="Z1800" s="46"/>
    </row>
    <row r="1801" ht="22.5" customHeight="1">
      <c r="A1801" s="11">
        <v>1799.0</v>
      </c>
      <c r="B1801" s="20">
        <v>50.0</v>
      </c>
      <c r="C1801" s="13" t="s">
        <v>10737</v>
      </c>
      <c r="D1801" s="13" t="s">
        <v>10738</v>
      </c>
      <c r="E1801" s="13" t="s">
        <v>10739</v>
      </c>
      <c r="F1801" s="15"/>
      <c r="G1801" s="15"/>
      <c r="H1801" s="46"/>
      <c r="I1801" s="46"/>
      <c r="J1801" s="46"/>
      <c r="K1801" s="46"/>
      <c r="L1801" s="46"/>
      <c r="M1801" s="46"/>
      <c r="N1801" s="46"/>
      <c r="O1801" s="46"/>
      <c r="P1801" s="46"/>
      <c r="Q1801" s="46"/>
      <c r="R1801" s="46"/>
      <c r="S1801" s="46"/>
      <c r="T1801" s="46"/>
      <c r="U1801" s="46"/>
      <c r="V1801" s="46"/>
      <c r="W1801" s="46"/>
      <c r="X1801" s="46"/>
      <c r="Y1801" s="46"/>
      <c r="Z1801" s="46"/>
    </row>
    <row r="1802" ht="22.5" customHeight="1">
      <c r="A1802" s="17">
        <v>1800.0</v>
      </c>
      <c r="B1802" s="20">
        <v>49.0</v>
      </c>
      <c r="C1802" s="13" t="s">
        <v>12341</v>
      </c>
      <c r="D1802" s="13" t="s">
        <v>12342</v>
      </c>
      <c r="E1802" s="13" t="s">
        <v>12343</v>
      </c>
      <c r="F1802" s="14" t="s">
        <v>18</v>
      </c>
      <c r="G1802" s="15"/>
      <c r="H1802" s="46"/>
      <c r="I1802" s="46"/>
      <c r="J1802" s="46"/>
      <c r="K1802" s="46"/>
      <c r="L1802" s="46"/>
      <c r="M1802" s="46"/>
      <c r="N1802" s="46"/>
      <c r="O1802" s="46"/>
      <c r="P1802" s="46"/>
      <c r="Q1802" s="46"/>
      <c r="R1802" s="46"/>
      <c r="S1802" s="46"/>
      <c r="T1802" s="46"/>
      <c r="U1802" s="46"/>
      <c r="V1802" s="46"/>
      <c r="W1802" s="46"/>
      <c r="X1802" s="46"/>
      <c r="Y1802" s="46"/>
      <c r="Z1802" s="46"/>
    </row>
    <row r="1803" ht="22.5" customHeight="1">
      <c r="A1803" s="11">
        <v>1801.0</v>
      </c>
      <c r="B1803" s="20">
        <v>49.0</v>
      </c>
      <c r="C1803" s="13" t="s">
        <v>12344</v>
      </c>
      <c r="D1803" s="13" t="s">
        <v>12345</v>
      </c>
      <c r="E1803" s="13" t="s">
        <v>12346</v>
      </c>
      <c r="F1803" s="14" t="s">
        <v>18</v>
      </c>
      <c r="G1803" s="15"/>
      <c r="H1803" s="46"/>
      <c r="I1803" s="46"/>
      <c r="J1803" s="46"/>
      <c r="K1803" s="46"/>
      <c r="L1803" s="46"/>
      <c r="M1803" s="46"/>
      <c r="N1803" s="46"/>
      <c r="O1803" s="46"/>
      <c r="P1803" s="46"/>
      <c r="Q1803" s="46"/>
      <c r="R1803" s="46"/>
      <c r="S1803" s="46"/>
      <c r="T1803" s="46"/>
      <c r="U1803" s="46"/>
      <c r="V1803" s="46"/>
      <c r="W1803" s="46"/>
      <c r="X1803" s="46"/>
      <c r="Y1803" s="46"/>
      <c r="Z1803" s="46"/>
    </row>
    <row r="1804" ht="22.5" customHeight="1">
      <c r="A1804" s="17">
        <v>1802.0</v>
      </c>
      <c r="B1804" s="20">
        <v>49.0</v>
      </c>
      <c r="C1804" s="13" t="s">
        <v>12347</v>
      </c>
      <c r="D1804" s="13" t="s">
        <v>12348</v>
      </c>
      <c r="E1804" s="13" t="s">
        <v>12349</v>
      </c>
      <c r="F1804" s="14" t="s">
        <v>18</v>
      </c>
      <c r="G1804" s="15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  <c r="S1804" s="46"/>
      <c r="T1804" s="46"/>
      <c r="U1804" s="46"/>
      <c r="V1804" s="46"/>
      <c r="W1804" s="46"/>
      <c r="X1804" s="46"/>
      <c r="Y1804" s="46"/>
      <c r="Z1804" s="46"/>
    </row>
    <row r="1805" ht="22.5" customHeight="1">
      <c r="A1805" s="11">
        <v>1803.0</v>
      </c>
      <c r="B1805" s="20">
        <v>49.0</v>
      </c>
      <c r="C1805" s="13" t="s">
        <v>12350</v>
      </c>
      <c r="D1805" s="13" t="s">
        <v>12351</v>
      </c>
      <c r="E1805" s="13" t="s">
        <v>12352</v>
      </c>
      <c r="F1805" s="15"/>
      <c r="G1805" s="15"/>
      <c r="H1805" s="46"/>
      <c r="I1805" s="46"/>
      <c r="J1805" s="46"/>
      <c r="K1805" s="46"/>
      <c r="L1805" s="46"/>
      <c r="M1805" s="46"/>
      <c r="N1805" s="46"/>
      <c r="O1805" s="46"/>
      <c r="P1805" s="46"/>
      <c r="Q1805" s="46"/>
      <c r="R1805" s="46"/>
      <c r="S1805" s="46"/>
      <c r="T1805" s="46"/>
      <c r="U1805" s="46"/>
      <c r="V1805" s="46"/>
      <c r="W1805" s="46"/>
      <c r="X1805" s="46"/>
      <c r="Y1805" s="46"/>
      <c r="Z1805" s="46"/>
    </row>
    <row r="1806" ht="22.5" customHeight="1">
      <c r="A1806" s="17">
        <v>1804.0</v>
      </c>
      <c r="B1806" s="20">
        <v>49.0</v>
      </c>
      <c r="C1806" s="13" t="s">
        <v>12353</v>
      </c>
      <c r="D1806" s="13" t="s">
        <v>12354</v>
      </c>
      <c r="E1806" s="13" t="s">
        <v>12355</v>
      </c>
      <c r="F1806" s="15"/>
      <c r="G1806" s="15"/>
      <c r="H1806" s="46"/>
      <c r="I1806" s="46"/>
      <c r="J1806" s="46"/>
      <c r="K1806" s="46"/>
      <c r="L1806" s="46"/>
      <c r="M1806" s="46"/>
      <c r="N1806" s="46"/>
      <c r="O1806" s="46"/>
      <c r="P1806" s="46"/>
      <c r="Q1806" s="46"/>
      <c r="R1806" s="46"/>
      <c r="S1806" s="46"/>
      <c r="T1806" s="46"/>
      <c r="U1806" s="46"/>
      <c r="V1806" s="46"/>
      <c r="W1806" s="46"/>
      <c r="X1806" s="46"/>
      <c r="Y1806" s="46"/>
      <c r="Z1806" s="46"/>
    </row>
    <row r="1807" ht="22.5" customHeight="1">
      <c r="A1807" s="11">
        <v>1805.0</v>
      </c>
      <c r="B1807" s="20">
        <v>49.0</v>
      </c>
      <c r="C1807" s="13" t="s">
        <v>8721</v>
      </c>
      <c r="D1807" s="13" t="s">
        <v>8722</v>
      </c>
      <c r="E1807" s="13" t="s">
        <v>8723</v>
      </c>
      <c r="F1807" s="15"/>
      <c r="G1807" s="15"/>
      <c r="H1807" s="46"/>
      <c r="I1807" s="46"/>
      <c r="J1807" s="46"/>
      <c r="K1807" s="46"/>
      <c r="L1807" s="46"/>
      <c r="M1807" s="46"/>
      <c r="N1807" s="46"/>
      <c r="O1807" s="46"/>
      <c r="P1807" s="46"/>
      <c r="Q1807" s="46"/>
      <c r="R1807" s="46"/>
      <c r="S1807" s="46"/>
      <c r="T1807" s="46"/>
      <c r="U1807" s="46"/>
      <c r="V1807" s="46"/>
      <c r="W1807" s="46"/>
      <c r="X1807" s="46"/>
      <c r="Y1807" s="46"/>
      <c r="Z1807" s="46"/>
    </row>
    <row r="1808" ht="22.5" customHeight="1">
      <c r="A1808" s="17">
        <v>1806.0</v>
      </c>
      <c r="B1808" s="20">
        <v>49.0</v>
      </c>
      <c r="C1808" s="13" t="s">
        <v>12356</v>
      </c>
      <c r="D1808" s="13" t="s">
        <v>12357</v>
      </c>
      <c r="E1808" s="13" t="s">
        <v>12358</v>
      </c>
      <c r="F1808" s="15"/>
      <c r="G1808" s="15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  <c r="S1808" s="46"/>
      <c r="T1808" s="46"/>
      <c r="U1808" s="46"/>
      <c r="V1808" s="46"/>
      <c r="W1808" s="46"/>
      <c r="X1808" s="46"/>
      <c r="Y1808" s="46"/>
      <c r="Z1808" s="46"/>
    </row>
    <row r="1809" ht="22.5" customHeight="1">
      <c r="A1809" s="11">
        <v>1807.0</v>
      </c>
      <c r="B1809" s="20">
        <v>49.0</v>
      </c>
      <c r="C1809" s="13" t="s">
        <v>12359</v>
      </c>
      <c r="D1809" s="13" t="s">
        <v>12360</v>
      </c>
      <c r="E1809" s="13" t="s">
        <v>12361</v>
      </c>
      <c r="F1809" s="15"/>
      <c r="G1809" s="15"/>
      <c r="H1809" s="46"/>
      <c r="I1809" s="46"/>
      <c r="J1809" s="46"/>
      <c r="K1809" s="46"/>
      <c r="L1809" s="46"/>
      <c r="M1809" s="46"/>
      <c r="N1809" s="46"/>
      <c r="O1809" s="46"/>
      <c r="P1809" s="46"/>
      <c r="Q1809" s="46"/>
      <c r="R1809" s="46"/>
      <c r="S1809" s="46"/>
      <c r="T1809" s="46"/>
      <c r="U1809" s="46"/>
      <c r="V1809" s="46"/>
      <c r="W1809" s="46"/>
      <c r="X1809" s="46"/>
      <c r="Y1809" s="46"/>
      <c r="Z1809" s="46"/>
    </row>
    <row r="1810" ht="22.5" customHeight="1">
      <c r="A1810" s="17">
        <v>1808.0</v>
      </c>
      <c r="B1810" s="20">
        <v>49.0</v>
      </c>
      <c r="C1810" s="13" t="s">
        <v>12362</v>
      </c>
      <c r="D1810" s="13" t="s">
        <v>12363</v>
      </c>
      <c r="E1810" s="13" t="s">
        <v>12364</v>
      </c>
      <c r="F1810" s="14" t="s">
        <v>18</v>
      </c>
      <c r="G1810" s="15"/>
      <c r="H1810" s="46"/>
      <c r="I1810" s="46"/>
      <c r="J1810" s="46"/>
      <c r="K1810" s="46"/>
      <c r="L1810" s="46"/>
      <c r="M1810" s="46"/>
      <c r="N1810" s="46"/>
      <c r="O1810" s="46"/>
      <c r="P1810" s="46"/>
      <c r="Q1810" s="46"/>
      <c r="R1810" s="46"/>
      <c r="S1810" s="46"/>
      <c r="T1810" s="46"/>
      <c r="U1810" s="46"/>
      <c r="V1810" s="46"/>
      <c r="W1810" s="46"/>
      <c r="X1810" s="46"/>
      <c r="Y1810" s="46"/>
      <c r="Z1810" s="46"/>
    </row>
    <row r="1811" ht="22.5" customHeight="1">
      <c r="A1811" s="11">
        <v>1809.0</v>
      </c>
      <c r="B1811" s="20">
        <v>49.0</v>
      </c>
      <c r="C1811" s="13" t="s">
        <v>4781</v>
      </c>
      <c r="D1811" s="13" t="s">
        <v>4780</v>
      </c>
      <c r="E1811" s="13" t="s">
        <v>12365</v>
      </c>
      <c r="F1811" s="15"/>
      <c r="G1811" s="15"/>
      <c r="H1811" s="46"/>
      <c r="I1811" s="46"/>
      <c r="J1811" s="46"/>
      <c r="K1811" s="46"/>
      <c r="L1811" s="46"/>
      <c r="M1811" s="46"/>
      <c r="N1811" s="46"/>
      <c r="O1811" s="46"/>
      <c r="P1811" s="46"/>
      <c r="Q1811" s="46"/>
      <c r="R1811" s="46"/>
      <c r="S1811" s="46"/>
      <c r="T1811" s="46"/>
      <c r="U1811" s="46"/>
      <c r="V1811" s="46"/>
      <c r="W1811" s="46"/>
      <c r="X1811" s="46"/>
      <c r="Y1811" s="46"/>
      <c r="Z1811" s="46"/>
    </row>
    <row r="1812" ht="22.5" customHeight="1">
      <c r="A1812" s="17">
        <v>1810.0</v>
      </c>
      <c r="B1812" s="20">
        <v>49.0</v>
      </c>
      <c r="C1812" s="13" t="s">
        <v>12366</v>
      </c>
      <c r="D1812" s="13" t="s">
        <v>12367</v>
      </c>
      <c r="E1812" s="13" t="s">
        <v>12368</v>
      </c>
      <c r="F1812" s="14" t="s">
        <v>18</v>
      </c>
      <c r="G1812" s="15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  <c r="S1812" s="46"/>
      <c r="T1812" s="46"/>
      <c r="U1812" s="46"/>
      <c r="V1812" s="46"/>
      <c r="W1812" s="46"/>
      <c r="X1812" s="46"/>
      <c r="Y1812" s="46"/>
      <c r="Z1812" s="46"/>
    </row>
    <row r="1813" ht="22.5" customHeight="1">
      <c r="A1813" s="11">
        <v>1811.0</v>
      </c>
      <c r="B1813" s="20">
        <v>49.0</v>
      </c>
      <c r="C1813" s="13" t="s">
        <v>12369</v>
      </c>
      <c r="D1813" s="13" t="s">
        <v>12370</v>
      </c>
      <c r="E1813" s="13" t="s">
        <v>12371</v>
      </c>
      <c r="F1813" s="14" t="s">
        <v>18</v>
      </c>
      <c r="G1813" s="15"/>
      <c r="H1813" s="46"/>
      <c r="I1813" s="46"/>
      <c r="J1813" s="46"/>
      <c r="K1813" s="46"/>
      <c r="L1813" s="46"/>
      <c r="M1813" s="46"/>
      <c r="N1813" s="46"/>
      <c r="O1813" s="46"/>
      <c r="P1813" s="46"/>
      <c r="Q1813" s="46"/>
      <c r="R1813" s="46"/>
      <c r="S1813" s="46"/>
      <c r="T1813" s="46"/>
      <c r="U1813" s="46"/>
      <c r="V1813" s="46"/>
      <c r="W1813" s="46"/>
      <c r="X1813" s="46"/>
      <c r="Y1813" s="46"/>
      <c r="Z1813" s="46"/>
    </row>
    <row r="1814" ht="22.5" customHeight="1">
      <c r="A1814" s="17">
        <v>1812.0</v>
      </c>
      <c r="B1814" s="20">
        <v>49.0</v>
      </c>
      <c r="C1814" s="13" t="s">
        <v>1427</v>
      </c>
      <c r="D1814" s="13" t="s">
        <v>3230</v>
      </c>
      <c r="E1814" s="13" t="s">
        <v>2821</v>
      </c>
      <c r="F1814" s="14" t="s">
        <v>18</v>
      </c>
      <c r="G1814" s="15"/>
      <c r="H1814" s="46"/>
      <c r="I1814" s="46"/>
      <c r="J1814" s="46"/>
      <c r="K1814" s="46"/>
      <c r="L1814" s="46"/>
      <c r="M1814" s="46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  <c r="X1814" s="46"/>
      <c r="Y1814" s="46"/>
      <c r="Z1814" s="46"/>
    </row>
    <row r="1815" ht="22.5" customHeight="1">
      <c r="A1815" s="11">
        <v>1813.0</v>
      </c>
      <c r="B1815" s="20">
        <v>49.0</v>
      </c>
      <c r="C1815" s="13" t="s">
        <v>6090</v>
      </c>
      <c r="D1815" s="13" t="s">
        <v>6089</v>
      </c>
      <c r="E1815" s="13" t="s">
        <v>9877</v>
      </c>
      <c r="F1815" s="15"/>
      <c r="G1815" s="15"/>
      <c r="H1815" s="46"/>
      <c r="I1815" s="46"/>
      <c r="J1815" s="46"/>
      <c r="K1815" s="46"/>
      <c r="L1815" s="46"/>
      <c r="M1815" s="46"/>
      <c r="N1815" s="46"/>
      <c r="O1815" s="46"/>
      <c r="P1815" s="46"/>
      <c r="Q1815" s="46"/>
      <c r="R1815" s="46"/>
      <c r="S1815" s="46"/>
      <c r="T1815" s="46"/>
      <c r="U1815" s="46"/>
      <c r="V1815" s="46"/>
      <c r="W1815" s="46"/>
      <c r="X1815" s="46"/>
      <c r="Y1815" s="46"/>
      <c r="Z1815" s="46"/>
    </row>
    <row r="1816" ht="22.5" customHeight="1">
      <c r="A1816" s="17">
        <v>1814.0</v>
      </c>
      <c r="B1816" s="20">
        <v>49.0</v>
      </c>
      <c r="C1816" s="13" t="s">
        <v>12372</v>
      </c>
      <c r="D1816" s="13" t="s">
        <v>12373</v>
      </c>
      <c r="E1816" s="13" t="s">
        <v>12374</v>
      </c>
      <c r="F1816" s="14" t="s">
        <v>18</v>
      </c>
      <c r="G1816" s="15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  <c r="S1816" s="46"/>
      <c r="T1816" s="46"/>
      <c r="U1816" s="46"/>
      <c r="V1816" s="46"/>
      <c r="W1816" s="46"/>
      <c r="X1816" s="46"/>
      <c r="Y1816" s="46"/>
      <c r="Z1816" s="46"/>
    </row>
    <row r="1817" ht="22.5" customHeight="1">
      <c r="A1817" s="11">
        <v>1815.0</v>
      </c>
      <c r="B1817" s="20">
        <v>49.0</v>
      </c>
      <c r="C1817" s="13" t="s">
        <v>12375</v>
      </c>
      <c r="D1817" s="13" t="s">
        <v>12376</v>
      </c>
      <c r="E1817" s="13" t="s">
        <v>12377</v>
      </c>
      <c r="F1817" s="14" t="s">
        <v>18</v>
      </c>
      <c r="G1817" s="15"/>
      <c r="H1817" s="46"/>
      <c r="I1817" s="46"/>
      <c r="J1817" s="46"/>
      <c r="K1817" s="46"/>
      <c r="L1817" s="46"/>
      <c r="M1817" s="46"/>
      <c r="N1817" s="46"/>
      <c r="O1817" s="46"/>
      <c r="P1817" s="46"/>
      <c r="Q1817" s="46"/>
      <c r="R1817" s="46"/>
      <c r="S1817" s="46"/>
      <c r="T1817" s="46"/>
      <c r="U1817" s="46"/>
      <c r="V1817" s="46"/>
      <c r="W1817" s="46"/>
      <c r="X1817" s="46"/>
      <c r="Y1817" s="46"/>
      <c r="Z1817" s="46"/>
    </row>
    <row r="1818" ht="22.5" customHeight="1">
      <c r="A1818" s="17">
        <v>1816.0</v>
      </c>
      <c r="B1818" s="20">
        <v>49.0</v>
      </c>
      <c r="C1818" s="13" t="s">
        <v>12378</v>
      </c>
      <c r="D1818" s="13" t="s">
        <v>12379</v>
      </c>
      <c r="E1818" s="13" t="s">
        <v>12380</v>
      </c>
      <c r="F1818" s="14" t="s">
        <v>18</v>
      </c>
      <c r="G1818" s="15"/>
      <c r="H1818" s="46"/>
      <c r="I1818" s="46"/>
      <c r="J1818" s="46"/>
      <c r="K1818" s="46"/>
      <c r="L1818" s="46"/>
      <c r="M1818" s="46"/>
      <c r="N1818" s="46"/>
      <c r="O1818" s="46"/>
      <c r="P1818" s="46"/>
      <c r="Q1818" s="46"/>
      <c r="R1818" s="46"/>
      <c r="S1818" s="46"/>
      <c r="T1818" s="46"/>
      <c r="U1818" s="46"/>
      <c r="V1818" s="46"/>
      <c r="W1818" s="46"/>
      <c r="X1818" s="46"/>
      <c r="Y1818" s="46"/>
      <c r="Z1818" s="46"/>
    </row>
    <row r="1819" ht="22.5" customHeight="1">
      <c r="A1819" s="11">
        <v>1817.0</v>
      </c>
      <c r="B1819" s="20">
        <v>49.0</v>
      </c>
      <c r="C1819" s="13" t="s">
        <v>12321</v>
      </c>
      <c r="D1819" s="13" t="s">
        <v>12322</v>
      </c>
      <c r="E1819" s="13" t="s">
        <v>12323</v>
      </c>
      <c r="F1819" s="15"/>
      <c r="G1819" s="15"/>
      <c r="H1819" s="46"/>
      <c r="I1819" s="46"/>
      <c r="J1819" s="46"/>
      <c r="K1819" s="46"/>
      <c r="L1819" s="46"/>
      <c r="M1819" s="46"/>
      <c r="N1819" s="46"/>
      <c r="O1819" s="46"/>
      <c r="P1819" s="46"/>
      <c r="Q1819" s="46"/>
      <c r="R1819" s="46"/>
      <c r="S1819" s="46"/>
      <c r="T1819" s="46"/>
      <c r="U1819" s="46"/>
      <c r="V1819" s="46"/>
      <c r="W1819" s="46"/>
      <c r="X1819" s="46"/>
      <c r="Y1819" s="46"/>
      <c r="Z1819" s="46"/>
    </row>
    <row r="1820" ht="22.5" customHeight="1">
      <c r="A1820" s="17">
        <v>1818.0</v>
      </c>
      <c r="B1820" s="20">
        <v>49.0</v>
      </c>
      <c r="C1820" s="13" t="s">
        <v>12381</v>
      </c>
      <c r="D1820" s="13" t="s">
        <v>12382</v>
      </c>
      <c r="E1820" s="13" t="s">
        <v>12383</v>
      </c>
      <c r="F1820" s="14" t="s">
        <v>18</v>
      </c>
      <c r="G1820" s="15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  <c r="S1820" s="46"/>
      <c r="T1820" s="46"/>
      <c r="U1820" s="46"/>
      <c r="V1820" s="46"/>
      <c r="W1820" s="46"/>
      <c r="X1820" s="46"/>
      <c r="Y1820" s="46"/>
      <c r="Z1820" s="46"/>
    </row>
    <row r="1821" ht="22.5" customHeight="1">
      <c r="A1821" s="11">
        <v>1819.0</v>
      </c>
      <c r="B1821" s="20">
        <v>49.0</v>
      </c>
      <c r="C1821" s="13" t="s">
        <v>12384</v>
      </c>
      <c r="D1821" s="13" t="s">
        <v>12385</v>
      </c>
      <c r="E1821" s="13" t="s">
        <v>12386</v>
      </c>
      <c r="F1821" s="15"/>
      <c r="G1821" s="15"/>
      <c r="H1821" s="46"/>
      <c r="I1821" s="46"/>
      <c r="J1821" s="46"/>
      <c r="K1821" s="46"/>
      <c r="L1821" s="46"/>
      <c r="M1821" s="46"/>
      <c r="N1821" s="46"/>
      <c r="O1821" s="46"/>
      <c r="P1821" s="46"/>
      <c r="Q1821" s="46"/>
      <c r="R1821" s="46"/>
      <c r="S1821" s="46"/>
      <c r="T1821" s="46"/>
      <c r="U1821" s="46"/>
      <c r="V1821" s="46"/>
      <c r="W1821" s="46"/>
      <c r="X1821" s="46"/>
      <c r="Y1821" s="46"/>
      <c r="Z1821" s="46"/>
    </row>
    <row r="1822" ht="22.5" customHeight="1">
      <c r="A1822" s="17">
        <v>1820.0</v>
      </c>
      <c r="B1822" s="20">
        <v>49.0</v>
      </c>
      <c r="C1822" s="13" t="s">
        <v>4874</v>
      </c>
      <c r="D1822" s="13" t="s">
        <v>4873</v>
      </c>
      <c r="E1822" s="13" t="s">
        <v>12387</v>
      </c>
      <c r="F1822" s="15"/>
      <c r="G1822" s="15"/>
      <c r="H1822" s="46"/>
      <c r="I1822" s="46"/>
      <c r="J1822" s="46"/>
      <c r="K1822" s="46"/>
      <c r="L1822" s="46"/>
      <c r="M1822" s="46"/>
      <c r="N1822" s="46"/>
      <c r="O1822" s="46"/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</row>
    <row r="1823" ht="22.5" customHeight="1">
      <c r="A1823" s="11">
        <v>1821.0</v>
      </c>
      <c r="B1823" s="20">
        <v>49.0</v>
      </c>
      <c r="C1823" s="13" t="s">
        <v>5633</v>
      </c>
      <c r="D1823" s="13" t="s">
        <v>12388</v>
      </c>
      <c r="E1823" s="13" t="s">
        <v>12389</v>
      </c>
      <c r="F1823" s="14" t="s">
        <v>18</v>
      </c>
      <c r="G1823" s="15"/>
      <c r="H1823" s="46"/>
      <c r="I1823" s="46"/>
      <c r="J1823" s="46"/>
      <c r="K1823" s="46"/>
      <c r="L1823" s="46"/>
      <c r="M1823" s="46"/>
      <c r="N1823" s="46"/>
      <c r="O1823" s="46"/>
      <c r="P1823" s="46"/>
      <c r="Q1823" s="46"/>
      <c r="R1823" s="46"/>
      <c r="S1823" s="46"/>
      <c r="T1823" s="46"/>
      <c r="U1823" s="46"/>
      <c r="V1823" s="46"/>
      <c r="W1823" s="46"/>
      <c r="X1823" s="46"/>
      <c r="Y1823" s="46"/>
      <c r="Z1823" s="46"/>
    </row>
    <row r="1824" ht="22.5" customHeight="1">
      <c r="A1824" s="17">
        <v>1822.0</v>
      </c>
      <c r="B1824" s="20">
        <v>49.0</v>
      </c>
      <c r="C1824" s="13" t="s">
        <v>12390</v>
      </c>
      <c r="D1824" s="13" t="s">
        <v>12391</v>
      </c>
      <c r="E1824" s="13" t="s">
        <v>12392</v>
      </c>
      <c r="F1824" s="15"/>
      <c r="G1824" s="15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  <c r="S1824" s="46"/>
      <c r="T1824" s="46"/>
      <c r="U1824" s="46"/>
      <c r="V1824" s="46"/>
      <c r="W1824" s="46"/>
      <c r="X1824" s="46"/>
      <c r="Y1824" s="46"/>
      <c r="Z1824" s="46"/>
    </row>
    <row r="1825" ht="22.5" customHeight="1">
      <c r="A1825" s="11">
        <v>1823.0</v>
      </c>
      <c r="B1825" s="20">
        <v>49.0</v>
      </c>
      <c r="C1825" s="13" t="s">
        <v>12393</v>
      </c>
      <c r="D1825" s="13" t="s">
        <v>12394</v>
      </c>
      <c r="E1825" s="13" t="s">
        <v>12395</v>
      </c>
      <c r="F1825" s="15"/>
      <c r="G1825" s="15"/>
      <c r="H1825" s="46"/>
      <c r="I1825" s="46"/>
      <c r="J1825" s="46"/>
      <c r="K1825" s="46"/>
      <c r="L1825" s="46"/>
      <c r="M1825" s="46"/>
      <c r="N1825" s="46"/>
      <c r="O1825" s="46"/>
      <c r="P1825" s="46"/>
      <c r="Q1825" s="46"/>
      <c r="R1825" s="46"/>
      <c r="S1825" s="46"/>
      <c r="T1825" s="46"/>
      <c r="U1825" s="46"/>
      <c r="V1825" s="46"/>
      <c r="W1825" s="46"/>
      <c r="X1825" s="46"/>
      <c r="Y1825" s="46"/>
      <c r="Z1825" s="46"/>
    </row>
    <row r="1826" ht="22.5" customHeight="1">
      <c r="A1826" s="17">
        <v>1824.0</v>
      </c>
      <c r="B1826" s="20">
        <v>49.0</v>
      </c>
      <c r="C1826" s="13" t="s">
        <v>12396</v>
      </c>
      <c r="D1826" s="13" t="s">
        <v>12397</v>
      </c>
      <c r="E1826" s="13" t="s">
        <v>12398</v>
      </c>
      <c r="F1826" s="14" t="s">
        <v>18</v>
      </c>
      <c r="G1826" s="15"/>
      <c r="H1826" s="46"/>
      <c r="I1826" s="46"/>
      <c r="J1826" s="46"/>
      <c r="K1826" s="46"/>
      <c r="L1826" s="46"/>
      <c r="M1826" s="46"/>
      <c r="N1826" s="46"/>
      <c r="O1826" s="46"/>
      <c r="P1826" s="46"/>
      <c r="Q1826" s="46"/>
      <c r="R1826" s="46"/>
      <c r="S1826" s="46"/>
      <c r="T1826" s="46"/>
      <c r="U1826" s="46"/>
      <c r="V1826" s="46"/>
      <c r="W1826" s="46"/>
      <c r="X1826" s="46"/>
      <c r="Y1826" s="46"/>
      <c r="Z1826" s="46"/>
    </row>
    <row r="1827" ht="22.5" customHeight="1">
      <c r="A1827" s="11">
        <v>1825.0</v>
      </c>
      <c r="B1827" s="20">
        <v>49.0</v>
      </c>
      <c r="C1827" s="13" t="s">
        <v>12399</v>
      </c>
      <c r="D1827" s="13" t="s">
        <v>12400</v>
      </c>
      <c r="E1827" s="13" t="s">
        <v>12401</v>
      </c>
      <c r="F1827" s="14" t="s">
        <v>18</v>
      </c>
      <c r="G1827" s="15"/>
      <c r="H1827" s="46"/>
      <c r="I1827" s="46"/>
      <c r="J1827" s="46"/>
      <c r="K1827" s="46"/>
      <c r="L1827" s="46"/>
      <c r="M1827" s="46"/>
      <c r="N1827" s="46"/>
      <c r="O1827" s="46"/>
      <c r="P1827" s="46"/>
      <c r="Q1827" s="46"/>
      <c r="R1827" s="46"/>
      <c r="S1827" s="46"/>
      <c r="T1827" s="46"/>
      <c r="U1827" s="46"/>
      <c r="V1827" s="46"/>
      <c r="W1827" s="46"/>
      <c r="X1827" s="46"/>
      <c r="Y1827" s="46"/>
      <c r="Z1827" s="46"/>
    </row>
    <row r="1828" ht="22.5" customHeight="1">
      <c r="A1828" s="17">
        <v>1826.0</v>
      </c>
      <c r="B1828" s="20">
        <v>49.0</v>
      </c>
      <c r="C1828" s="13" t="s">
        <v>12402</v>
      </c>
      <c r="D1828" s="13" t="s">
        <v>12403</v>
      </c>
      <c r="E1828" s="13" t="s">
        <v>12404</v>
      </c>
      <c r="F1828" s="15"/>
      <c r="G1828" s="15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  <c r="S1828" s="46"/>
      <c r="T1828" s="46"/>
      <c r="U1828" s="46"/>
      <c r="V1828" s="46"/>
      <c r="W1828" s="46"/>
      <c r="X1828" s="46"/>
      <c r="Y1828" s="46"/>
      <c r="Z1828" s="46"/>
    </row>
    <row r="1829" ht="22.5" customHeight="1">
      <c r="A1829" s="11">
        <v>1827.0</v>
      </c>
      <c r="B1829" s="20">
        <v>49.0</v>
      </c>
      <c r="C1829" s="13" t="s">
        <v>12405</v>
      </c>
      <c r="D1829" s="13" t="s">
        <v>12406</v>
      </c>
      <c r="E1829" s="13" t="s">
        <v>12407</v>
      </c>
      <c r="F1829" s="14" t="s">
        <v>18</v>
      </c>
      <c r="G1829" s="15"/>
      <c r="H1829" s="46"/>
      <c r="I1829" s="46"/>
      <c r="J1829" s="46"/>
      <c r="K1829" s="46"/>
      <c r="L1829" s="46"/>
      <c r="M1829" s="46"/>
      <c r="N1829" s="46"/>
      <c r="O1829" s="46"/>
      <c r="P1829" s="46"/>
      <c r="Q1829" s="46"/>
      <c r="R1829" s="46"/>
      <c r="S1829" s="46"/>
      <c r="T1829" s="46"/>
      <c r="U1829" s="46"/>
      <c r="V1829" s="46"/>
      <c r="W1829" s="46"/>
      <c r="X1829" s="46"/>
      <c r="Y1829" s="46"/>
      <c r="Z1829" s="46"/>
    </row>
    <row r="1830" ht="22.5" customHeight="1">
      <c r="A1830" s="17">
        <v>1828.0</v>
      </c>
      <c r="B1830" s="20">
        <v>49.0</v>
      </c>
      <c r="C1830" s="13" t="s">
        <v>5465</v>
      </c>
      <c r="D1830" s="13" t="s">
        <v>5464</v>
      </c>
      <c r="E1830" s="13" t="s">
        <v>11436</v>
      </c>
      <c r="F1830" s="15"/>
      <c r="G1830" s="15"/>
      <c r="H1830" s="46"/>
      <c r="I1830" s="46"/>
      <c r="J1830" s="46"/>
      <c r="K1830" s="46"/>
      <c r="L1830" s="46"/>
      <c r="M1830" s="46"/>
      <c r="N1830" s="46"/>
      <c r="O1830" s="46"/>
      <c r="P1830" s="46"/>
      <c r="Q1830" s="46"/>
      <c r="R1830" s="46"/>
      <c r="S1830" s="46"/>
      <c r="T1830" s="46"/>
      <c r="U1830" s="46"/>
      <c r="V1830" s="46"/>
      <c r="W1830" s="46"/>
      <c r="X1830" s="46"/>
      <c r="Y1830" s="46"/>
      <c r="Z1830" s="46"/>
    </row>
    <row r="1831" ht="22.5" customHeight="1">
      <c r="A1831" s="11">
        <v>1829.0</v>
      </c>
      <c r="B1831" s="20">
        <v>49.0</v>
      </c>
      <c r="C1831" s="13" t="s">
        <v>12408</v>
      </c>
      <c r="D1831" s="13" t="s">
        <v>12409</v>
      </c>
      <c r="E1831" s="13" t="s">
        <v>12410</v>
      </c>
      <c r="F1831" s="15"/>
      <c r="G1831" s="15"/>
      <c r="H1831" s="46"/>
      <c r="I1831" s="46"/>
      <c r="J1831" s="46"/>
      <c r="K1831" s="46"/>
      <c r="L1831" s="46"/>
      <c r="M1831" s="46"/>
      <c r="N1831" s="46"/>
      <c r="O1831" s="46"/>
      <c r="P1831" s="46"/>
      <c r="Q1831" s="46"/>
      <c r="R1831" s="46"/>
      <c r="S1831" s="46"/>
      <c r="T1831" s="46"/>
      <c r="U1831" s="46"/>
      <c r="V1831" s="46"/>
      <c r="W1831" s="46"/>
      <c r="X1831" s="46"/>
      <c r="Y1831" s="46"/>
      <c r="Z1831" s="46"/>
    </row>
    <row r="1832" ht="22.5" customHeight="1">
      <c r="A1832" s="17">
        <v>1830.0</v>
      </c>
      <c r="B1832" s="20">
        <v>48.0</v>
      </c>
      <c r="C1832" s="13" t="s">
        <v>12411</v>
      </c>
      <c r="D1832" s="13" t="s">
        <v>12412</v>
      </c>
      <c r="E1832" s="13" t="s">
        <v>12413</v>
      </c>
      <c r="F1832" s="15"/>
      <c r="G1832" s="15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  <c r="S1832" s="46"/>
      <c r="T1832" s="46"/>
      <c r="U1832" s="46"/>
      <c r="V1832" s="46"/>
      <c r="W1832" s="46"/>
      <c r="X1832" s="46"/>
      <c r="Y1832" s="46"/>
      <c r="Z1832" s="46"/>
    </row>
    <row r="1833" ht="22.5" customHeight="1">
      <c r="A1833" s="11">
        <v>1831.0</v>
      </c>
      <c r="B1833" s="20">
        <v>48.0</v>
      </c>
      <c r="C1833" s="13" t="s">
        <v>12414</v>
      </c>
      <c r="D1833" s="13" t="s">
        <v>12415</v>
      </c>
      <c r="E1833" s="13" t="s">
        <v>12416</v>
      </c>
      <c r="F1833" s="14" t="s">
        <v>18</v>
      </c>
      <c r="G1833" s="15"/>
      <c r="H1833" s="46"/>
      <c r="I1833" s="46"/>
      <c r="J1833" s="46"/>
      <c r="K1833" s="46"/>
      <c r="L1833" s="46"/>
      <c r="M1833" s="46"/>
      <c r="N1833" s="46"/>
      <c r="O1833" s="46"/>
      <c r="P1833" s="46"/>
      <c r="Q1833" s="46"/>
      <c r="R1833" s="46"/>
      <c r="S1833" s="46"/>
      <c r="T1833" s="46"/>
      <c r="U1833" s="46"/>
      <c r="V1833" s="46"/>
      <c r="W1833" s="46"/>
      <c r="X1833" s="46"/>
      <c r="Y1833" s="46"/>
      <c r="Z1833" s="46"/>
    </row>
    <row r="1834" ht="22.5" customHeight="1">
      <c r="A1834" s="17">
        <v>1832.0</v>
      </c>
      <c r="B1834" s="20">
        <v>48.0</v>
      </c>
      <c r="C1834" s="13" t="s">
        <v>12417</v>
      </c>
      <c r="D1834" s="13" t="s">
        <v>12418</v>
      </c>
      <c r="E1834" s="13" t="s">
        <v>12419</v>
      </c>
      <c r="F1834" s="15"/>
      <c r="G1834" s="15"/>
      <c r="H1834" s="46"/>
      <c r="I1834" s="46"/>
      <c r="J1834" s="46"/>
      <c r="K1834" s="46"/>
      <c r="L1834" s="46"/>
      <c r="M1834" s="46"/>
      <c r="N1834" s="46"/>
      <c r="O1834" s="46"/>
      <c r="P1834" s="46"/>
      <c r="Q1834" s="46"/>
      <c r="R1834" s="46"/>
      <c r="S1834" s="46"/>
      <c r="T1834" s="46"/>
      <c r="U1834" s="46"/>
      <c r="V1834" s="46"/>
      <c r="W1834" s="46"/>
      <c r="X1834" s="46"/>
      <c r="Y1834" s="46"/>
      <c r="Z1834" s="46"/>
    </row>
    <row r="1835" ht="22.5" customHeight="1">
      <c r="A1835" s="11">
        <v>1833.0</v>
      </c>
      <c r="B1835" s="20">
        <v>48.0</v>
      </c>
      <c r="C1835" s="13" t="s">
        <v>9787</v>
      </c>
      <c r="D1835" s="13" t="s">
        <v>9788</v>
      </c>
      <c r="E1835" s="13" t="s">
        <v>12420</v>
      </c>
      <c r="F1835" s="14" t="s">
        <v>18</v>
      </c>
      <c r="G1835" s="15"/>
      <c r="H1835" s="46"/>
      <c r="I1835" s="46"/>
      <c r="J1835" s="46"/>
      <c r="K1835" s="46"/>
      <c r="L1835" s="46"/>
      <c r="M1835" s="46"/>
      <c r="N1835" s="46"/>
      <c r="O1835" s="46"/>
      <c r="P1835" s="46"/>
      <c r="Q1835" s="46"/>
      <c r="R1835" s="46"/>
      <c r="S1835" s="46"/>
      <c r="T1835" s="46"/>
      <c r="U1835" s="46"/>
      <c r="V1835" s="46"/>
      <c r="W1835" s="46"/>
      <c r="X1835" s="46"/>
      <c r="Y1835" s="46"/>
      <c r="Z1835" s="46"/>
    </row>
    <row r="1836" ht="22.5" customHeight="1">
      <c r="A1836" s="17">
        <v>1834.0</v>
      </c>
      <c r="B1836" s="20">
        <v>48.0</v>
      </c>
      <c r="C1836" s="13" t="s">
        <v>11339</v>
      </c>
      <c r="D1836" s="13" t="s">
        <v>11340</v>
      </c>
      <c r="E1836" s="13" t="s">
        <v>12421</v>
      </c>
      <c r="F1836" s="14" t="s">
        <v>18</v>
      </c>
      <c r="G1836" s="15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  <c r="S1836" s="46"/>
      <c r="T1836" s="46"/>
      <c r="U1836" s="46"/>
      <c r="V1836" s="46"/>
      <c r="W1836" s="46"/>
      <c r="X1836" s="46"/>
      <c r="Y1836" s="46"/>
      <c r="Z1836" s="46"/>
    </row>
    <row r="1837" ht="22.5" customHeight="1">
      <c r="A1837" s="11">
        <v>1835.0</v>
      </c>
      <c r="B1837" s="20">
        <v>48.0</v>
      </c>
      <c r="C1837" s="13" t="s">
        <v>12422</v>
      </c>
      <c r="D1837" s="13" t="s">
        <v>12423</v>
      </c>
      <c r="E1837" s="13" t="s">
        <v>12424</v>
      </c>
      <c r="F1837" s="14" t="s">
        <v>18</v>
      </c>
      <c r="G1837" s="15"/>
      <c r="H1837" s="46"/>
      <c r="I1837" s="46"/>
      <c r="J1837" s="46"/>
      <c r="K1837" s="46"/>
      <c r="L1837" s="46"/>
      <c r="M1837" s="46"/>
      <c r="N1837" s="46"/>
      <c r="O1837" s="46"/>
      <c r="P1837" s="46"/>
      <c r="Q1837" s="46"/>
      <c r="R1837" s="46"/>
      <c r="S1837" s="46"/>
      <c r="T1837" s="46"/>
      <c r="U1837" s="46"/>
      <c r="V1837" s="46"/>
      <c r="W1837" s="46"/>
      <c r="X1837" s="46"/>
      <c r="Y1837" s="46"/>
      <c r="Z1837" s="46"/>
    </row>
    <row r="1838" ht="22.5" customHeight="1">
      <c r="A1838" s="17">
        <v>1836.0</v>
      </c>
      <c r="B1838" s="20">
        <v>48.0</v>
      </c>
      <c r="C1838" s="13" t="s">
        <v>12425</v>
      </c>
      <c r="D1838" s="13" t="s">
        <v>12426</v>
      </c>
      <c r="E1838" s="13" t="s">
        <v>12427</v>
      </c>
      <c r="F1838" s="14" t="s">
        <v>18</v>
      </c>
      <c r="G1838" s="15"/>
      <c r="H1838" s="46"/>
      <c r="I1838" s="46"/>
      <c r="J1838" s="46"/>
      <c r="K1838" s="46"/>
      <c r="L1838" s="46"/>
      <c r="M1838" s="46"/>
      <c r="N1838" s="46"/>
      <c r="O1838" s="46"/>
      <c r="P1838" s="46"/>
      <c r="Q1838" s="46"/>
      <c r="R1838" s="46"/>
      <c r="S1838" s="46"/>
      <c r="T1838" s="46"/>
      <c r="U1838" s="46"/>
      <c r="V1838" s="46"/>
      <c r="W1838" s="46"/>
      <c r="X1838" s="46"/>
      <c r="Y1838" s="46"/>
      <c r="Z1838" s="46"/>
    </row>
    <row r="1839" ht="22.5" customHeight="1">
      <c r="A1839" s="11">
        <v>1837.0</v>
      </c>
      <c r="B1839" s="20">
        <v>48.0</v>
      </c>
      <c r="C1839" s="13" t="s">
        <v>12428</v>
      </c>
      <c r="D1839" s="13" t="s">
        <v>12429</v>
      </c>
      <c r="E1839" s="13" t="s">
        <v>12430</v>
      </c>
      <c r="F1839" s="15"/>
      <c r="G1839" s="15"/>
      <c r="H1839" s="46"/>
      <c r="I1839" s="46"/>
      <c r="J1839" s="46"/>
      <c r="K1839" s="46"/>
      <c r="L1839" s="46"/>
      <c r="M1839" s="46"/>
      <c r="N1839" s="46"/>
      <c r="O1839" s="46"/>
      <c r="P1839" s="46"/>
      <c r="Q1839" s="46"/>
      <c r="R1839" s="46"/>
      <c r="S1839" s="46"/>
      <c r="T1839" s="46"/>
      <c r="U1839" s="46"/>
      <c r="V1839" s="46"/>
      <c r="W1839" s="46"/>
      <c r="X1839" s="46"/>
      <c r="Y1839" s="46"/>
      <c r="Z1839" s="46"/>
    </row>
    <row r="1840" ht="22.5" customHeight="1">
      <c r="A1840" s="17">
        <v>1838.0</v>
      </c>
      <c r="B1840" s="20">
        <v>48.0</v>
      </c>
      <c r="C1840" s="13" t="s">
        <v>12431</v>
      </c>
      <c r="D1840" s="13" t="s">
        <v>12432</v>
      </c>
      <c r="E1840" s="13" t="s">
        <v>12433</v>
      </c>
      <c r="F1840" s="14" t="s">
        <v>18</v>
      </c>
      <c r="G1840" s="15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  <c r="S1840" s="46"/>
      <c r="T1840" s="46"/>
      <c r="U1840" s="46"/>
      <c r="V1840" s="46"/>
      <c r="W1840" s="46"/>
      <c r="X1840" s="46"/>
      <c r="Y1840" s="46"/>
      <c r="Z1840" s="46"/>
    </row>
    <row r="1841" ht="22.5" customHeight="1">
      <c r="A1841" s="11">
        <v>1839.0</v>
      </c>
      <c r="B1841" s="20">
        <v>48.0</v>
      </c>
      <c r="C1841" s="13" t="s">
        <v>12434</v>
      </c>
      <c r="D1841" s="13" t="s">
        <v>2868</v>
      </c>
      <c r="E1841" s="13" t="s">
        <v>2869</v>
      </c>
      <c r="F1841" s="14" t="s">
        <v>18</v>
      </c>
      <c r="G1841" s="15"/>
      <c r="H1841" s="46"/>
      <c r="I1841" s="46"/>
      <c r="J1841" s="46"/>
      <c r="K1841" s="46"/>
      <c r="L1841" s="46"/>
      <c r="M1841" s="46"/>
      <c r="N1841" s="46"/>
      <c r="O1841" s="46"/>
      <c r="P1841" s="46"/>
      <c r="Q1841" s="46"/>
      <c r="R1841" s="46"/>
      <c r="S1841" s="46"/>
      <c r="T1841" s="46"/>
      <c r="U1841" s="46"/>
      <c r="V1841" s="46"/>
      <c r="W1841" s="46"/>
      <c r="X1841" s="46"/>
      <c r="Y1841" s="46"/>
      <c r="Z1841" s="46"/>
    </row>
    <row r="1842" ht="22.5" customHeight="1">
      <c r="A1842" s="17">
        <v>1840.0</v>
      </c>
      <c r="B1842" s="20">
        <v>48.0</v>
      </c>
      <c r="C1842" s="13" t="s">
        <v>12435</v>
      </c>
      <c r="D1842" s="13" t="s">
        <v>2506</v>
      </c>
      <c r="E1842" s="13" t="s">
        <v>2714</v>
      </c>
      <c r="F1842" s="14" t="s">
        <v>18</v>
      </c>
      <c r="G1842" s="15"/>
      <c r="H1842" s="46"/>
      <c r="I1842" s="46"/>
      <c r="J1842" s="46"/>
      <c r="K1842" s="46"/>
      <c r="L1842" s="46"/>
      <c r="M1842" s="46"/>
      <c r="N1842" s="46"/>
      <c r="O1842" s="46"/>
      <c r="P1842" s="46"/>
      <c r="Q1842" s="46"/>
      <c r="R1842" s="46"/>
      <c r="S1842" s="46"/>
      <c r="T1842" s="46"/>
      <c r="U1842" s="46"/>
      <c r="V1842" s="46"/>
      <c r="W1842" s="46"/>
      <c r="X1842" s="46"/>
      <c r="Y1842" s="46"/>
      <c r="Z1842" s="46"/>
    </row>
    <row r="1843" ht="22.5" customHeight="1">
      <c r="A1843" s="11">
        <v>1841.0</v>
      </c>
      <c r="B1843" s="20">
        <v>48.0</v>
      </c>
      <c r="C1843" s="13" t="s">
        <v>12436</v>
      </c>
      <c r="D1843" s="13" t="s">
        <v>12437</v>
      </c>
      <c r="E1843" s="13" t="s">
        <v>12438</v>
      </c>
      <c r="F1843" s="14" t="s">
        <v>18</v>
      </c>
      <c r="G1843" s="15"/>
      <c r="H1843" s="46"/>
      <c r="I1843" s="46"/>
      <c r="J1843" s="46"/>
      <c r="K1843" s="46"/>
      <c r="L1843" s="46"/>
      <c r="M1843" s="46"/>
      <c r="N1843" s="46"/>
      <c r="O1843" s="46"/>
      <c r="P1843" s="46"/>
      <c r="Q1843" s="46"/>
      <c r="R1843" s="46"/>
      <c r="S1843" s="46"/>
      <c r="T1843" s="46"/>
      <c r="U1843" s="46"/>
      <c r="V1843" s="46"/>
      <c r="W1843" s="46"/>
      <c r="X1843" s="46"/>
      <c r="Y1843" s="46"/>
      <c r="Z1843" s="46"/>
    </row>
    <row r="1844" ht="22.5" customHeight="1">
      <c r="A1844" s="17">
        <v>1842.0</v>
      </c>
      <c r="B1844" s="20">
        <v>48.0</v>
      </c>
      <c r="C1844" s="13" t="s">
        <v>12439</v>
      </c>
      <c r="D1844" s="13" t="s">
        <v>12440</v>
      </c>
      <c r="E1844" s="13" t="s">
        <v>12441</v>
      </c>
      <c r="F1844" s="15"/>
      <c r="G1844" s="15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  <c r="S1844" s="46"/>
      <c r="T1844" s="46"/>
      <c r="U1844" s="46"/>
      <c r="V1844" s="46"/>
      <c r="W1844" s="46"/>
      <c r="X1844" s="46"/>
      <c r="Y1844" s="46"/>
      <c r="Z1844" s="46"/>
    </row>
    <row r="1845" ht="22.5" customHeight="1">
      <c r="A1845" s="11">
        <v>1843.0</v>
      </c>
      <c r="B1845" s="20">
        <v>48.0</v>
      </c>
      <c r="C1845" s="13" t="s">
        <v>12442</v>
      </c>
      <c r="D1845" s="13" t="s">
        <v>12443</v>
      </c>
      <c r="E1845" s="13" t="s">
        <v>12444</v>
      </c>
      <c r="F1845" s="14" t="s">
        <v>18</v>
      </c>
      <c r="G1845" s="15"/>
      <c r="H1845" s="46"/>
      <c r="I1845" s="46"/>
      <c r="J1845" s="46"/>
      <c r="K1845" s="46"/>
      <c r="L1845" s="46"/>
      <c r="M1845" s="46"/>
      <c r="N1845" s="46"/>
      <c r="O1845" s="46"/>
      <c r="P1845" s="46"/>
      <c r="Q1845" s="46"/>
      <c r="R1845" s="46"/>
      <c r="S1845" s="46"/>
      <c r="T1845" s="46"/>
      <c r="U1845" s="46"/>
      <c r="V1845" s="46"/>
      <c r="W1845" s="46"/>
      <c r="X1845" s="46"/>
      <c r="Y1845" s="46"/>
      <c r="Z1845" s="46"/>
    </row>
    <row r="1846" ht="22.5" customHeight="1">
      <c r="A1846" s="17">
        <v>1844.0</v>
      </c>
      <c r="B1846" s="20">
        <v>48.0</v>
      </c>
      <c r="C1846" s="13" t="s">
        <v>5094</v>
      </c>
      <c r="D1846" s="13" t="s">
        <v>3486</v>
      </c>
      <c r="E1846" s="13" t="s">
        <v>10168</v>
      </c>
      <c r="F1846" s="15"/>
      <c r="G1846" s="15"/>
      <c r="H1846" s="46"/>
      <c r="I1846" s="46"/>
      <c r="J1846" s="46"/>
      <c r="K1846" s="46"/>
      <c r="L1846" s="46"/>
      <c r="M1846" s="46"/>
      <c r="N1846" s="46"/>
      <c r="O1846" s="46"/>
      <c r="P1846" s="46"/>
      <c r="Q1846" s="46"/>
      <c r="R1846" s="46"/>
      <c r="S1846" s="46"/>
      <c r="T1846" s="46"/>
      <c r="U1846" s="46"/>
      <c r="V1846" s="46"/>
      <c r="W1846" s="46"/>
      <c r="X1846" s="46"/>
      <c r="Y1846" s="46"/>
      <c r="Z1846" s="46"/>
    </row>
    <row r="1847" ht="22.5" customHeight="1">
      <c r="A1847" s="11">
        <v>1845.0</v>
      </c>
      <c r="B1847" s="20">
        <v>48.0</v>
      </c>
      <c r="C1847" s="13" t="s">
        <v>11400</v>
      </c>
      <c r="D1847" s="13" t="s">
        <v>11401</v>
      </c>
      <c r="E1847" s="13" t="s">
        <v>11402</v>
      </c>
      <c r="F1847" s="15"/>
      <c r="G1847" s="15"/>
      <c r="H1847" s="46"/>
      <c r="I1847" s="46"/>
      <c r="J1847" s="46"/>
      <c r="K1847" s="46"/>
      <c r="L1847" s="46"/>
      <c r="M1847" s="46"/>
      <c r="N1847" s="46"/>
      <c r="O1847" s="46"/>
      <c r="P1847" s="46"/>
      <c r="Q1847" s="46"/>
      <c r="R1847" s="46"/>
      <c r="S1847" s="46"/>
      <c r="T1847" s="46"/>
      <c r="U1847" s="46"/>
      <c r="V1847" s="46"/>
      <c r="W1847" s="46"/>
      <c r="X1847" s="46"/>
      <c r="Y1847" s="46"/>
      <c r="Z1847" s="46"/>
    </row>
    <row r="1848" ht="22.5" customHeight="1">
      <c r="A1848" s="17">
        <v>1846.0</v>
      </c>
      <c r="B1848" s="20">
        <v>48.0</v>
      </c>
      <c r="C1848" s="13" t="s">
        <v>12445</v>
      </c>
      <c r="D1848" s="13" t="s">
        <v>12446</v>
      </c>
      <c r="E1848" s="13" t="s">
        <v>12447</v>
      </c>
      <c r="F1848" s="14" t="s">
        <v>18</v>
      </c>
      <c r="G1848" s="15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  <c r="S1848" s="46"/>
      <c r="T1848" s="46"/>
      <c r="U1848" s="46"/>
      <c r="V1848" s="46"/>
      <c r="W1848" s="46"/>
      <c r="X1848" s="46"/>
      <c r="Y1848" s="46"/>
      <c r="Z1848" s="46"/>
    </row>
    <row r="1849" ht="22.5" customHeight="1">
      <c r="A1849" s="11">
        <v>1847.0</v>
      </c>
      <c r="B1849" s="20">
        <v>48.0</v>
      </c>
      <c r="C1849" s="13" t="s">
        <v>12448</v>
      </c>
      <c r="D1849" s="13" t="s">
        <v>12449</v>
      </c>
      <c r="E1849" s="13" t="s">
        <v>12450</v>
      </c>
      <c r="F1849" s="14" t="s">
        <v>18</v>
      </c>
      <c r="G1849" s="15"/>
      <c r="H1849" s="46"/>
      <c r="I1849" s="46"/>
      <c r="J1849" s="46"/>
      <c r="K1849" s="46"/>
      <c r="L1849" s="46"/>
      <c r="M1849" s="46"/>
      <c r="N1849" s="46"/>
      <c r="O1849" s="46"/>
      <c r="P1849" s="46"/>
      <c r="Q1849" s="46"/>
      <c r="R1849" s="46"/>
      <c r="S1849" s="46"/>
      <c r="T1849" s="46"/>
      <c r="U1849" s="46"/>
      <c r="V1849" s="46"/>
      <c r="W1849" s="46"/>
      <c r="X1849" s="46"/>
      <c r="Y1849" s="46"/>
      <c r="Z1849" s="46"/>
    </row>
    <row r="1850" ht="22.5" customHeight="1">
      <c r="A1850" s="17">
        <v>1848.0</v>
      </c>
      <c r="B1850" s="20">
        <v>48.0</v>
      </c>
      <c r="C1850" s="13" t="s">
        <v>8960</v>
      </c>
      <c r="D1850" s="13" t="s">
        <v>8961</v>
      </c>
      <c r="E1850" s="13" t="s">
        <v>12130</v>
      </c>
      <c r="F1850" s="15"/>
      <c r="G1850" s="15"/>
      <c r="H1850" s="46"/>
      <c r="I1850" s="46"/>
      <c r="J1850" s="46"/>
      <c r="K1850" s="46"/>
      <c r="L1850" s="46"/>
      <c r="M1850" s="46"/>
      <c r="N1850" s="46"/>
      <c r="O1850" s="46"/>
      <c r="P1850" s="46"/>
      <c r="Q1850" s="46"/>
      <c r="R1850" s="46"/>
      <c r="S1850" s="46"/>
      <c r="T1850" s="46"/>
      <c r="U1850" s="46"/>
      <c r="V1850" s="46"/>
      <c r="W1850" s="46"/>
      <c r="X1850" s="46"/>
      <c r="Y1850" s="46"/>
      <c r="Z1850" s="46"/>
    </row>
    <row r="1851" ht="22.5" customHeight="1">
      <c r="A1851" s="11">
        <v>1849.0</v>
      </c>
      <c r="B1851" s="20">
        <v>48.0</v>
      </c>
      <c r="C1851" s="13" t="s">
        <v>12451</v>
      </c>
      <c r="D1851" s="13" t="s">
        <v>12452</v>
      </c>
      <c r="E1851" s="13" t="s">
        <v>12453</v>
      </c>
      <c r="F1851" s="14" t="s">
        <v>18</v>
      </c>
      <c r="G1851" s="15"/>
      <c r="H1851" s="46"/>
      <c r="I1851" s="46"/>
      <c r="J1851" s="46"/>
      <c r="K1851" s="46"/>
      <c r="L1851" s="46"/>
      <c r="M1851" s="46"/>
      <c r="N1851" s="46"/>
      <c r="O1851" s="46"/>
      <c r="P1851" s="46"/>
      <c r="Q1851" s="46"/>
      <c r="R1851" s="46"/>
      <c r="S1851" s="46"/>
      <c r="T1851" s="46"/>
      <c r="U1851" s="46"/>
      <c r="V1851" s="46"/>
      <c r="W1851" s="46"/>
      <c r="X1851" s="46"/>
      <c r="Y1851" s="46"/>
      <c r="Z1851" s="46"/>
    </row>
    <row r="1852" ht="22.5" customHeight="1">
      <c r="A1852" s="17">
        <v>1850.0</v>
      </c>
      <c r="B1852" s="20">
        <v>48.0</v>
      </c>
      <c r="C1852" s="13" t="s">
        <v>4411</v>
      </c>
      <c r="D1852" s="13" t="s">
        <v>4410</v>
      </c>
      <c r="E1852" s="13" t="s">
        <v>12454</v>
      </c>
      <c r="F1852" s="15"/>
      <c r="G1852" s="15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  <c r="X1852" s="46"/>
      <c r="Y1852" s="46"/>
      <c r="Z1852" s="46"/>
    </row>
    <row r="1853" ht="22.5" customHeight="1">
      <c r="A1853" s="11">
        <v>1851.0</v>
      </c>
      <c r="B1853" s="20">
        <v>48.0</v>
      </c>
      <c r="C1853" s="13" t="s">
        <v>10199</v>
      </c>
      <c r="D1853" s="13" t="s">
        <v>10200</v>
      </c>
      <c r="E1853" s="13" t="s">
        <v>10395</v>
      </c>
      <c r="F1853" s="15"/>
      <c r="G1853" s="15"/>
      <c r="H1853" s="46"/>
      <c r="I1853" s="46"/>
      <c r="J1853" s="46"/>
      <c r="K1853" s="46"/>
      <c r="L1853" s="46"/>
      <c r="M1853" s="46"/>
      <c r="N1853" s="46"/>
      <c r="O1853" s="46"/>
      <c r="P1853" s="46"/>
      <c r="Q1853" s="46"/>
      <c r="R1853" s="46"/>
      <c r="S1853" s="46"/>
      <c r="T1853" s="46"/>
      <c r="U1853" s="46"/>
      <c r="V1853" s="46"/>
      <c r="W1853" s="46"/>
      <c r="X1853" s="46"/>
      <c r="Y1853" s="46"/>
      <c r="Z1853" s="46"/>
    </row>
    <row r="1854" ht="22.5" customHeight="1">
      <c r="A1854" s="17">
        <v>1852.0</v>
      </c>
      <c r="B1854" s="20">
        <v>48.0</v>
      </c>
      <c r="C1854" s="13" t="s">
        <v>12455</v>
      </c>
      <c r="D1854" s="13" t="s">
        <v>12456</v>
      </c>
      <c r="E1854" s="13" t="s">
        <v>12457</v>
      </c>
      <c r="F1854" s="15"/>
      <c r="G1854" s="15"/>
      <c r="H1854" s="46"/>
      <c r="I1854" s="46"/>
      <c r="J1854" s="46"/>
      <c r="K1854" s="46"/>
      <c r="L1854" s="46"/>
      <c r="M1854" s="46"/>
      <c r="N1854" s="46"/>
      <c r="O1854" s="46"/>
      <c r="P1854" s="46"/>
      <c r="Q1854" s="46"/>
      <c r="R1854" s="46"/>
      <c r="S1854" s="46"/>
      <c r="T1854" s="46"/>
      <c r="U1854" s="46"/>
      <c r="V1854" s="46"/>
      <c r="W1854" s="46"/>
      <c r="X1854" s="46"/>
      <c r="Y1854" s="46"/>
      <c r="Z1854" s="46"/>
    </row>
    <row r="1855" ht="22.5" customHeight="1">
      <c r="A1855" s="11">
        <v>1853.0</v>
      </c>
      <c r="B1855" s="20">
        <v>48.0</v>
      </c>
      <c r="C1855" s="13" t="s">
        <v>4645</v>
      </c>
      <c r="D1855" s="13" t="s">
        <v>12458</v>
      </c>
      <c r="E1855" s="13" t="s">
        <v>12459</v>
      </c>
      <c r="F1855" s="15"/>
      <c r="G1855" s="15"/>
      <c r="H1855" s="46"/>
      <c r="I1855" s="46"/>
      <c r="J1855" s="46"/>
      <c r="K1855" s="46"/>
      <c r="L1855" s="46"/>
      <c r="M1855" s="46"/>
      <c r="N1855" s="46"/>
      <c r="O1855" s="46"/>
      <c r="P1855" s="46"/>
      <c r="Q1855" s="46"/>
      <c r="R1855" s="46"/>
      <c r="S1855" s="46"/>
      <c r="T1855" s="46"/>
      <c r="U1855" s="46"/>
      <c r="V1855" s="46"/>
      <c r="W1855" s="46"/>
      <c r="X1855" s="46"/>
      <c r="Y1855" s="46"/>
      <c r="Z1855" s="46"/>
    </row>
    <row r="1856" ht="22.5" customHeight="1">
      <c r="A1856" s="17">
        <v>1854.0</v>
      </c>
      <c r="B1856" s="20">
        <v>48.0</v>
      </c>
      <c r="C1856" s="13" t="s">
        <v>12460</v>
      </c>
      <c r="D1856" s="13" t="s">
        <v>12461</v>
      </c>
      <c r="E1856" s="13" t="s">
        <v>12462</v>
      </c>
      <c r="F1856" s="14" t="s">
        <v>18</v>
      </c>
      <c r="G1856" s="15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  <c r="S1856" s="46"/>
      <c r="T1856" s="46"/>
      <c r="U1856" s="46"/>
      <c r="V1856" s="46"/>
      <c r="W1856" s="46"/>
      <c r="X1856" s="46"/>
      <c r="Y1856" s="46"/>
      <c r="Z1856" s="46"/>
    </row>
    <row r="1857" ht="22.5" customHeight="1">
      <c r="A1857" s="11">
        <v>1855.0</v>
      </c>
      <c r="B1857" s="20">
        <v>48.0</v>
      </c>
      <c r="C1857" s="13" t="s">
        <v>10641</v>
      </c>
      <c r="D1857" s="13" t="s">
        <v>10642</v>
      </c>
      <c r="E1857" s="13" t="s">
        <v>12463</v>
      </c>
      <c r="F1857" s="15"/>
      <c r="G1857" s="15"/>
      <c r="H1857" s="46"/>
      <c r="I1857" s="46"/>
      <c r="J1857" s="46"/>
      <c r="K1857" s="46"/>
      <c r="L1857" s="46"/>
      <c r="M1857" s="46"/>
      <c r="N1857" s="46"/>
      <c r="O1857" s="46"/>
      <c r="P1857" s="46"/>
      <c r="Q1857" s="46"/>
      <c r="R1857" s="46"/>
      <c r="S1857" s="46"/>
      <c r="T1857" s="46"/>
      <c r="U1857" s="46"/>
      <c r="V1857" s="46"/>
      <c r="W1857" s="46"/>
      <c r="X1857" s="46"/>
      <c r="Y1857" s="46"/>
      <c r="Z1857" s="46"/>
    </row>
    <row r="1858" ht="22.5" customHeight="1">
      <c r="A1858" s="17">
        <v>1856.0</v>
      </c>
      <c r="B1858" s="20">
        <v>48.0</v>
      </c>
      <c r="C1858" s="13" t="s">
        <v>10076</v>
      </c>
      <c r="D1858" s="13" t="s">
        <v>10077</v>
      </c>
      <c r="E1858" s="13" t="s">
        <v>10078</v>
      </c>
      <c r="F1858" s="14" t="s">
        <v>18</v>
      </c>
      <c r="G1858" s="15"/>
      <c r="H1858" s="46"/>
      <c r="I1858" s="46"/>
      <c r="J1858" s="46"/>
      <c r="K1858" s="46"/>
      <c r="L1858" s="46"/>
      <c r="M1858" s="46"/>
      <c r="N1858" s="46"/>
      <c r="O1858" s="46"/>
      <c r="P1858" s="46"/>
      <c r="Q1858" s="46"/>
      <c r="R1858" s="46"/>
      <c r="S1858" s="46"/>
      <c r="T1858" s="46"/>
      <c r="U1858" s="46"/>
      <c r="V1858" s="46"/>
      <c r="W1858" s="46"/>
      <c r="X1858" s="46"/>
      <c r="Y1858" s="46"/>
      <c r="Z1858" s="46"/>
    </row>
    <row r="1859" ht="22.5" customHeight="1">
      <c r="A1859" s="11">
        <v>1857.0</v>
      </c>
      <c r="B1859" s="20">
        <v>48.0</v>
      </c>
      <c r="C1859" s="13" t="s">
        <v>8752</v>
      </c>
      <c r="D1859" s="13" t="s">
        <v>1254</v>
      </c>
      <c r="E1859" s="13" t="s">
        <v>3392</v>
      </c>
      <c r="F1859" s="15"/>
      <c r="G1859" s="15"/>
      <c r="H1859" s="46"/>
      <c r="I1859" s="46"/>
      <c r="J1859" s="46"/>
      <c r="K1859" s="46"/>
      <c r="L1859" s="46"/>
      <c r="M1859" s="46"/>
      <c r="N1859" s="46"/>
      <c r="O1859" s="46"/>
      <c r="P1859" s="46"/>
      <c r="Q1859" s="46"/>
      <c r="R1859" s="46"/>
      <c r="S1859" s="46"/>
      <c r="T1859" s="46"/>
      <c r="U1859" s="46"/>
      <c r="V1859" s="46"/>
      <c r="W1859" s="46"/>
      <c r="X1859" s="46"/>
      <c r="Y1859" s="46"/>
      <c r="Z1859" s="46"/>
    </row>
    <row r="1860" ht="22.5" customHeight="1">
      <c r="A1860" s="17">
        <v>1858.0</v>
      </c>
      <c r="B1860" s="20">
        <v>48.0</v>
      </c>
      <c r="C1860" s="13" t="s">
        <v>6443</v>
      </c>
      <c r="D1860" s="13" t="s">
        <v>6442</v>
      </c>
      <c r="E1860" s="13" t="s">
        <v>12464</v>
      </c>
      <c r="F1860" s="15"/>
      <c r="G1860" s="15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  <c r="S1860" s="46"/>
      <c r="T1860" s="46"/>
      <c r="U1860" s="46"/>
      <c r="V1860" s="46"/>
      <c r="W1860" s="46"/>
      <c r="X1860" s="46"/>
      <c r="Y1860" s="46"/>
      <c r="Z1860" s="46"/>
    </row>
    <row r="1861" ht="22.5" customHeight="1">
      <c r="A1861" s="11">
        <v>1859.0</v>
      </c>
      <c r="B1861" s="20">
        <v>48.0</v>
      </c>
      <c r="C1861" s="13" t="s">
        <v>9256</v>
      </c>
      <c r="D1861" s="13" t="s">
        <v>9257</v>
      </c>
      <c r="E1861" s="13" t="s">
        <v>9258</v>
      </c>
      <c r="F1861" s="15"/>
      <c r="G1861" s="15"/>
      <c r="H1861" s="46"/>
      <c r="I1861" s="46"/>
      <c r="J1861" s="46"/>
      <c r="K1861" s="46"/>
      <c r="L1861" s="46"/>
      <c r="M1861" s="46"/>
      <c r="N1861" s="46"/>
      <c r="O1861" s="46"/>
      <c r="P1861" s="46"/>
      <c r="Q1861" s="46"/>
      <c r="R1861" s="46"/>
      <c r="S1861" s="46"/>
      <c r="T1861" s="46"/>
      <c r="U1861" s="46"/>
      <c r="V1861" s="46"/>
      <c r="W1861" s="46"/>
      <c r="X1861" s="46"/>
      <c r="Y1861" s="46"/>
      <c r="Z1861" s="46"/>
    </row>
    <row r="1862" ht="22.5" customHeight="1">
      <c r="A1862" s="17">
        <v>1860.0</v>
      </c>
      <c r="B1862" s="20">
        <v>47.0</v>
      </c>
      <c r="C1862" s="13" t="s">
        <v>5675</v>
      </c>
      <c r="D1862" s="13" t="s">
        <v>5674</v>
      </c>
      <c r="E1862" s="13" t="s">
        <v>12465</v>
      </c>
      <c r="F1862" s="15"/>
      <c r="G1862" s="15"/>
      <c r="H1862" s="46"/>
      <c r="I1862" s="46"/>
      <c r="J1862" s="46"/>
      <c r="K1862" s="46"/>
      <c r="L1862" s="46"/>
      <c r="M1862" s="46"/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</row>
    <row r="1863" ht="22.5" customHeight="1">
      <c r="A1863" s="11">
        <v>1861.0</v>
      </c>
      <c r="B1863" s="20">
        <v>47.0</v>
      </c>
      <c r="C1863" s="13" t="s">
        <v>6034</v>
      </c>
      <c r="D1863" s="13" t="s">
        <v>6033</v>
      </c>
      <c r="E1863" s="13" t="s">
        <v>12466</v>
      </c>
      <c r="F1863" s="15"/>
      <c r="G1863" s="15"/>
      <c r="H1863" s="46"/>
      <c r="I1863" s="46"/>
      <c r="J1863" s="46"/>
      <c r="K1863" s="46"/>
      <c r="L1863" s="46"/>
      <c r="M1863" s="46"/>
      <c r="N1863" s="46"/>
      <c r="O1863" s="46"/>
      <c r="P1863" s="46"/>
      <c r="Q1863" s="46"/>
      <c r="R1863" s="46"/>
      <c r="S1863" s="46"/>
      <c r="T1863" s="46"/>
      <c r="U1863" s="46"/>
      <c r="V1863" s="46"/>
      <c r="W1863" s="46"/>
      <c r="X1863" s="46"/>
      <c r="Y1863" s="46"/>
      <c r="Z1863" s="46"/>
    </row>
    <row r="1864" ht="22.5" customHeight="1">
      <c r="A1864" s="17">
        <v>1862.0</v>
      </c>
      <c r="B1864" s="20">
        <v>47.0</v>
      </c>
      <c r="C1864" s="13" t="s">
        <v>9140</v>
      </c>
      <c r="D1864" s="13" t="s">
        <v>9141</v>
      </c>
      <c r="E1864" s="13" t="s">
        <v>12467</v>
      </c>
      <c r="F1864" s="14" t="s">
        <v>18</v>
      </c>
      <c r="G1864" s="15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  <c r="S1864" s="46"/>
      <c r="T1864" s="46"/>
      <c r="U1864" s="46"/>
      <c r="V1864" s="46"/>
      <c r="W1864" s="46"/>
      <c r="X1864" s="46"/>
      <c r="Y1864" s="46"/>
      <c r="Z1864" s="46"/>
    </row>
    <row r="1865" ht="22.5" customHeight="1">
      <c r="A1865" s="11">
        <v>1863.0</v>
      </c>
      <c r="B1865" s="20">
        <v>47.0</v>
      </c>
      <c r="C1865" s="13" t="s">
        <v>9565</v>
      </c>
      <c r="D1865" s="13" t="s">
        <v>9566</v>
      </c>
      <c r="E1865" s="13" t="s">
        <v>9567</v>
      </c>
      <c r="F1865" s="14" t="s">
        <v>18</v>
      </c>
      <c r="G1865" s="15"/>
      <c r="H1865" s="46"/>
      <c r="I1865" s="46"/>
      <c r="J1865" s="46"/>
      <c r="K1865" s="46"/>
      <c r="L1865" s="46"/>
      <c r="M1865" s="46"/>
      <c r="N1865" s="46"/>
      <c r="O1865" s="46"/>
      <c r="P1865" s="46"/>
      <c r="Q1865" s="46"/>
      <c r="R1865" s="46"/>
      <c r="S1865" s="46"/>
      <c r="T1865" s="46"/>
      <c r="U1865" s="46"/>
      <c r="V1865" s="46"/>
      <c r="W1865" s="46"/>
      <c r="X1865" s="46"/>
      <c r="Y1865" s="46"/>
      <c r="Z1865" s="46"/>
    </row>
    <row r="1866" ht="22.5" customHeight="1">
      <c r="A1866" s="17">
        <v>1864.0</v>
      </c>
      <c r="B1866" s="20">
        <v>47.0</v>
      </c>
      <c r="C1866" s="13" t="s">
        <v>10266</v>
      </c>
      <c r="D1866" s="13" t="s">
        <v>10267</v>
      </c>
      <c r="E1866" s="13" t="s">
        <v>12468</v>
      </c>
      <c r="F1866" s="15"/>
      <c r="G1866" s="15"/>
      <c r="H1866" s="46"/>
      <c r="I1866" s="46"/>
      <c r="J1866" s="46"/>
      <c r="K1866" s="46"/>
      <c r="L1866" s="46"/>
      <c r="M1866" s="46"/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  <c r="X1866" s="46"/>
      <c r="Y1866" s="46"/>
      <c r="Z1866" s="46"/>
    </row>
    <row r="1867" ht="22.5" customHeight="1">
      <c r="A1867" s="11">
        <v>1865.0</v>
      </c>
      <c r="B1867" s="20">
        <v>47.0</v>
      </c>
      <c r="C1867" s="13" t="s">
        <v>12469</v>
      </c>
      <c r="D1867" s="13" t="s">
        <v>12470</v>
      </c>
      <c r="E1867" s="13" t="s">
        <v>12471</v>
      </c>
      <c r="F1867" s="15"/>
      <c r="G1867" s="15"/>
      <c r="H1867" s="46"/>
      <c r="I1867" s="46"/>
      <c r="J1867" s="46"/>
      <c r="K1867" s="46"/>
      <c r="L1867" s="46"/>
      <c r="M1867" s="46"/>
      <c r="N1867" s="46"/>
      <c r="O1867" s="46"/>
      <c r="P1867" s="46"/>
      <c r="Q1867" s="46"/>
      <c r="R1867" s="46"/>
      <c r="S1867" s="46"/>
      <c r="T1867" s="46"/>
      <c r="U1867" s="46"/>
      <c r="V1867" s="46"/>
      <c r="W1867" s="46"/>
      <c r="X1867" s="46"/>
      <c r="Y1867" s="46"/>
      <c r="Z1867" s="46"/>
    </row>
    <row r="1868" ht="22.5" customHeight="1">
      <c r="A1868" s="17">
        <v>1866.0</v>
      </c>
      <c r="B1868" s="20">
        <v>47.0</v>
      </c>
      <c r="C1868" s="13" t="s">
        <v>4563</v>
      </c>
      <c r="D1868" s="13" t="s">
        <v>4562</v>
      </c>
      <c r="E1868" s="13" t="s">
        <v>12472</v>
      </c>
      <c r="F1868" s="15"/>
      <c r="G1868" s="15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  <c r="S1868" s="46"/>
      <c r="T1868" s="46"/>
      <c r="U1868" s="46"/>
      <c r="V1868" s="46"/>
      <c r="W1868" s="46"/>
      <c r="X1868" s="46"/>
      <c r="Y1868" s="46"/>
      <c r="Z1868" s="46"/>
    </row>
    <row r="1869" ht="22.5" customHeight="1">
      <c r="A1869" s="11">
        <v>1867.0</v>
      </c>
      <c r="B1869" s="20">
        <v>47.0</v>
      </c>
      <c r="C1869" s="13" t="s">
        <v>9629</v>
      </c>
      <c r="D1869" s="13" t="s">
        <v>9630</v>
      </c>
      <c r="E1869" s="13" t="s">
        <v>9631</v>
      </c>
      <c r="F1869" s="15"/>
      <c r="G1869" s="15"/>
      <c r="H1869" s="46"/>
      <c r="I1869" s="46"/>
      <c r="J1869" s="46"/>
      <c r="K1869" s="46"/>
      <c r="L1869" s="46"/>
      <c r="M1869" s="46"/>
      <c r="N1869" s="46"/>
      <c r="O1869" s="46"/>
      <c r="P1869" s="46"/>
      <c r="Q1869" s="46"/>
      <c r="R1869" s="46"/>
      <c r="S1869" s="46"/>
      <c r="T1869" s="46"/>
      <c r="U1869" s="46"/>
      <c r="V1869" s="46"/>
      <c r="W1869" s="46"/>
      <c r="X1869" s="46"/>
      <c r="Y1869" s="46"/>
      <c r="Z1869" s="46"/>
    </row>
    <row r="1870" ht="22.5" customHeight="1">
      <c r="A1870" s="17">
        <v>1868.0</v>
      </c>
      <c r="B1870" s="20">
        <v>47.0</v>
      </c>
      <c r="C1870" s="13" t="s">
        <v>12473</v>
      </c>
      <c r="D1870" s="13" t="s">
        <v>12474</v>
      </c>
      <c r="E1870" s="13" t="s">
        <v>12475</v>
      </c>
      <c r="F1870" s="14" t="s">
        <v>18</v>
      </c>
      <c r="G1870" s="15"/>
      <c r="H1870" s="46"/>
      <c r="I1870" s="46"/>
      <c r="J1870" s="46"/>
      <c r="K1870" s="46"/>
      <c r="L1870" s="46"/>
      <c r="M1870" s="46"/>
      <c r="N1870" s="46"/>
      <c r="O1870" s="46"/>
      <c r="P1870" s="46"/>
      <c r="Q1870" s="46"/>
      <c r="R1870" s="46"/>
      <c r="S1870" s="46"/>
      <c r="T1870" s="46"/>
      <c r="U1870" s="46"/>
      <c r="V1870" s="46"/>
      <c r="W1870" s="46"/>
      <c r="X1870" s="46"/>
      <c r="Y1870" s="46"/>
      <c r="Z1870" s="46"/>
    </row>
    <row r="1871" ht="22.5" customHeight="1">
      <c r="A1871" s="11">
        <v>1869.0</v>
      </c>
      <c r="B1871" s="20">
        <v>47.0</v>
      </c>
      <c r="C1871" s="13" t="s">
        <v>11761</v>
      </c>
      <c r="D1871" s="13" t="s">
        <v>11762</v>
      </c>
      <c r="E1871" s="13" t="s">
        <v>12476</v>
      </c>
      <c r="F1871" s="14" t="s">
        <v>18</v>
      </c>
      <c r="G1871" s="15"/>
      <c r="H1871" s="46"/>
      <c r="I1871" s="46"/>
      <c r="J1871" s="46"/>
      <c r="K1871" s="46"/>
      <c r="L1871" s="46"/>
      <c r="M1871" s="46"/>
      <c r="N1871" s="46"/>
      <c r="O1871" s="46"/>
      <c r="P1871" s="46"/>
      <c r="Q1871" s="46"/>
      <c r="R1871" s="46"/>
      <c r="S1871" s="46"/>
      <c r="T1871" s="46"/>
      <c r="U1871" s="46"/>
      <c r="V1871" s="46"/>
      <c r="W1871" s="46"/>
      <c r="X1871" s="46"/>
      <c r="Y1871" s="46"/>
      <c r="Z1871" s="46"/>
    </row>
    <row r="1872" ht="22.5" customHeight="1">
      <c r="A1872" s="17">
        <v>1870.0</v>
      </c>
      <c r="B1872" s="20">
        <v>47.0</v>
      </c>
      <c r="C1872" s="13" t="s">
        <v>5764</v>
      </c>
      <c r="D1872" s="13" t="s">
        <v>5763</v>
      </c>
      <c r="E1872" s="13" t="s">
        <v>9356</v>
      </c>
      <c r="F1872" s="15"/>
      <c r="G1872" s="15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  <c r="S1872" s="46"/>
      <c r="T1872" s="46"/>
      <c r="U1872" s="46"/>
      <c r="V1872" s="46"/>
      <c r="W1872" s="46"/>
      <c r="X1872" s="46"/>
      <c r="Y1872" s="46"/>
      <c r="Z1872" s="46"/>
    </row>
    <row r="1873" ht="22.5" customHeight="1">
      <c r="A1873" s="11">
        <v>1871.0</v>
      </c>
      <c r="B1873" s="20">
        <v>47.0</v>
      </c>
      <c r="C1873" s="13" t="s">
        <v>11524</v>
      </c>
      <c r="D1873" s="13" t="s">
        <v>11525</v>
      </c>
      <c r="E1873" s="13" t="s">
        <v>11526</v>
      </c>
      <c r="F1873" s="15"/>
      <c r="G1873" s="15"/>
      <c r="H1873" s="46"/>
      <c r="I1873" s="46"/>
      <c r="J1873" s="46"/>
      <c r="K1873" s="46"/>
      <c r="L1873" s="46"/>
      <c r="M1873" s="46"/>
      <c r="N1873" s="46"/>
      <c r="O1873" s="46"/>
      <c r="P1873" s="46"/>
      <c r="Q1873" s="46"/>
      <c r="R1873" s="46"/>
      <c r="S1873" s="46"/>
      <c r="T1873" s="46"/>
      <c r="U1873" s="46"/>
      <c r="V1873" s="46"/>
      <c r="W1873" s="46"/>
      <c r="X1873" s="46"/>
      <c r="Y1873" s="46"/>
      <c r="Z1873" s="46"/>
    </row>
    <row r="1874" ht="22.5" customHeight="1">
      <c r="A1874" s="17">
        <v>1872.0</v>
      </c>
      <c r="B1874" s="20">
        <v>47.0</v>
      </c>
      <c r="C1874" s="13" t="s">
        <v>5954</v>
      </c>
      <c r="D1874" s="13" t="s">
        <v>5953</v>
      </c>
      <c r="E1874" s="13" t="s">
        <v>12477</v>
      </c>
      <c r="F1874" s="15"/>
      <c r="G1874" s="15"/>
      <c r="H1874" s="46"/>
      <c r="I1874" s="46"/>
      <c r="J1874" s="46"/>
      <c r="K1874" s="46"/>
      <c r="L1874" s="46"/>
      <c r="M1874" s="46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46"/>
      <c r="Y1874" s="46"/>
      <c r="Z1874" s="46"/>
    </row>
    <row r="1875" ht="22.5" customHeight="1">
      <c r="A1875" s="11">
        <v>1873.0</v>
      </c>
      <c r="B1875" s="20">
        <v>47.0</v>
      </c>
      <c r="C1875" s="13" t="s">
        <v>12478</v>
      </c>
      <c r="D1875" s="13" t="s">
        <v>12479</v>
      </c>
      <c r="E1875" s="13" t="s">
        <v>12480</v>
      </c>
      <c r="F1875" s="15"/>
      <c r="G1875" s="15"/>
      <c r="H1875" s="46"/>
      <c r="I1875" s="46"/>
      <c r="J1875" s="46"/>
      <c r="K1875" s="46"/>
      <c r="L1875" s="46"/>
      <c r="M1875" s="46"/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</row>
    <row r="1876" ht="22.5" customHeight="1">
      <c r="A1876" s="17">
        <v>1874.0</v>
      </c>
      <c r="B1876" s="20">
        <v>47.0</v>
      </c>
      <c r="C1876" s="13" t="s">
        <v>12013</v>
      </c>
      <c r="D1876" s="13" t="s">
        <v>12014</v>
      </c>
      <c r="E1876" s="13" t="s">
        <v>12015</v>
      </c>
      <c r="F1876" s="15"/>
      <c r="G1876" s="15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  <c r="X1876" s="46"/>
      <c r="Y1876" s="46"/>
      <c r="Z1876" s="46"/>
    </row>
    <row r="1877" ht="22.5" customHeight="1">
      <c r="A1877" s="11">
        <v>1875.0</v>
      </c>
      <c r="B1877" s="20">
        <v>47.0</v>
      </c>
      <c r="C1877" s="13" t="s">
        <v>9661</v>
      </c>
      <c r="D1877" s="13" t="s">
        <v>9662</v>
      </c>
      <c r="E1877" s="13" t="s">
        <v>9663</v>
      </c>
      <c r="F1877" s="15"/>
      <c r="G1877" s="15"/>
      <c r="H1877" s="46"/>
      <c r="I1877" s="46"/>
      <c r="J1877" s="46"/>
      <c r="K1877" s="46"/>
      <c r="L1877" s="46"/>
      <c r="M1877" s="46"/>
      <c r="N1877" s="46"/>
      <c r="O1877" s="46"/>
      <c r="P1877" s="46"/>
      <c r="Q1877" s="46"/>
      <c r="R1877" s="46"/>
      <c r="S1877" s="46"/>
      <c r="T1877" s="46"/>
      <c r="U1877" s="46"/>
      <c r="V1877" s="46"/>
      <c r="W1877" s="46"/>
      <c r="X1877" s="46"/>
      <c r="Y1877" s="46"/>
      <c r="Z1877" s="46"/>
    </row>
    <row r="1878" ht="22.5" customHeight="1">
      <c r="A1878" s="17">
        <v>1876.0</v>
      </c>
      <c r="B1878" s="20">
        <v>47.0</v>
      </c>
      <c r="C1878" s="13" t="s">
        <v>10947</v>
      </c>
      <c r="D1878" s="13" t="s">
        <v>10948</v>
      </c>
      <c r="E1878" s="13" t="s">
        <v>12481</v>
      </c>
      <c r="F1878" s="15"/>
      <c r="G1878" s="15"/>
      <c r="H1878" s="46"/>
      <c r="I1878" s="46"/>
      <c r="J1878" s="46"/>
      <c r="K1878" s="46"/>
      <c r="L1878" s="46"/>
      <c r="M1878" s="46"/>
      <c r="N1878" s="46"/>
      <c r="O1878" s="46"/>
      <c r="P1878" s="46"/>
      <c r="Q1878" s="46"/>
      <c r="R1878" s="46"/>
      <c r="S1878" s="46"/>
      <c r="T1878" s="46"/>
      <c r="U1878" s="46"/>
      <c r="V1878" s="46"/>
      <c r="W1878" s="46"/>
      <c r="X1878" s="46"/>
      <c r="Y1878" s="46"/>
      <c r="Z1878" s="46"/>
    </row>
    <row r="1879" ht="22.5" customHeight="1">
      <c r="A1879" s="11">
        <v>1877.0</v>
      </c>
      <c r="B1879" s="20">
        <v>47.0</v>
      </c>
      <c r="C1879" s="13" t="s">
        <v>12482</v>
      </c>
      <c r="D1879" s="13" t="s">
        <v>12483</v>
      </c>
      <c r="E1879" s="13" t="s">
        <v>8616</v>
      </c>
      <c r="F1879" s="15"/>
      <c r="G1879" s="15"/>
      <c r="H1879" s="46"/>
      <c r="I1879" s="46"/>
      <c r="J1879" s="46"/>
      <c r="K1879" s="46"/>
      <c r="L1879" s="46"/>
      <c r="M1879" s="46"/>
      <c r="N1879" s="46"/>
      <c r="O1879" s="46"/>
      <c r="P1879" s="46"/>
      <c r="Q1879" s="46"/>
      <c r="R1879" s="46"/>
      <c r="S1879" s="46"/>
      <c r="T1879" s="46"/>
      <c r="U1879" s="46"/>
      <c r="V1879" s="46"/>
      <c r="W1879" s="46"/>
      <c r="X1879" s="46"/>
      <c r="Y1879" s="46"/>
      <c r="Z1879" s="46"/>
    </row>
    <row r="1880" ht="22.5" customHeight="1">
      <c r="A1880" s="17">
        <v>1878.0</v>
      </c>
      <c r="B1880" s="20">
        <v>47.0</v>
      </c>
      <c r="C1880" s="13" t="s">
        <v>12484</v>
      </c>
      <c r="D1880" s="13" t="s">
        <v>12485</v>
      </c>
      <c r="E1880" s="13" t="s">
        <v>12486</v>
      </c>
      <c r="F1880" s="14" t="s">
        <v>18</v>
      </c>
      <c r="G1880" s="15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  <c r="S1880" s="46"/>
      <c r="T1880" s="46"/>
      <c r="U1880" s="46"/>
      <c r="V1880" s="46"/>
      <c r="W1880" s="46"/>
      <c r="X1880" s="46"/>
      <c r="Y1880" s="46"/>
      <c r="Z1880" s="46"/>
    </row>
    <row r="1881" ht="22.5" customHeight="1">
      <c r="A1881" s="11">
        <v>1879.0</v>
      </c>
      <c r="B1881" s="20">
        <v>47.0</v>
      </c>
      <c r="C1881" s="13" t="s">
        <v>12487</v>
      </c>
      <c r="D1881" s="13" t="s">
        <v>12488</v>
      </c>
      <c r="E1881" s="13" t="s">
        <v>12489</v>
      </c>
      <c r="F1881" s="14" t="s">
        <v>18</v>
      </c>
      <c r="G1881" s="15"/>
      <c r="H1881" s="46"/>
      <c r="I1881" s="46"/>
      <c r="J1881" s="46"/>
      <c r="K1881" s="46"/>
      <c r="L1881" s="46"/>
      <c r="M1881" s="46"/>
      <c r="N1881" s="46"/>
      <c r="O1881" s="46"/>
      <c r="P1881" s="46"/>
      <c r="Q1881" s="46"/>
      <c r="R1881" s="46"/>
      <c r="S1881" s="46"/>
      <c r="T1881" s="46"/>
      <c r="U1881" s="46"/>
      <c r="V1881" s="46"/>
      <c r="W1881" s="46"/>
      <c r="X1881" s="46"/>
      <c r="Y1881" s="46"/>
      <c r="Z1881" s="46"/>
    </row>
    <row r="1882" ht="22.5" customHeight="1">
      <c r="A1882" s="17">
        <v>1880.0</v>
      </c>
      <c r="B1882" s="20">
        <v>47.0</v>
      </c>
      <c r="C1882" s="13" t="s">
        <v>10454</v>
      </c>
      <c r="D1882" s="13" t="s">
        <v>10455</v>
      </c>
      <c r="E1882" s="13" t="s">
        <v>12490</v>
      </c>
      <c r="F1882" s="14" t="s">
        <v>18</v>
      </c>
      <c r="G1882" s="15"/>
      <c r="H1882" s="46"/>
      <c r="I1882" s="46"/>
      <c r="J1882" s="46"/>
      <c r="K1882" s="46"/>
      <c r="L1882" s="46"/>
      <c r="M1882" s="46"/>
      <c r="N1882" s="46"/>
      <c r="O1882" s="46"/>
      <c r="P1882" s="46"/>
      <c r="Q1882" s="46"/>
      <c r="R1882" s="46"/>
      <c r="S1882" s="46"/>
      <c r="T1882" s="46"/>
      <c r="U1882" s="46"/>
      <c r="V1882" s="46"/>
      <c r="W1882" s="46"/>
      <c r="X1882" s="46"/>
      <c r="Y1882" s="46"/>
      <c r="Z1882" s="46"/>
    </row>
    <row r="1883" ht="22.5" customHeight="1">
      <c r="A1883" s="11">
        <v>1881.0</v>
      </c>
      <c r="B1883" s="20">
        <v>47.0</v>
      </c>
      <c r="C1883" s="13" t="s">
        <v>10723</v>
      </c>
      <c r="D1883" s="13" t="s">
        <v>10724</v>
      </c>
      <c r="E1883" s="13" t="s">
        <v>10725</v>
      </c>
      <c r="F1883" s="15"/>
      <c r="G1883" s="15"/>
      <c r="H1883" s="46"/>
      <c r="I1883" s="46"/>
      <c r="J1883" s="46"/>
      <c r="K1883" s="46"/>
      <c r="L1883" s="46"/>
      <c r="M1883" s="46"/>
      <c r="N1883" s="46"/>
      <c r="O1883" s="46"/>
      <c r="P1883" s="46"/>
      <c r="Q1883" s="46"/>
      <c r="R1883" s="46"/>
      <c r="S1883" s="46"/>
      <c r="T1883" s="46"/>
      <c r="U1883" s="46"/>
      <c r="V1883" s="46"/>
      <c r="W1883" s="46"/>
      <c r="X1883" s="46"/>
      <c r="Y1883" s="46"/>
      <c r="Z1883" s="46"/>
    </row>
    <row r="1884" ht="22.5" customHeight="1">
      <c r="A1884" s="17">
        <v>1882.0</v>
      </c>
      <c r="B1884" s="20">
        <v>47.0</v>
      </c>
      <c r="C1884" s="13" t="s">
        <v>12491</v>
      </c>
      <c r="D1884" s="13" t="s">
        <v>12492</v>
      </c>
      <c r="E1884" s="13" t="s">
        <v>12493</v>
      </c>
      <c r="F1884" s="14" t="s">
        <v>18</v>
      </c>
      <c r="G1884" s="15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  <c r="S1884" s="46"/>
      <c r="T1884" s="46"/>
      <c r="U1884" s="46"/>
      <c r="V1884" s="46"/>
      <c r="W1884" s="46"/>
      <c r="X1884" s="46"/>
      <c r="Y1884" s="46"/>
      <c r="Z1884" s="46"/>
    </row>
    <row r="1885" ht="22.5" customHeight="1">
      <c r="A1885" s="11">
        <v>1883.0</v>
      </c>
      <c r="B1885" s="20">
        <v>47.0</v>
      </c>
      <c r="C1885" s="13" t="s">
        <v>12494</v>
      </c>
      <c r="D1885" s="13" t="s">
        <v>12495</v>
      </c>
      <c r="E1885" s="13" t="s">
        <v>12496</v>
      </c>
      <c r="F1885" s="15"/>
      <c r="G1885" s="15"/>
      <c r="H1885" s="46"/>
      <c r="I1885" s="46"/>
      <c r="J1885" s="46"/>
      <c r="K1885" s="46"/>
      <c r="L1885" s="46"/>
      <c r="M1885" s="46"/>
      <c r="N1885" s="46"/>
      <c r="O1885" s="46"/>
      <c r="P1885" s="46"/>
      <c r="Q1885" s="46"/>
      <c r="R1885" s="46"/>
      <c r="S1885" s="46"/>
      <c r="T1885" s="46"/>
      <c r="U1885" s="46"/>
      <c r="V1885" s="46"/>
      <c r="W1885" s="46"/>
      <c r="X1885" s="46"/>
      <c r="Y1885" s="46"/>
      <c r="Z1885" s="46"/>
    </row>
    <row r="1886" ht="22.5" customHeight="1">
      <c r="A1886" s="17">
        <v>1884.0</v>
      </c>
      <c r="B1886" s="20">
        <v>47.0</v>
      </c>
      <c r="C1886" s="13" t="s">
        <v>12497</v>
      </c>
      <c r="D1886" s="13" t="s">
        <v>12498</v>
      </c>
      <c r="E1886" s="13" t="s">
        <v>12499</v>
      </c>
      <c r="F1886" s="14" t="s">
        <v>18</v>
      </c>
      <c r="G1886" s="15"/>
      <c r="H1886" s="46"/>
      <c r="I1886" s="46"/>
      <c r="J1886" s="46"/>
      <c r="K1886" s="46"/>
      <c r="L1886" s="46"/>
      <c r="M1886" s="46"/>
      <c r="N1886" s="46"/>
      <c r="O1886" s="46"/>
      <c r="P1886" s="46"/>
      <c r="Q1886" s="46"/>
      <c r="R1886" s="46"/>
      <c r="S1886" s="46"/>
      <c r="T1886" s="46"/>
      <c r="U1886" s="46"/>
      <c r="V1886" s="46"/>
      <c r="W1886" s="46"/>
      <c r="X1886" s="46"/>
      <c r="Y1886" s="46"/>
      <c r="Z1886" s="46"/>
    </row>
    <row r="1887" ht="22.5" customHeight="1">
      <c r="A1887" s="11">
        <v>1885.0</v>
      </c>
      <c r="B1887" s="20">
        <v>47.0</v>
      </c>
      <c r="C1887" s="13" t="s">
        <v>12500</v>
      </c>
      <c r="D1887" s="13" t="s">
        <v>12501</v>
      </c>
      <c r="E1887" s="13" t="s">
        <v>12502</v>
      </c>
      <c r="F1887" s="15"/>
      <c r="G1887" s="15"/>
      <c r="H1887" s="46"/>
      <c r="I1887" s="46"/>
      <c r="J1887" s="46"/>
      <c r="K1887" s="46"/>
      <c r="L1887" s="46"/>
      <c r="M1887" s="46"/>
      <c r="N1887" s="46"/>
      <c r="O1887" s="46"/>
      <c r="P1887" s="46"/>
      <c r="Q1887" s="46"/>
      <c r="R1887" s="46"/>
      <c r="S1887" s="46"/>
      <c r="T1887" s="46"/>
      <c r="U1887" s="46"/>
      <c r="V1887" s="46"/>
      <c r="W1887" s="46"/>
      <c r="X1887" s="46"/>
      <c r="Y1887" s="46"/>
      <c r="Z1887" s="46"/>
    </row>
    <row r="1888" ht="22.5" customHeight="1">
      <c r="A1888" s="17">
        <v>1886.0</v>
      </c>
      <c r="B1888" s="20">
        <v>47.0</v>
      </c>
      <c r="C1888" s="13" t="s">
        <v>4960</v>
      </c>
      <c r="D1888" s="13" t="s">
        <v>4959</v>
      </c>
      <c r="E1888" s="13" t="s">
        <v>12503</v>
      </c>
      <c r="F1888" s="15"/>
      <c r="G1888" s="15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  <c r="X1888" s="46"/>
      <c r="Y1888" s="46"/>
      <c r="Z1888" s="46"/>
    </row>
    <row r="1889" ht="22.5" customHeight="1">
      <c r="A1889" s="11">
        <v>1887.0</v>
      </c>
      <c r="B1889" s="20">
        <v>47.0</v>
      </c>
      <c r="C1889" s="13" t="s">
        <v>12504</v>
      </c>
      <c r="D1889" s="13" t="s">
        <v>12505</v>
      </c>
      <c r="E1889" s="13" t="s">
        <v>12506</v>
      </c>
      <c r="F1889" s="14" t="s">
        <v>18</v>
      </c>
      <c r="G1889" s="15"/>
      <c r="H1889" s="46"/>
      <c r="I1889" s="46"/>
      <c r="J1889" s="46"/>
      <c r="K1889" s="46"/>
      <c r="L1889" s="46"/>
      <c r="M1889" s="46"/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  <c r="X1889" s="46"/>
      <c r="Y1889" s="46"/>
      <c r="Z1889" s="46"/>
    </row>
    <row r="1890" ht="22.5" customHeight="1">
      <c r="A1890" s="17">
        <v>1888.0</v>
      </c>
      <c r="B1890" s="20">
        <v>46.0</v>
      </c>
      <c r="C1890" s="13" t="s">
        <v>9705</v>
      </c>
      <c r="D1890" s="13" t="s">
        <v>9706</v>
      </c>
      <c r="E1890" s="13" t="s">
        <v>9707</v>
      </c>
      <c r="F1890" s="15"/>
      <c r="G1890" s="15"/>
      <c r="H1890" s="46"/>
      <c r="I1890" s="46"/>
      <c r="J1890" s="46"/>
      <c r="K1890" s="46"/>
      <c r="L1890" s="46"/>
      <c r="M1890" s="46"/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  <c r="X1890" s="46"/>
      <c r="Y1890" s="46"/>
      <c r="Z1890" s="46"/>
    </row>
    <row r="1891" ht="22.5" customHeight="1">
      <c r="A1891" s="11">
        <v>1889.0</v>
      </c>
      <c r="B1891" s="20">
        <v>46.0</v>
      </c>
      <c r="C1891" s="13" t="s">
        <v>5069</v>
      </c>
      <c r="D1891" s="13" t="s">
        <v>5068</v>
      </c>
      <c r="E1891" s="13" t="s">
        <v>12507</v>
      </c>
      <c r="F1891" s="15"/>
      <c r="G1891" s="15"/>
      <c r="H1891" s="46"/>
      <c r="I1891" s="46"/>
      <c r="J1891" s="46"/>
      <c r="K1891" s="46"/>
      <c r="L1891" s="46"/>
      <c r="M1891" s="46"/>
      <c r="N1891" s="46"/>
      <c r="O1891" s="46"/>
      <c r="P1891" s="46"/>
      <c r="Q1891" s="46"/>
      <c r="R1891" s="46"/>
      <c r="S1891" s="46"/>
      <c r="T1891" s="46"/>
      <c r="U1891" s="46"/>
      <c r="V1891" s="46"/>
      <c r="W1891" s="46"/>
      <c r="X1891" s="46"/>
      <c r="Y1891" s="46"/>
      <c r="Z1891" s="46"/>
    </row>
    <row r="1892" ht="22.5" customHeight="1">
      <c r="A1892" s="17">
        <v>1890.0</v>
      </c>
      <c r="B1892" s="20">
        <v>46.0</v>
      </c>
      <c r="C1892" s="13" t="s">
        <v>12508</v>
      </c>
      <c r="D1892" s="13" t="s">
        <v>12509</v>
      </c>
      <c r="E1892" s="13" t="s">
        <v>12510</v>
      </c>
      <c r="F1892" s="14" t="s">
        <v>18</v>
      </c>
      <c r="G1892" s="15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  <c r="Y1892" s="46"/>
      <c r="Z1892" s="46"/>
    </row>
    <row r="1893" ht="22.5" customHeight="1">
      <c r="A1893" s="11">
        <v>1891.0</v>
      </c>
      <c r="B1893" s="20">
        <v>46.0</v>
      </c>
      <c r="C1893" s="13" t="s">
        <v>9539</v>
      </c>
      <c r="D1893" s="13" t="s">
        <v>9540</v>
      </c>
      <c r="E1893" s="13" t="s">
        <v>9541</v>
      </c>
      <c r="F1893" s="15"/>
      <c r="G1893" s="15"/>
      <c r="H1893" s="46"/>
      <c r="I1893" s="46"/>
      <c r="J1893" s="46"/>
      <c r="K1893" s="46"/>
      <c r="L1893" s="46"/>
      <c r="M1893" s="46"/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  <c r="X1893" s="46"/>
      <c r="Y1893" s="46"/>
      <c r="Z1893" s="46"/>
    </row>
    <row r="1894" ht="22.5" customHeight="1">
      <c r="A1894" s="17">
        <v>1892.0</v>
      </c>
      <c r="B1894" s="20">
        <v>46.0</v>
      </c>
      <c r="C1894" s="13" t="s">
        <v>12511</v>
      </c>
      <c r="D1894" s="13" t="s">
        <v>12512</v>
      </c>
      <c r="E1894" s="13" t="s">
        <v>12513</v>
      </c>
      <c r="F1894" s="15"/>
      <c r="G1894" s="15"/>
      <c r="H1894" s="46"/>
      <c r="I1894" s="46"/>
      <c r="J1894" s="46"/>
      <c r="K1894" s="46"/>
      <c r="L1894" s="46"/>
      <c r="M1894" s="46"/>
      <c r="N1894" s="46"/>
      <c r="O1894" s="46"/>
      <c r="P1894" s="46"/>
      <c r="Q1894" s="46"/>
      <c r="R1894" s="46"/>
      <c r="S1894" s="46"/>
      <c r="T1894" s="46"/>
      <c r="U1894" s="46"/>
      <c r="V1894" s="46"/>
      <c r="W1894" s="46"/>
      <c r="X1894" s="46"/>
      <c r="Y1894" s="46"/>
      <c r="Z1894" s="46"/>
    </row>
    <row r="1895" ht="22.5" customHeight="1">
      <c r="A1895" s="11">
        <v>1893.0</v>
      </c>
      <c r="B1895" s="20">
        <v>46.0</v>
      </c>
      <c r="C1895" s="13" t="s">
        <v>9890</v>
      </c>
      <c r="D1895" s="13" t="s">
        <v>9891</v>
      </c>
      <c r="E1895" s="13" t="s">
        <v>11646</v>
      </c>
      <c r="F1895" s="15"/>
      <c r="G1895" s="15"/>
      <c r="H1895" s="46"/>
      <c r="I1895" s="46"/>
      <c r="J1895" s="46"/>
      <c r="K1895" s="46"/>
      <c r="L1895" s="46"/>
      <c r="M1895" s="46"/>
      <c r="N1895" s="46"/>
      <c r="O1895" s="46"/>
      <c r="P1895" s="46"/>
      <c r="Q1895" s="46"/>
      <c r="R1895" s="46"/>
      <c r="S1895" s="46"/>
      <c r="T1895" s="46"/>
      <c r="U1895" s="46"/>
      <c r="V1895" s="46"/>
      <c r="W1895" s="46"/>
      <c r="X1895" s="46"/>
      <c r="Y1895" s="46"/>
      <c r="Z1895" s="46"/>
    </row>
    <row r="1896" ht="22.5" customHeight="1">
      <c r="A1896" s="17">
        <v>1894.0</v>
      </c>
      <c r="B1896" s="20">
        <v>46.0</v>
      </c>
      <c r="C1896" s="13" t="s">
        <v>4668</v>
      </c>
      <c r="D1896" s="13" t="s">
        <v>4667</v>
      </c>
      <c r="E1896" s="13" t="s">
        <v>12514</v>
      </c>
      <c r="F1896" s="15"/>
      <c r="G1896" s="15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  <c r="S1896" s="46"/>
      <c r="T1896" s="46"/>
      <c r="U1896" s="46"/>
      <c r="V1896" s="46"/>
      <c r="W1896" s="46"/>
      <c r="X1896" s="46"/>
      <c r="Y1896" s="46"/>
      <c r="Z1896" s="46"/>
    </row>
    <row r="1897" ht="22.5" customHeight="1">
      <c r="A1897" s="11">
        <v>1895.0</v>
      </c>
      <c r="B1897" s="20">
        <v>46.0</v>
      </c>
      <c r="C1897" s="13" t="s">
        <v>12515</v>
      </c>
      <c r="D1897" s="13" t="s">
        <v>12516</v>
      </c>
      <c r="E1897" s="13" t="s">
        <v>12517</v>
      </c>
      <c r="F1897" s="15"/>
      <c r="G1897" s="15"/>
      <c r="H1897" s="46"/>
      <c r="I1897" s="46"/>
      <c r="J1897" s="46"/>
      <c r="K1897" s="46"/>
      <c r="L1897" s="46"/>
      <c r="M1897" s="46"/>
      <c r="N1897" s="46"/>
      <c r="O1897" s="46"/>
      <c r="P1897" s="46"/>
      <c r="Q1897" s="46"/>
      <c r="R1897" s="46"/>
      <c r="S1897" s="46"/>
      <c r="T1897" s="46"/>
      <c r="U1897" s="46"/>
      <c r="V1897" s="46"/>
      <c r="W1897" s="46"/>
      <c r="X1897" s="46"/>
      <c r="Y1897" s="46"/>
      <c r="Z1897" s="46"/>
    </row>
    <row r="1898" ht="22.5" customHeight="1">
      <c r="A1898" s="17">
        <v>1896.0</v>
      </c>
      <c r="B1898" s="20">
        <v>46.0</v>
      </c>
      <c r="C1898" s="13" t="s">
        <v>5663</v>
      </c>
      <c r="D1898" s="13" t="s">
        <v>12518</v>
      </c>
      <c r="E1898" s="13" t="s">
        <v>12519</v>
      </c>
      <c r="F1898" s="14" t="s">
        <v>18</v>
      </c>
      <c r="G1898" s="15"/>
      <c r="H1898" s="46"/>
      <c r="I1898" s="46"/>
      <c r="J1898" s="46"/>
      <c r="K1898" s="46"/>
      <c r="L1898" s="46"/>
      <c r="M1898" s="46"/>
      <c r="N1898" s="46"/>
      <c r="O1898" s="46"/>
      <c r="P1898" s="46"/>
      <c r="Q1898" s="46"/>
      <c r="R1898" s="46"/>
      <c r="S1898" s="46"/>
      <c r="T1898" s="46"/>
      <c r="U1898" s="46"/>
      <c r="V1898" s="46"/>
      <c r="W1898" s="46"/>
      <c r="X1898" s="46"/>
      <c r="Y1898" s="46"/>
      <c r="Z1898" s="46"/>
    </row>
    <row r="1899" ht="22.5" customHeight="1">
      <c r="A1899" s="11">
        <v>1897.0</v>
      </c>
      <c r="B1899" s="20">
        <v>46.0</v>
      </c>
      <c r="C1899" s="13" t="s">
        <v>12520</v>
      </c>
      <c r="D1899" s="13" t="s">
        <v>12521</v>
      </c>
      <c r="E1899" s="13" t="s">
        <v>12522</v>
      </c>
      <c r="F1899" s="14" t="s">
        <v>18</v>
      </c>
      <c r="G1899" s="15"/>
      <c r="H1899" s="46"/>
      <c r="I1899" s="46"/>
      <c r="J1899" s="46"/>
      <c r="K1899" s="46"/>
      <c r="L1899" s="46"/>
      <c r="M1899" s="46"/>
      <c r="N1899" s="46"/>
      <c r="O1899" s="46"/>
      <c r="P1899" s="46"/>
      <c r="Q1899" s="46"/>
      <c r="R1899" s="46"/>
      <c r="S1899" s="46"/>
      <c r="T1899" s="46"/>
      <c r="U1899" s="46"/>
      <c r="V1899" s="46"/>
      <c r="W1899" s="46"/>
      <c r="X1899" s="46"/>
      <c r="Y1899" s="46"/>
      <c r="Z1899" s="46"/>
    </row>
    <row r="1900" ht="22.5" customHeight="1">
      <c r="A1900" s="17">
        <v>1898.0</v>
      </c>
      <c r="B1900" s="20">
        <v>46.0</v>
      </c>
      <c r="C1900" s="13" t="s">
        <v>12523</v>
      </c>
      <c r="D1900" s="13" t="s">
        <v>12524</v>
      </c>
      <c r="E1900" s="13" t="s">
        <v>12525</v>
      </c>
      <c r="F1900" s="15"/>
      <c r="G1900" s="15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  <c r="S1900" s="46"/>
      <c r="T1900" s="46"/>
      <c r="U1900" s="46"/>
      <c r="V1900" s="46"/>
      <c r="W1900" s="46"/>
      <c r="X1900" s="46"/>
      <c r="Y1900" s="46"/>
      <c r="Z1900" s="46"/>
    </row>
    <row r="1901" ht="22.5" customHeight="1">
      <c r="A1901" s="11">
        <v>1899.0</v>
      </c>
      <c r="B1901" s="20">
        <v>46.0</v>
      </c>
      <c r="C1901" s="13" t="s">
        <v>12526</v>
      </c>
      <c r="D1901" s="13" t="s">
        <v>12527</v>
      </c>
      <c r="E1901" s="13" t="s">
        <v>12528</v>
      </c>
      <c r="F1901" s="14" t="s">
        <v>18</v>
      </c>
      <c r="G1901" s="15"/>
      <c r="H1901" s="46"/>
      <c r="I1901" s="46"/>
      <c r="J1901" s="46"/>
      <c r="K1901" s="46"/>
      <c r="L1901" s="46"/>
      <c r="M1901" s="46"/>
      <c r="N1901" s="46"/>
      <c r="O1901" s="46"/>
      <c r="P1901" s="46"/>
      <c r="Q1901" s="46"/>
      <c r="R1901" s="46"/>
      <c r="S1901" s="46"/>
      <c r="T1901" s="46"/>
      <c r="U1901" s="46"/>
      <c r="V1901" s="46"/>
      <c r="W1901" s="46"/>
      <c r="X1901" s="46"/>
      <c r="Y1901" s="46"/>
      <c r="Z1901" s="46"/>
    </row>
    <row r="1902" ht="22.5" customHeight="1">
      <c r="A1902" s="17">
        <v>1900.0</v>
      </c>
      <c r="B1902" s="20">
        <v>46.0</v>
      </c>
      <c r="C1902" s="13" t="s">
        <v>12529</v>
      </c>
      <c r="D1902" s="13" t="s">
        <v>12530</v>
      </c>
      <c r="E1902" s="13" t="s">
        <v>12531</v>
      </c>
      <c r="F1902" s="14" t="s">
        <v>18</v>
      </c>
      <c r="G1902" s="15"/>
      <c r="H1902" s="46"/>
      <c r="I1902" s="46"/>
      <c r="J1902" s="46"/>
      <c r="K1902" s="46"/>
      <c r="L1902" s="46"/>
      <c r="M1902" s="46"/>
      <c r="N1902" s="46"/>
      <c r="O1902" s="46"/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</row>
    <row r="1903" ht="22.5" customHeight="1">
      <c r="A1903" s="11">
        <v>1901.0</v>
      </c>
      <c r="B1903" s="20">
        <v>46.0</v>
      </c>
      <c r="C1903" s="13" t="s">
        <v>12532</v>
      </c>
      <c r="D1903" s="13" t="s">
        <v>12533</v>
      </c>
      <c r="E1903" s="13" t="s">
        <v>12534</v>
      </c>
      <c r="F1903" s="15"/>
      <c r="G1903" s="15"/>
      <c r="H1903" s="46"/>
      <c r="I1903" s="46"/>
      <c r="J1903" s="46"/>
      <c r="K1903" s="46"/>
      <c r="L1903" s="46"/>
      <c r="M1903" s="46"/>
      <c r="N1903" s="46"/>
      <c r="O1903" s="46"/>
      <c r="P1903" s="46"/>
      <c r="Q1903" s="46"/>
      <c r="R1903" s="46"/>
      <c r="S1903" s="46"/>
      <c r="T1903" s="46"/>
      <c r="U1903" s="46"/>
      <c r="V1903" s="46"/>
      <c r="W1903" s="46"/>
      <c r="X1903" s="46"/>
      <c r="Y1903" s="46"/>
      <c r="Z1903" s="46"/>
    </row>
    <row r="1904" ht="22.5" customHeight="1">
      <c r="A1904" s="17">
        <v>1902.0</v>
      </c>
      <c r="B1904" s="20">
        <v>46.0</v>
      </c>
      <c r="C1904" s="13" t="s">
        <v>12535</v>
      </c>
      <c r="D1904" s="13" t="s">
        <v>12536</v>
      </c>
      <c r="E1904" s="13" t="s">
        <v>12537</v>
      </c>
      <c r="F1904" s="15"/>
      <c r="G1904" s="15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  <c r="S1904" s="46"/>
      <c r="T1904" s="46"/>
      <c r="U1904" s="46"/>
      <c r="V1904" s="46"/>
      <c r="W1904" s="46"/>
      <c r="X1904" s="46"/>
      <c r="Y1904" s="46"/>
      <c r="Z1904" s="46"/>
    </row>
    <row r="1905" ht="22.5" customHeight="1">
      <c r="A1905" s="11">
        <v>1903.0</v>
      </c>
      <c r="B1905" s="20">
        <v>46.0</v>
      </c>
      <c r="C1905" s="13" t="s">
        <v>12535</v>
      </c>
      <c r="D1905" s="13" t="s">
        <v>12538</v>
      </c>
      <c r="E1905" s="13" t="s">
        <v>12539</v>
      </c>
      <c r="F1905" s="15"/>
      <c r="G1905" s="15"/>
      <c r="H1905" s="46"/>
      <c r="I1905" s="46"/>
      <c r="J1905" s="46"/>
      <c r="K1905" s="46"/>
      <c r="L1905" s="46"/>
      <c r="M1905" s="46"/>
      <c r="N1905" s="46"/>
      <c r="O1905" s="46"/>
      <c r="P1905" s="46"/>
      <c r="Q1905" s="46"/>
      <c r="R1905" s="46"/>
      <c r="S1905" s="46"/>
      <c r="T1905" s="46"/>
      <c r="U1905" s="46"/>
      <c r="V1905" s="46"/>
      <c r="W1905" s="46"/>
      <c r="X1905" s="46"/>
      <c r="Y1905" s="46"/>
      <c r="Z1905" s="46"/>
    </row>
    <row r="1906" ht="22.5" customHeight="1">
      <c r="A1906" s="17">
        <v>1904.0</v>
      </c>
      <c r="B1906" s="20">
        <v>46.0</v>
      </c>
      <c r="C1906" s="13" t="s">
        <v>12540</v>
      </c>
      <c r="D1906" s="13" t="s">
        <v>12541</v>
      </c>
      <c r="E1906" s="13" t="s">
        <v>12542</v>
      </c>
      <c r="F1906" s="14" t="s">
        <v>18</v>
      </c>
      <c r="G1906" s="15"/>
      <c r="H1906" s="46"/>
      <c r="I1906" s="46"/>
      <c r="J1906" s="46"/>
      <c r="K1906" s="46"/>
      <c r="L1906" s="46"/>
      <c r="M1906" s="46"/>
      <c r="N1906" s="46"/>
      <c r="O1906" s="46"/>
      <c r="P1906" s="46"/>
      <c r="Q1906" s="46"/>
      <c r="R1906" s="46"/>
      <c r="S1906" s="46"/>
      <c r="T1906" s="46"/>
      <c r="U1906" s="46"/>
      <c r="V1906" s="46"/>
      <c r="W1906" s="46"/>
      <c r="X1906" s="46"/>
      <c r="Y1906" s="46"/>
      <c r="Z1906" s="46"/>
    </row>
    <row r="1907" ht="22.5" customHeight="1">
      <c r="A1907" s="11">
        <v>1905.0</v>
      </c>
      <c r="B1907" s="20">
        <v>46.0</v>
      </c>
      <c r="C1907" s="13" t="s">
        <v>12543</v>
      </c>
      <c r="D1907" s="13" t="s">
        <v>12544</v>
      </c>
      <c r="E1907" s="13" t="s">
        <v>12545</v>
      </c>
      <c r="F1907" s="14" t="s">
        <v>18</v>
      </c>
      <c r="G1907" s="15"/>
      <c r="H1907" s="46"/>
      <c r="I1907" s="46"/>
      <c r="J1907" s="46"/>
      <c r="K1907" s="46"/>
      <c r="L1907" s="46"/>
      <c r="M1907" s="46"/>
      <c r="N1907" s="46"/>
      <c r="O1907" s="46"/>
      <c r="P1907" s="46"/>
      <c r="Q1907" s="46"/>
      <c r="R1907" s="46"/>
      <c r="S1907" s="46"/>
      <c r="T1907" s="46"/>
      <c r="U1907" s="46"/>
      <c r="V1907" s="46"/>
      <c r="W1907" s="46"/>
      <c r="X1907" s="46"/>
      <c r="Y1907" s="46"/>
      <c r="Z1907" s="46"/>
    </row>
    <row r="1908" ht="22.5" customHeight="1">
      <c r="A1908" s="17">
        <v>1906.0</v>
      </c>
      <c r="B1908" s="20">
        <v>46.0</v>
      </c>
      <c r="C1908" s="13" t="s">
        <v>12546</v>
      </c>
      <c r="D1908" s="13" t="s">
        <v>8054</v>
      </c>
      <c r="E1908" s="13" t="s">
        <v>6817</v>
      </c>
      <c r="F1908" s="15"/>
      <c r="G1908" s="15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  <c r="S1908" s="46"/>
      <c r="T1908" s="46"/>
      <c r="U1908" s="46"/>
      <c r="V1908" s="46"/>
      <c r="W1908" s="46"/>
      <c r="X1908" s="46"/>
      <c r="Y1908" s="46"/>
      <c r="Z1908" s="46"/>
    </row>
    <row r="1909" ht="22.5" customHeight="1">
      <c r="A1909" s="11">
        <v>1907.0</v>
      </c>
      <c r="B1909" s="20">
        <v>45.0</v>
      </c>
      <c r="C1909" s="13" t="s">
        <v>12547</v>
      </c>
      <c r="D1909" s="13" t="s">
        <v>12548</v>
      </c>
      <c r="E1909" s="13" t="s">
        <v>12549</v>
      </c>
      <c r="F1909" s="15"/>
      <c r="G1909" s="15"/>
      <c r="H1909" s="46"/>
      <c r="I1909" s="46"/>
      <c r="J1909" s="46"/>
      <c r="K1909" s="46"/>
      <c r="L1909" s="46"/>
      <c r="M1909" s="46"/>
      <c r="N1909" s="46"/>
      <c r="O1909" s="46"/>
      <c r="P1909" s="46"/>
      <c r="Q1909" s="46"/>
      <c r="R1909" s="46"/>
      <c r="S1909" s="46"/>
      <c r="T1909" s="46"/>
      <c r="U1909" s="46"/>
      <c r="V1909" s="46"/>
      <c r="W1909" s="46"/>
      <c r="X1909" s="46"/>
      <c r="Y1909" s="46"/>
      <c r="Z1909" s="46"/>
    </row>
    <row r="1910" ht="22.5" customHeight="1">
      <c r="A1910" s="17">
        <v>1908.0</v>
      </c>
      <c r="B1910" s="20">
        <v>45.0</v>
      </c>
      <c r="C1910" s="13" t="s">
        <v>9281</v>
      </c>
      <c r="D1910" s="13" t="s">
        <v>9282</v>
      </c>
      <c r="E1910" s="13" t="s">
        <v>12550</v>
      </c>
      <c r="F1910" s="15"/>
      <c r="G1910" s="15"/>
      <c r="H1910" s="46"/>
      <c r="I1910" s="46"/>
      <c r="J1910" s="46"/>
      <c r="K1910" s="46"/>
      <c r="L1910" s="46"/>
      <c r="M1910" s="46"/>
      <c r="N1910" s="46"/>
      <c r="O1910" s="46"/>
      <c r="P1910" s="46"/>
      <c r="Q1910" s="46"/>
      <c r="R1910" s="46"/>
      <c r="S1910" s="46"/>
      <c r="T1910" s="46"/>
      <c r="U1910" s="46"/>
      <c r="V1910" s="46"/>
      <c r="W1910" s="46"/>
      <c r="X1910" s="46"/>
      <c r="Y1910" s="46"/>
      <c r="Z1910" s="46"/>
    </row>
    <row r="1911" ht="22.5" customHeight="1">
      <c r="A1911" s="11">
        <v>1909.0</v>
      </c>
      <c r="B1911" s="20">
        <v>45.0</v>
      </c>
      <c r="C1911" s="13" t="s">
        <v>12551</v>
      </c>
      <c r="D1911" s="13" t="s">
        <v>12552</v>
      </c>
      <c r="E1911" s="13" t="s">
        <v>12553</v>
      </c>
      <c r="F1911" s="15"/>
      <c r="G1911" s="15"/>
      <c r="H1911" s="46"/>
      <c r="I1911" s="46"/>
      <c r="J1911" s="46"/>
      <c r="K1911" s="46"/>
      <c r="L1911" s="46"/>
      <c r="M1911" s="46"/>
      <c r="N1911" s="46"/>
      <c r="O1911" s="46"/>
      <c r="P1911" s="46"/>
      <c r="Q1911" s="46"/>
      <c r="R1911" s="46"/>
      <c r="S1911" s="46"/>
      <c r="T1911" s="46"/>
      <c r="U1911" s="46"/>
      <c r="V1911" s="46"/>
      <c r="W1911" s="46"/>
      <c r="X1911" s="46"/>
      <c r="Y1911" s="46"/>
      <c r="Z1911" s="46"/>
    </row>
    <row r="1912" ht="22.5" customHeight="1">
      <c r="A1912" s="17">
        <v>1910.0</v>
      </c>
      <c r="B1912" s="20">
        <v>45.0</v>
      </c>
      <c r="C1912" s="13" t="s">
        <v>12554</v>
      </c>
      <c r="D1912" s="13" t="s">
        <v>12555</v>
      </c>
      <c r="E1912" s="13" t="s">
        <v>12556</v>
      </c>
      <c r="F1912" s="14" t="s">
        <v>18</v>
      </c>
      <c r="G1912" s="15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  <c r="S1912" s="46"/>
      <c r="T1912" s="46"/>
      <c r="U1912" s="46"/>
      <c r="V1912" s="46"/>
      <c r="W1912" s="46"/>
      <c r="X1912" s="46"/>
      <c r="Y1912" s="46"/>
      <c r="Z1912" s="46"/>
    </row>
    <row r="1913" ht="22.5" customHeight="1">
      <c r="A1913" s="11">
        <v>1911.0</v>
      </c>
      <c r="B1913" s="20">
        <v>45.0</v>
      </c>
      <c r="C1913" s="13" t="s">
        <v>12557</v>
      </c>
      <c r="D1913" s="13" t="s">
        <v>12558</v>
      </c>
      <c r="E1913" s="13" t="s">
        <v>12559</v>
      </c>
      <c r="F1913" s="14" t="s">
        <v>18</v>
      </c>
      <c r="G1913" s="15"/>
      <c r="H1913" s="46"/>
      <c r="I1913" s="46"/>
      <c r="J1913" s="46"/>
      <c r="K1913" s="46"/>
      <c r="L1913" s="46"/>
      <c r="M1913" s="46"/>
      <c r="N1913" s="46"/>
      <c r="O1913" s="46"/>
      <c r="P1913" s="46"/>
      <c r="Q1913" s="46"/>
      <c r="R1913" s="46"/>
      <c r="S1913" s="46"/>
      <c r="T1913" s="46"/>
      <c r="U1913" s="46"/>
      <c r="V1913" s="46"/>
      <c r="W1913" s="46"/>
      <c r="X1913" s="46"/>
      <c r="Y1913" s="46"/>
      <c r="Z1913" s="46"/>
    </row>
    <row r="1914" ht="22.5" customHeight="1">
      <c r="A1914" s="17">
        <v>1912.0</v>
      </c>
      <c r="B1914" s="20">
        <v>45.0</v>
      </c>
      <c r="C1914" s="13" t="s">
        <v>10266</v>
      </c>
      <c r="D1914" s="13" t="s">
        <v>12560</v>
      </c>
      <c r="E1914" s="13" t="s">
        <v>12561</v>
      </c>
      <c r="F1914" s="15"/>
      <c r="G1914" s="15"/>
      <c r="H1914" s="46"/>
      <c r="I1914" s="46"/>
      <c r="J1914" s="46"/>
      <c r="K1914" s="46"/>
      <c r="L1914" s="46"/>
      <c r="M1914" s="46"/>
      <c r="N1914" s="46"/>
      <c r="O1914" s="46"/>
      <c r="P1914" s="46"/>
      <c r="Q1914" s="46"/>
      <c r="R1914" s="46"/>
      <c r="S1914" s="46"/>
      <c r="T1914" s="46"/>
      <c r="U1914" s="46"/>
      <c r="V1914" s="46"/>
      <c r="W1914" s="46"/>
      <c r="X1914" s="46"/>
      <c r="Y1914" s="46"/>
      <c r="Z1914" s="46"/>
    </row>
    <row r="1915" ht="22.5" customHeight="1">
      <c r="A1915" s="11">
        <v>1913.0</v>
      </c>
      <c r="B1915" s="20">
        <v>45.0</v>
      </c>
      <c r="C1915" s="13" t="s">
        <v>9169</v>
      </c>
      <c r="D1915" s="13" t="s">
        <v>9170</v>
      </c>
      <c r="E1915" s="13" t="s">
        <v>9171</v>
      </c>
      <c r="F1915" s="15"/>
      <c r="G1915" s="15"/>
      <c r="H1915" s="46"/>
      <c r="I1915" s="46"/>
      <c r="J1915" s="46"/>
      <c r="K1915" s="46"/>
      <c r="L1915" s="46"/>
      <c r="M1915" s="46"/>
      <c r="N1915" s="46"/>
      <c r="O1915" s="46"/>
      <c r="P1915" s="46"/>
      <c r="Q1915" s="46"/>
      <c r="R1915" s="46"/>
      <c r="S1915" s="46"/>
      <c r="T1915" s="46"/>
      <c r="U1915" s="46"/>
      <c r="V1915" s="46"/>
      <c r="W1915" s="46"/>
      <c r="X1915" s="46"/>
      <c r="Y1915" s="46"/>
      <c r="Z1915" s="46"/>
    </row>
    <row r="1916" ht="22.5" customHeight="1">
      <c r="A1916" s="17">
        <v>1914.0</v>
      </c>
      <c r="B1916" s="20">
        <v>45.0</v>
      </c>
      <c r="C1916" s="13" t="s">
        <v>10079</v>
      </c>
      <c r="D1916" s="13" t="s">
        <v>10080</v>
      </c>
      <c r="E1916" s="13" t="s">
        <v>10081</v>
      </c>
      <c r="F1916" s="15"/>
      <c r="G1916" s="15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  <c r="S1916" s="46"/>
      <c r="T1916" s="46"/>
      <c r="U1916" s="46"/>
      <c r="V1916" s="46"/>
      <c r="W1916" s="46"/>
      <c r="X1916" s="46"/>
      <c r="Y1916" s="46"/>
      <c r="Z1916" s="46"/>
    </row>
    <row r="1917" ht="22.5" customHeight="1">
      <c r="A1917" s="11">
        <v>1915.0</v>
      </c>
      <c r="B1917" s="20">
        <v>45.0</v>
      </c>
      <c r="C1917" s="13" t="s">
        <v>9210</v>
      </c>
      <c r="D1917" s="13" t="s">
        <v>9211</v>
      </c>
      <c r="E1917" s="13" t="s">
        <v>9212</v>
      </c>
      <c r="F1917" s="15"/>
      <c r="G1917" s="15"/>
      <c r="H1917" s="46"/>
      <c r="I1917" s="46"/>
      <c r="J1917" s="46"/>
      <c r="K1917" s="46"/>
      <c r="L1917" s="46"/>
      <c r="M1917" s="46"/>
      <c r="N1917" s="46"/>
      <c r="O1917" s="46"/>
      <c r="P1917" s="46"/>
      <c r="Q1917" s="46"/>
      <c r="R1917" s="46"/>
      <c r="S1917" s="46"/>
      <c r="T1917" s="46"/>
      <c r="U1917" s="46"/>
      <c r="V1917" s="46"/>
      <c r="W1917" s="46"/>
      <c r="X1917" s="46"/>
      <c r="Y1917" s="46"/>
      <c r="Z1917" s="46"/>
    </row>
    <row r="1918" ht="22.5" customHeight="1">
      <c r="A1918" s="17">
        <v>1916.0</v>
      </c>
      <c r="B1918" s="20">
        <v>45.0</v>
      </c>
      <c r="C1918" s="13" t="s">
        <v>12062</v>
      </c>
      <c r="D1918" s="13" t="s">
        <v>12063</v>
      </c>
      <c r="E1918" s="13" t="s">
        <v>12064</v>
      </c>
      <c r="F1918" s="15"/>
      <c r="G1918" s="15"/>
      <c r="H1918" s="46"/>
      <c r="I1918" s="46"/>
      <c r="J1918" s="46"/>
      <c r="K1918" s="46"/>
      <c r="L1918" s="46"/>
      <c r="M1918" s="46"/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  <c r="X1918" s="46"/>
      <c r="Y1918" s="46"/>
      <c r="Z1918" s="46"/>
    </row>
    <row r="1919" ht="22.5" customHeight="1">
      <c r="A1919" s="11">
        <v>1917.0</v>
      </c>
      <c r="B1919" s="20">
        <v>45.0</v>
      </c>
      <c r="C1919" s="13" t="s">
        <v>9721</v>
      </c>
      <c r="D1919" s="13" t="s">
        <v>9722</v>
      </c>
      <c r="E1919" s="13" t="s">
        <v>12562</v>
      </c>
      <c r="F1919" s="15"/>
      <c r="G1919" s="15"/>
      <c r="H1919" s="46"/>
      <c r="I1919" s="46"/>
      <c r="J1919" s="46"/>
      <c r="K1919" s="46"/>
      <c r="L1919" s="46"/>
      <c r="M1919" s="46"/>
      <c r="N1919" s="46"/>
      <c r="O1919" s="46"/>
      <c r="P1919" s="46"/>
      <c r="Q1919" s="46"/>
      <c r="R1919" s="46"/>
      <c r="S1919" s="46"/>
      <c r="T1919" s="46"/>
      <c r="U1919" s="46"/>
      <c r="V1919" s="46"/>
      <c r="W1919" s="46"/>
      <c r="X1919" s="46"/>
      <c r="Y1919" s="46"/>
      <c r="Z1919" s="46"/>
    </row>
    <row r="1920" ht="22.5" customHeight="1">
      <c r="A1920" s="17">
        <v>1918.0</v>
      </c>
      <c r="B1920" s="20">
        <v>45.0</v>
      </c>
      <c r="C1920" s="13" t="s">
        <v>12563</v>
      </c>
      <c r="D1920" s="13" t="s">
        <v>12564</v>
      </c>
      <c r="E1920" s="13" t="s">
        <v>12565</v>
      </c>
      <c r="F1920" s="15"/>
      <c r="G1920" s="15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  <c r="S1920" s="46"/>
      <c r="T1920" s="46"/>
      <c r="U1920" s="46"/>
      <c r="V1920" s="46"/>
      <c r="W1920" s="46"/>
      <c r="X1920" s="46"/>
      <c r="Y1920" s="46"/>
      <c r="Z1920" s="46"/>
    </row>
    <row r="1921" ht="22.5" customHeight="1">
      <c r="A1921" s="11">
        <v>1919.0</v>
      </c>
      <c r="B1921" s="20">
        <v>45.0</v>
      </c>
      <c r="C1921" s="13" t="s">
        <v>8712</v>
      </c>
      <c r="D1921" s="13" t="s">
        <v>8713</v>
      </c>
      <c r="E1921" s="13" t="s">
        <v>8714</v>
      </c>
      <c r="F1921" s="15"/>
      <c r="G1921" s="15"/>
      <c r="H1921" s="46"/>
      <c r="I1921" s="46"/>
      <c r="J1921" s="46"/>
      <c r="K1921" s="46"/>
      <c r="L1921" s="46"/>
      <c r="M1921" s="46"/>
      <c r="N1921" s="46"/>
      <c r="O1921" s="46"/>
      <c r="P1921" s="46"/>
      <c r="Q1921" s="46"/>
      <c r="R1921" s="46"/>
      <c r="S1921" s="46"/>
      <c r="T1921" s="46"/>
      <c r="U1921" s="46"/>
      <c r="V1921" s="46"/>
      <c r="W1921" s="46"/>
      <c r="X1921" s="46"/>
      <c r="Y1921" s="46"/>
      <c r="Z1921" s="46"/>
    </row>
    <row r="1922" ht="22.5" customHeight="1">
      <c r="A1922" s="17">
        <v>1920.0</v>
      </c>
      <c r="B1922" s="20">
        <v>45.0</v>
      </c>
      <c r="C1922" s="13" t="s">
        <v>4563</v>
      </c>
      <c r="D1922" s="13" t="s">
        <v>4562</v>
      </c>
      <c r="E1922" s="13" t="s">
        <v>11870</v>
      </c>
      <c r="F1922" s="15"/>
      <c r="G1922" s="15"/>
      <c r="H1922" s="46"/>
      <c r="I1922" s="46"/>
      <c r="J1922" s="46"/>
      <c r="K1922" s="46"/>
      <c r="L1922" s="46"/>
      <c r="M1922" s="46"/>
      <c r="N1922" s="46"/>
      <c r="O1922" s="46"/>
      <c r="P1922" s="46"/>
      <c r="Q1922" s="46"/>
      <c r="R1922" s="46"/>
      <c r="S1922" s="46"/>
      <c r="T1922" s="46"/>
      <c r="U1922" s="46"/>
      <c r="V1922" s="46"/>
      <c r="W1922" s="46"/>
      <c r="X1922" s="46"/>
      <c r="Y1922" s="46"/>
      <c r="Z1922" s="46"/>
    </row>
    <row r="1923" ht="22.5" customHeight="1">
      <c r="A1923" s="11">
        <v>1921.0</v>
      </c>
      <c r="B1923" s="20">
        <v>45.0</v>
      </c>
      <c r="C1923" s="13" t="s">
        <v>9518</v>
      </c>
      <c r="D1923" s="13" t="s">
        <v>12566</v>
      </c>
      <c r="E1923" s="13" t="s">
        <v>12567</v>
      </c>
      <c r="F1923" s="15"/>
      <c r="G1923" s="15"/>
      <c r="H1923" s="46"/>
      <c r="I1923" s="46"/>
      <c r="J1923" s="46"/>
      <c r="K1923" s="46"/>
      <c r="L1923" s="46"/>
      <c r="M1923" s="46"/>
      <c r="N1923" s="46"/>
      <c r="O1923" s="46"/>
      <c r="P1923" s="46"/>
      <c r="Q1923" s="46"/>
      <c r="R1923" s="46"/>
      <c r="S1923" s="46"/>
      <c r="T1923" s="46"/>
      <c r="U1923" s="46"/>
      <c r="V1923" s="46"/>
      <c r="W1923" s="46"/>
      <c r="X1923" s="46"/>
      <c r="Y1923" s="46"/>
      <c r="Z1923" s="46"/>
    </row>
    <row r="1924" ht="22.5" customHeight="1">
      <c r="A1924" s="17">
        <v>1922.0</v>
      </c>
      <c r="B1924" s="20">
        <v>45.0</v>
      </c>
      <c r="C1924" s="13" t="s">
        <v>12568</v>
      </c>
      <c r="D1924" s="13" t="s">
        <v>12569</v>
      </c>
      <c r="E1924" s="13" t="s">
        <v>12570</v>
      </c>
      <c r="F1924" s="15"/>
      <c r="G1924" s="15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  <c r="S1924" s="46"/>
      <c r="T1924" s="46"/>
      <c r="U1924" s="46"/>
      <c r="V1924" s="46"/>
      <c r="W1924" s="46"/>
      <c r="X1924" s="46"/>
      <c r="Y1924" s="46"/>
      <c r="Z1924" s="46"/>
    </row>
    <row r="1925" ht="22.5" customHeight="1">
      <c r="A1925" s="11">
        <v>1923.0</v>
      </c>
      <c r="B1925" s="20">
        <v>45.0</v>
      </c>
      <c r="C1925" s="13" t="s">
        <v>10821</v>
      </c>
      <c r="D1925" s="13" t="s">
        <v>10822</v>
      </c>
      <c r="E1925" s="13" t="s">
        <v>10823</v>
      </c>
      <c r="F1925" s="15"/>
      <c r="G1925" s="15"/>
      <c r="H1925" s="46"/>
      <c r="I1925" s="46"/>
      <c r="J1925" s="46"/>
      <c r="K1925" s="46"/>
      <c r="L1925" s="46"/>
      <c r="M1925" s="46"/>
      <c r="N1925" s="46"/>
      <c r="O1925" s="46"/>
      <c r="P1925" s="46"/>
      <c r="Q1925" s="46"/>
      <c r="R1925" s="46"/>
      <c r="S1925" s="46"/>
      <c r="T1925" s="46"/>
      <c r="U1925" s="46"/>
      <c r="V1925" s="46"/>
      <c r="W1925" s="46"/>
      <c r="X1925" s="46"/>
      <c r="Y1925" s="46"/>
      <c r="Z1925" s="46"/>
    </row>
    <row r="1926" ht="22.5" customHeight="1">
      <c r="A1926" s="17">
        <v>1924.0</v>
      </c>
      <c r="B1926" s="20">
        <v>45.0</v>
      </c>
      <c r="C1926" s="13" t="s">
        <v>9180</v>
      </c>
      <c r="D1926" s="13" t="s">
        <v>9181</v>
      </c>
      <c r="E1926" s="13" t="s">
        <v>9182</v>
      </c>
      <c r="F1926" s="15"/>
      <c r="G1926" s="15"/>
      <c r="H1926" s="46"/>
      <c r="I1926" s="46"/>
      <c r="J1926" s="46"/>
      <c r="K1926" s="46"/>
      <c r="L1926" s="46"/>
      <c r="M1926" s="46"/>
      <c r="N1926" s="46"/>
      <c r="O1926" s="46"/>
      <c r="P1926" s="46"/>
      <c r="Q1926" s="46"/>
      <c r="R1926" s="46"/>
      <c r="S1926" s="46"/>
      <c r="T1926" s="46"/>
      <c r="U1926" s="46"/>
      <c r="V1926" s="46"/>
      <c r="W1926" s="46"/>
      <c r="X1926" s="46"/>
      <c r="Y1926" s="46"/>
      <c r="Z1926" s="46"/>
    </row>
    <row r="1927" ht="22.5" customHeight="1">
      <c r="A1927" s="11">
        <v>1925.0</v>
      </c>
      <c r="B1927" s="20">
        <v>45.0</v>
      </c>
      <c r="C1927" s="13" t="s">
        <v>12571</v>
      </c>
      <c r="D1927" s="13" t="s">
        <v>12572</v>
      </c>
      <c r="E1927" s="13" t="s">
        <v>12573</v>
      </c>
      <c r="F1927" s="15"/>
      <c r="G1927" s="15"/>
      <c r="H1927" s="46"/>
      <c r="I1927" s="46"/>
      <c r="J1927" s="46"/>
      <c r="K1927" s="46"/>
      <c r="L1927" s="46"/>
      <c r="M1927" s="46"/>
      <c r="N1927" s="46"/>
      <c r="O1927" s="46"/>
      <c r="P1927" s="46"/>
      <c r="Q1927" s="46"/>
      <c r="R1927" s="46"/>
      <c r="S1927" s="46"/>
      <c r="T1927" s="46"/>
      <c r="U1927" s="46"/>
      <c r="V1927" s="46"/>
      <c r="W1927" s="46"/>
      <c r="X1927" s="46"/>
      <c r="Y1927" s="46"/>
      <c r="Z1927" s="46"/>
    </row>
    <row r="1928" ht="22.5" customHeight="1">
      <c r="A1928" s="17">
        <v>1926.0</v>
      </c>
      <c r="B1928" s="20">
        <v>45.0</v>
      </c>
      <c r="C1928" s="13" t="s">
        <v>12574</v>
      </c>
      <c r="D1928" s="13" t="s">
        <v>12575</v>
      </c>
      <c r="E1928" s="13" t="s">
        <v>12576</v>
      </c>
      <c r="F1928" s="15"/>
      <c r="G1928" s="15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  <c r="S1928" s="46"/>
      <c r="T1928" s="46"/>
      <c r="U1928" s="46"/>
      <c r="V1928" s="46"/>
      <c r="W1928" s="46"/>
      <c r="X1928" s="46"/>
      <c r="Y1928" s="46"/>
      <c r="Z1928" s="46"/>
    </row>
    <row r="1929" ht="22.5" customHeight="1">
      <c r="A1929" s="11">
        <v>1927.0</v>
      </c>
      <c r="B1929" s="20">
        <v>45.0</v>
      </c>
      <c r="C1929" s="13" t="s">
        <v>10106</v>
      </c>
      <c r="D1929" s="13" t="s">
        <v>10107</v>
      </c>
      <c r="E1929" s="13" t="s">
        <v>10108</v>
      </c>
      <c r="F1929" s="15"/>
      <c r="G1929" s="15"/>
      <c r="H1929" s="46"/>
      <c r="I1929" s="46"/>
      <c r="J1929" s="46"/>
      <c r="K1929" s="46"/>
      <c r="L1929" s="46"/>
      <c r="M1929" s="46"/>
      <c r="N1929" s="46"/>
      <c r="O1929" s="46"/>
      <c r="P1929" s="46"/>
      <c r="Q1929" s="46"/>
      <c r="R1929" s="46"/>
      <c r="S1929" s="46"/>
      <c r="T1929" s="46"/>
      <c r="U1929" s="46"/>
      <c r="V1929" s="46"/>
      <c r="W1929" s="46"/>
      <c r="X1929" s="46"/>
      <c r="Y1929" s="46"/>
      <c r="Z1929" s="46"/>
    </row>
    <row r="1930" ht="22.5" customHeight="1">
      <c r="A1930" s="17">
        <v>1928.0</v>
      </c>
      <c r="B1930" s="20">
        <v>45.0</v>
      </c>
      <c r="C1930" s="13" t="s">
        <v>12577</v>
      </c>
      <c r="D1930" s="13" t="s">
        <v>12578</v>
      </c>
      <c r="E1930" s="13" t="s">
        <v>12579</v>
      </c>
      <c r="F1930" s="14" t="s">
        <v>18</v>
      </c>
      <c r="G1930" s="15"/>
      <c r="H1930" s="46"/>
      <c r="I1930" s="46"/>
      <c r="J1930" s="46"/>
      <c r="K1930" s="46"/>
      <c r="L1930" s="46"/>
      <c r="M1930" s="46"/>
      <c r="N1930" s="46"/>
      <c r="O1930" s="46"/>
      <c r="P1930" s="46"/>
      <c r="Q1930" s="46"/>
      <c r="R1930" s="46"/>
      <c r="S1930" s="46"/>
      <c r="T1930" s="46"/>
      <c r="U1930" s="46"/>
      <c r="V1930" s="46"/>
      <c r="W1930" s="46"/>
      <c r="X1930" s="46"/>
      <c r="Y1930" s="46"/>
      <c r="Z1930" s="46"/>
    </row>
    <row r="1931" ht="22.5" customHeight="1">
      <c r="A1931" s="11">
        <v>1929.0</v>
      </c>
      <c r="B1931" s="20">
        <v>45.0</v>
      </c>
      <c r="C1931" s="13" t="s">
        <v>10148</v>
      </c>
      <c r="D1931" s="13" t="s">
        <v>1486</v>
      </c>
      <c r="E1931" s="13" t="s">
        <v>2812</v>
      </c>
      <c r="F1931" s="15"/>
      <c r="G1931" s="15"/>
      <c r="H1931" s="46"/>
      <c r="I1931" s="46"/>
      <c r="J1931" s="46"/>
      <c r="K1931" s="46"/>
      <c r="L1931" s="46"/>
      <c r="M1931" s="46"/>
      <c r="N1931" s="46"/>
      <c r="O1931" s="46"/>
      <c r="P1931" s="46"/>
      <c r="Q1931" s="46"/>
      <c r="R1931" s="46"/>
      <c r="S1931" s="46"/>
      <c r="T1931" s="46"/>
      <c r="U1931" s="46"/>
      <c r="V1931" s="46"/>
      <c r="W1931" s="46"/>
      <c r="X1931" s="46"/>
      <c r="Y1931" s="46"/>
      <c r="Z1931" s="46"/>
    </row>
    <row r="1932" ht="22.5" customHeight="1">
      <c r="A1932" s="17">
        <v>1930.0</v>
      </c>
      <c r="B1932" s="20">
        <v>45.0</v>
      </c>
      <c r="C1932" s="13" t="s">
        <v>12580</v>
      </c>
      <c r="D1932" s="13" t="s">
        <v>12581</v>
      </c>
      <c r="E1932" s="13" t="s">
        <v>12582</v>
      </c>
      <c r="F1932" s="14" t="s">
        <v>18</v>
      </c>
      <c r="G1932" s="15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  <c r="S1932" s="46"/>
      <c r="T1932" s="46"/>
      <c r="U1932" s="46"/>
      <c r="V1932" s="46"/>
      <c r="W1932" s="46"/>
      <c r="X1932" s="46"/>
      <c r="Y1932" s="46"/>
      <c r="Z1932" s="46"/>
    </row>
    <row r="1933" ht="22.5" customHeight="1">
      <c r="A1933" s="11">
        <v>1931.0</v>
      </c>
      <c r="B1933" s="20">
        <v>45.0</v>
      </c>
      <c r="C1933" s="13" t="s">
        <v>12583</v>
      </c>
      <c r="D1933" s="13" t="s">
        <v>12584</v>
      </c>
      <c r="E1933" s="13" t="s">
        <v>12585</v>
      </c>
      <c r="F1933" s="15"/>
      <c r="G1933" s="15"/>
      <c r="H1933" s="46"/>
      <c r="I1933" s="46"/>
      <c r="J1933" s="46"/>
      <c r="K1933" s="46"/>
      <c r="L1933" s="46"/>
      <c r="M1933" s="46"/>
      <c r="N1933" s="46"/>
      <c r="O1933" s="46"/>
      <c r="P1933" s="46"/>
      <c r="Q1933" s="46"/>
      <c r="R1933" s="46"/>
      <c r="S1933" s="46"/>
      <c r="T1933" s="46"/>
      <c r="U1933" s="46"/>
      <c r="V1933" s="46"/>
      <c r="W1933" s="46"/>
      <c r="X1933" s="46"/>
      <c r="Y1933" s="46"/>
      <c r="Z1933" s="46"/>
    </row>
    <row r="1934" ht="22.5" customHeight="1">
      <c r="A1934" s="17">
        <v>1932.0</v>
      </c>
      <c r="B1934" s="20">
        <v>45.0</v>
      </c>
      <c r="C1934" s="13" t="s">
        <v>12586</v>
      </c>
      <c r="D1934" s="13" t="s">
        <v>12587</v>
      </c>
      <c r="E1934" s="13" t="s">
        <v>12588</v>
      </c>
      <c r="F1934" s="14" t="s">
        <v>18</v>
      </c>
      <c r="G1934" s="15"/>
      <c r="H1934" s="46"/>
      <c r="I1934" s="46"/>
      <c r="J1934" s="46"/>
      <c r="K1934" s="46"/>
      <c r="L1934" s="46"/>
      <c r="M1934" s="46"/>
      <c r="N1934" s="46"/>
      <c r="O1934" s="46"/>
      <c r="P1934" s="46"/>
      <c r="Q1934" s="46"/>
      <c r="R1934" s="46"/>
      <c r="S1934" s="46"/>
      <c r="T1934" s="46"/>
      <c r="U1934" s="46"/>
      <c r="V1934" s="46"/>
      <c r="W1934" s="46"/>
      <c r="X1934" s="46"/>
      <c r="Y1934" s="46"/>
      <c r="Z1934" s="46"/>
    </row>
    <row r="1935" ht="22.5" customHeight="1">
      <c r="A1935" s="11">
        <v>1933.0</v>
      </c>
      <c r="B1935" s="20">
        <v>45.0</v>
      </c>
      <c r="C1935" s="13" t="s">
        <v>12589</v>
      </c>
      <c r="D1935" s="13" t="s">
        <v>12590</v>
      </c>
      <c r="E1935" s="13" t="s">
        <v>12591</v>
      </c>
      <c r="F1935" s="14" t="s">
        <v>18</v>
      </c>
      <c r="G1935" s="15"/>
      <c r="H1935" s="46"/>
      <c r="I1935" s="46"/>
      <c r="J1935" s="46"/>
      <c r="K1935" s="46"/>
      <c r="L1935" s="46"/>
      <c r="M1935" s="46"/>
      <c r="N1935" s="46"/>
      <c r="O1935" s="46"/>
      <c r="P1935" s="46"/>
      <c r="Q1935" s="46"/>
      <c r="R1935" s="46"/>
      <c r="S1935" s="46"/>
      <c r="T1935" s="46"/>
      <c r="U1935" s="46"/>
      <c r="V1935" s="46"/>
      <c r="W1935" s="46"/>
      <c r="X1935" s="46"/>
      <c r="Y1935" s="46"/>
      <c r="Z1935" s="46"/>
    </row>
    <row r="1936" ht="22.5" customHeight="1">
      <c r="A1936" s="17">
        <v>1934.0</v>
      </c>
      <c r="B1936" s="20">
        <v>45.0</v>
      </c>
      <c r="C1936" s="13" t="s">
        <v>12592</v>
      </c>
      <c r="D1936" s="13" t="s">
        <v>12593</v>
      </c>
      <c r="E1936" s="13" t="s">
        <v>12594</v>
      </c>
      <c r="F1936" s="15"/>
      <c r="G1936" s="15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  <c r="S1936" s="46"/>
      <c r="T1936" s="46"/>
      <c r="U1936" s="46"/>
      <c r="V1936" s="46"/>
      <c r="W1936" s="46"/>
      <c r="X1936" s="46"/>
      <c r="Y1936" s="46"/>
      <c r="Z1936" s="46"/>
    </row>
    <row r="1937" ht="22.5" customHeight="1">
      <c r="A1937" s="11">
        <v>1935.0</v>
      </c>
      <c r="B1937" s="20">
        <v>45.0</v>
      </c>
      <c r="C1937" s="13" t="s">
        <v>12595</v>
      </c>
      <c r="D1937" s="13" t="s">
        <v>3552</v>
      </c>
      <c r="E1937" s="13" t="s">
        <v>12596</v>
      </c>
      <c r="F1937" s="14" t="s">
        <v>18</v>
      </c>
      <c r="G1937" s="15"/>
      <c r="H1937" s="46"/>
      <c r="I1937" s="46"/>
      <c r="J1937" s="46"/>
      <c r="K1937" s="46"/>
      <c r="L1937" s="46"/>
      <c r="M1937" s="46"/>
      <c r="N1937" s="46"/>
      <c r="O1937" s="46"/>
      <c r="P1937" s="46"/>
      <c r="Q1937" s="46"/>
      <c r="R1937" s="46"/>
      <c r="S1937" s="46"/>
      <c r="T1937" s="46"/>
      <c r="U1937" s="46"/>
      <c r="V1937" s="46"/>
      <c r="W1937" s="46"/>
      <c r="X1937" s="46"/>
      <c r="Y1937" s="46"/>
      <c r="Z1937" s="46"/>
    </row>
    <row r="1938" ht="22.5" customHeight="1">
      <c r="A1938" s="17">
        <v>1936.0</v>
      </c>
      <c r="B1938" s="20">
        <v>45.0</v>
      </c>
      <c r="C1938" s="13" t="s">
        <v>9440</v>
      </c>
      <c r="D1938" s="13" t="s">
        <v>3681</v>
      </c>
      <c r="E1938" s="13" t="s">
        <v>11856</v>
      </c>
      <c r="F1938" s="15"/>
      <c r="G1938" s="15"/>
      <c r="H1938" s="46"/>
      <c r="I1938" s="46"/>
      <c r="J1938" s="46"/>
      <c r="K1938" s="46"/>
      <c r="L1938" s="46"/>
      <c r="M1938" s="46"/>
      <c r="N1938" s="46"/>
      <c r="O1938" s="46"/>
      <c r="P1938" s="46"/>
      <c r="Q1938" s="46"/>
      <c r="R1938" s="46"/>
      <c r="S1938" s="46"/>
      <c r="T1938" s="46"/>
      <c r="U1938" s="46"/>
      <c r="V1938" s="46"/>
      <c r="W1938" s="46"/>
      <c r="X1938" s="46"/>
      <c r="Y1938" s="46"/>
      <c r="Z1938" s="46"/>
    </row>
    <row r="1939" ht="22.5" customHeight="1">
      <c r="A1939" s="11">
        <v>1937.0</v>
      </c>
      <c r="B1939" s="20">
        <v>44.0</v>
      </c>
      <c r="C1939" s="13" t="s">
        <v>12597</v>
      </c>
      <c r="D1939" s="13" t="s">
        <v>12598</v>
      </c>
      <c r="E1939" s="13" t="s">
        <v>12599</v>
      </c>
      <c r="F1939" s="14" t="s">
        <v>18</v>
      </c>
      <c r="G1939" s="15"/>
      <c r="H1939" s="46"/>
      <c r="I1939" s="46"/>
      <c r="J1939" s="46"/>
      <c r="K1939" s="46"/>
      <c r="L1939" s="46"/>
      <c r="M1939" s="46"/>
      <c r="N1939" s="46"/>
      <c r="O1939" s="46"/>
      <c r="P1939" s="46"/>
      <c r="Q1939" s="46"/>
      <c r="R1939" s="46"/>
      <c r="S1939" s="46"/>
      <c r="T1939" s="46"/>
      <c r="U1939" s="46"/>
      <c r="V1939" s="46"/>
      <c r="W1939" s="46"/>
      <c r="X1939" s="46"/>
      <c r="Y1939" s="46"/>
      <c r="Z1939" s="46"/>
    </row>
    <row r="1940" ht="22.5" customHeight="1">
      <c r="A1940" s="17">
        <v>1938.0</v>
      </c>
      <c r="B1940" s="20">
        <v>44.0</v>
      </c>
      <c r="C1940" s="13" t="s">
        <v>12600</v>
      </c>
      <c r="D1940" s="13" t="s">
        <v>12601</v>
      </c>
      <c r="E1940" s="13" t="s">
        <v>12602</v>
      </c>
      <c r="F1940" s="14" t="s">
        <v>18</v>
      </c>
      <c r="G1940" s="15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  <c r="S1940" s="46"/>
      <c r="T1940" s="46"/>
      <c r="U1940" s="46"/>
      <c r="V1940" s="46"/>
      <c r="W1940" s="46"/>
      <c r="X1940" s="46"/>
      <c r="Y1940" s="46"/>
      <c r="Z1940" s="46"/>
    </row>
    <row r="1941" ht="22.5" customHeight="1">
      <c r="A1941" s="11">
        <v>1939.0</v>
      </c>
      <c r="B1941" s="20">
        <v>44.0</v>
      </c>
      <c r="C1941" s="13" t="s">
        <v>4434</v>
      </c>
      <c r="D1941" s="13" t="s">
        <v>4433</v>
      </c>
      <c r="E1941" s="13" t="s">
        <v>12603</v>
      </c>
      <c r="F1941" s="15"/>
      <c r="G1941" s="15"/>
      <c r="H1941" s="46"/>
      <c r="I1941" s="46"/>
      <c r="J1941" s="46"/>
      <c r="K1941" s="46"/>
      <c r="L1941" s="46"/>
      <c r="M1941" s="46"/>
      <c r="N1941" s="46"/>
      <c r="O1941" s="46"/>
      <c r="P1941" s="46"/>
      <c r="Q1941" s="46"/>
      <c r="R1941" s="46"/>
      <c r="S1941" s="46"/>
      <c r="T1941" s="46"/>
      <c r="U1941" s="46"/>
      <c r="V1941" s="46"/>
      <c r="W1941" s="46"/>
      <c r="X1941" s="46"/>
      <c r="Y1941" s="46"/>
      <c r="Z1941" s="46"/>
    </row>
    <row r="1942" ht="22.5" customHeight="1">
      <c r="A1942" s="17">
        <v>1940.0</v>
      </c>
      <c r="B1942" s="20">
        <v>44.0</v>
      </c>
      <c r="C1942" s="13" t="s">
        <v>12604</v>
      </c>
      <c r="D1942" s="13" t="s">
        <v>12605</v>
      </c>
      <c r="E1942" s="13" t="s">
        <v>12606</v>
      </c>
      <c r="F1942" s="15"/>
      <c r="G1942" s="15"/>
      <c r="H1942" s="46"/>
      <c r="I1942" s="46"/>
      <c r="J1942" s="46"/>
      <c r="K1942" s="46"/>
      <c r="L1942" s="46"/>
      <c r="M1942" s="46"/>
      <c r="N1942" s="46"/>
      <c r="O1942" s="46"/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</row>
    <row r="1943" ht="22.5" customHeight="1">
      <c r="A1943" s="11">
        <v>1941.0</v>
      </c>
      <c r="B1943" s="20">
        <v>44.0</v>
      </c>
      <c r="C1943" s="13" t="s">
        <v>9740</v>
      </c>
      <c r="D1943" s="13" t="s">
        <v>9741</v>
      </c>
      <c r="E1943" s="13" t="s">
        <v>12607</v>
      </c>
      <c r="F1943" s="15"/>
      <c r="G1943" s="15"/>
      <c r="H1943" s="46"/>
      <c r="I1943" s="46"/>
      <c r="J1943" s="46"/>
      <c r="K1943" s="46"/>
      <c r="L1943" s="46"/>
      <c r="M1943" s="46"/>
      <c r="N1943" s="46"/>
      <c r="O1943" s="46"/>
      <c r="P1943" s="46"/>
      <c r="Q1943" s="46"/>
      <c r="R1943" s="46"/>
      <c r="S1943" s="46"/>
      <c r="T1943" s="46"/>
      <c r="U1943" s="46"/>
      <c r="V1943" s="46"/>
      <c r="W1943" s="46"/>
      <c r="X1943" s="46"/>
      <c r="Y1943" s="46"/>
      <c r="Z1943" s="46"/>
    </row>
    <row r="1944" ht="22.5" customHeight="1">
      <c r="A1944" s="17">
        <v>1942.0</v>
      </c>
      <c r="B1944" s="20">
        <v>44.0</v>
      </c>
      <c r="C1944" s="13" t="s">
        <v>4766</v>
      </c>
      <c r="D1944" s="13" t="s">
        <v>4765</v>
      </c>
      <c r="E1944" s="13" t="s">
        <v>12608</v>
      </c>
      <c r="F1944" s="14" t="s">
        <v>18</v>
      </c>
      <c r="G1944" s="15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</row>
    <row r="1945" ht="22.5" customHeight="1">
      <c r="A1945" s="11">
        <v>1943.0</v>
      </c>
      <c r="B1945" s="20">
        <v>44.0</v>
      </c>
      <c r="C1945" s="13" t="s">
        <v>12609</v>
      </c>
      <c r="D1945" s="13" t="s">
        <v>12610</v>
      </c>
      <c r="E1945" s="13" t="s">
        <v>12611</v>
      </c>
      <c r="F1945" s="15"/>
      <c r="G1945" s="15"/>
      <c r="H1945" s="46"/>
      <c r="I1945" s="46"/>
      <c r="J1945" s="46"/>
      <c r="K1945" s="46"/>
      <c r="L1945" s="46"/>
      <c r="M1945" s="46"/>
      <c r="N1945" s="46"/>
      <c r="O1945" s="46"/>
      <c r="P1945" s="46"/>
      <c r="Q1945" s="46"/>
      <c r="R1945" s="46"/>
      <c r="S1945" s="46"/>
      <c r="T1945" s="46"/>
      <c r="U1945" s="46"/>
      <c r="V1945" s="46"/>
      <c r="W1945" s="46"/>
      <c r="X1945" s="46"/>
      <c r="Y1945" s="46"/>
      <c r="Z1945" s="46"/>
    </row>
    <row r="1946" ht="22.5" customHeight="1">
      <c r="A1946" s="17">
        <v>1944.0</v>
      </c>
      <c r="B1946" s="20">
        <v>44.0</v>
      </c>
      <c r="C1946" s="13" t="s">
        <v>12612</v>
      </c>
      <c r="D1946" s="13" t="s">
        <v>12613</v>
      </c>
      <c r="E1946" s="13" t="s">
        <v>12614</v>
      </c>
      <c r="F1946" s="14" t="s">
        <v>18</v>
      </c>
      <c r="G1946" s="15"/>
      <c r="H1946" s="46"/>
      <c r="I1946" s="46"/>
      <c r="J1946" s="46"/>
      <c r="K1946" s="46"/>
      <c r="L1946" s="46"/>
      <c r="M1946" s="46"/>
      <c r="N1946" s="46"/>
      <c r="O1946" s="46"/>
      <c r="P1946" s="46"/>
      <c r="Q1946" s="46"/>
      <c r="R1946" s="46"/>
      <c r="S1946" s="46"/>
      <c r="T1946" s="46"/>
      <c r="U1946" s="46"/>
      <c r="V1946" s="46"/>
      <c r="W1946" s="46"/>
      <c r="X1946" s="46"/>
      <c r="Y1946" s="46"/>
      <c r="Z1946" s="46"/>
    </row>
    <row r="1947" ht="22.5" customHeight="1">
      <c r="A1947" s="11">
        <v>1945.0</v>
      </c>
      <c r="B1947" s="20">
        <v>44.0</v>
      </c>
      <c r="C1947" s="13" t="s">
        <v>4417</v>
      </c>
      <c r="D1947" s="13" t="s">
        <v>4416</v>
      </c>
      <c r="E1947" s="13" t="s">
        <v>8947</v>
      </c>
      <c r="F1947" s="15"/>
      <c r="G1947" s="15"/>
      <c r="H1947" s="46"/>
      <c r="I1947" s="46"/>
      <c r="J1947" s="46"/>
      <c r="K1947" s="46"/>
      <c r="L1947" s="46"/>
      <c r="M1947" s="46"/>
      <c r="N1947" s="46"/>
      <c r="O1947" s="46"/>
      <c r="P1947" s="46"/>
      <c r="Q1947" s="46"/>
      <c r="R1947" s="46"/>
      <c r="S1947" s="46"/>
      <c r="T1947" s="46"/>
      <c r="U1947" s="46"/>
      <c r="V1947" s="46"/>
      <c r="W1947" s="46"/>
      <c r="X1947" s="46"/>
      <c r="Y1947" s="46"/>
      <c r="Z1947" s="46"/>
    </row>
    <row r="1948" ht="22.5" customHeight="1">
      <c r="A1948" s="17">
        <v>1946.0</v>
      </c>
      <c r="B1948" s="20">
        <v>44.0</v>
      </c>
      <c r="C1948" s="13" t="s">
        <v>12615</v>
      </c>
      <c r="D1948" s="13" t="s">
        <v>12616</v>
      </c>
      <c r="E1948" s="13" t="s">
        <v>12617</v>
      </c>
      <c r="F1948" s="14" t="s">
        <v>18</v>
      </c>
      <c r="G1948" s="15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  <c r="S1948" s="46"/>
      <c r="T1948" s="46"/>
      <c r="U1948" s="46"/>
      <c r="V1948" s="46"/>
      <c r="W1948" s="46"/>
      <c r="X1948" s="46"/>
      <c r="Y1948" s="46"/>
      <c r="Z1948" s="46"/>
    </row>
    <row r="1949" ht="22.5" customHeight="1">
      <c r="A1949" s="11">
        <v>1947.0</v>
      </c>
      <c r="B1949" s="20">
        <v>44.0</v>
      </c>
      <c r="C1949" s="13" t="s">
        <v>12618</v>
      </c>
      <c r="D1949" s="13" t="s">
        <v>12619</v>
      </c>
      <c r="E1949" s="13" t="s">
        <v>12620</v>
      </c>
      <c r="F1949" s="15"/>
      <c r="G1949" s="15"/>
      <c r="H1949" s="46"/>
      <c r="I1949" s="46"/>
      <c r="J1949" s="46"/>
      <c r="K1949" s="46"/>
      <c r="L1949" s="46"/>
      <c r="M1949" s="46"/>
      <c r="N1949" s="46"/>
      <c r="O1949" s="46"/>
      <c r="P1949" s="46"/>
      <c r="Q1949" s="46"/>
      <c r="R1949" s="46"/>
      <c r="S1949" s="46"/>
      <c r="T1949" s="46"/>
      <c r="U1949" s="46"/>
      <c r="V1949" s="46"/>
      <c r="W1949" s="46"/>
      <c r="X1949" s="46"/>
      <c r="Y1949" s="46"/>
      <c r="Z1949" s="46"/>
    </row>
    <row r="1950" ht="22.5" customHeight="1">
      <c r="A1950" s="17">
        <v>1948.0</v>
      </c>
      <c r="B1950" s="20">
        <v>44.0</v>
      </c>
      <c r="C1950" s="13" t="s">
        <v>12621</v>
      </c>
      <c r="D1950" s="13" t="s">
        <v>12622</v>
      </c>
      <c r="E1950" s="13" t="s">
        <v>12623</v>
      </c>
      <c r="F1950" s="14" t="s">
        <v>18</v>
      </c>
      <c r="G1950" s="15"/>
      <c r="H1950" s="46"/>
      <c r="I1950" s="46"/>
      <c r="J1950" s="46"/>
      <c r="K1950" s="46"/>
      <c r="L1950" s="46"/>
      <c r="M1950" s="46"/>
      <c r="N1950" s="46"/>
      <c r="O1950" s="46"/>
      <c r="P1950" s="46"/>
      <c r="Q1950" s="46"/>
      <c r="R1950" s="46"/>
      <c r="S1950" s="46"/>
      <c r="T1950" s="46"/>
      <c r="U1950" s="46"/>
      <c r="V1950" s="46"/>
      <c r="W1950" s="46"/>
      <c r="X1950" s="46"/>
      <c r="Y1950" s="46"/>
      <c r="Z1950" s="46"/>
    </row>
    <row r="1951" ht="22.5" customHeight="1">
      <c r="A1951" s="11">
        <v>1949.0</v>
      </c>
      <c r="B1951" s="20">
        <v>44.0</v>
      </c>
      <c r="C1951" s="13" t="s">
        <v>12624</v>
      </c>
      <c r="D1951" s="13" t="s">
        <v>12625</v>
      </c>
      <c r="E1951" s="13" t="s">
        <v>12626</v>
      </c>
      <c r="F1951" s="15"/>
      <c r="G1951" s="15"/>
      <c r="H1951" s="46"/>
      <c r="I1951" s="46"/>
      <c r="J1951" s="46"/>
      <c r="K1951" s="46"/>
      <c r="L1951" s="46"/>
      <c r="M1951" s="46"/>
      <c r="N1951" s="46"/>
      <c r="O1951" s="46"/>
      <c r="P1951" s="46"/>
      <c r="Q1951" s="46"/>
      <c r="R1951" s="46"/>
      <c r="S1951" s="46"/>
      <c r="T1951" s="46"/>
      <c r="U1951" s="46"/>
      <c r="V1951" s="46"/>
      <c r="W1951" s="46"/>
      <c r="X1951" s="46"/>
      <c r="Y1951" s="46"/>
      <c r="Z1951" s="46"/>
    </row>
    <row r="1952" ht="22.5" customHeight="1">
      <c r="A1952" s="17">
        <v>1950.0</v>
      </c>
      <c r="B1952" s="20">
        <v>44.0</v>
      </c>
      <c r="C1952" s="13" t="s">
        <v>12627</v>
      </c>
      <c r="D1952" s="13" t="s">
        <v>12628</v>
      </c>
      <c r="E1952" s="13" t="s">
        <v>12629</v>
      </c>
      <c r="F1952" s="14" t="s">
        <v>18</v>
      </c>
      <c r="G1952" s="15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  <c r="S1952" s="46"/>
      <c r="T1952" s="46"/>
      <c r="U1952" s="46"/>
      <c r="V1952" s="46"/>
      <c r="W1952" s="46"/>
      <c r="X1952" s="46"/>
      <c r="Y1952" s="46"/>
      <c r="Z1952" s="46"/>
    </row>
    <row r="1953" ht="22.5" customHeight="1">
      <c r="A1953" s="11">
        <v>1951.0</v>
      </c>
      <c r="B1953" s="20">
        <v>44.0</v>
      </c>
      <c r="C1953" s="13" t="s">
        <v>12630</v>
      </c>
      <c r="D1953" s="13" t="s">
        <v>12631</v>
      </c>
      <c r="E1953" s="13" t="s">
        <v>12632</v>
      </c>
      <c r="F1953" s="14" t="s">
        <v>18</v>
      </c>
      <c r="G1953" s="15"/>
      <c r="H1953" s="46"/>
      <c r="I1953" s="46"/>
      <c r="J1953" s="46"/>
      <c r="K1953" s="46"/>
      <c r="L1953" s="46"/>
      <c r="M1953" s="46"/>
      <c r="N1953" s="46"/>
      <c r="O1953" s="46"/>
      <c r="P1953" s="46"/>
      <c r="Q1953" s="46"/>
      <c r="R1953" s="46"/>
      <c r="S1953" s="46"/>
      <c r="T1953" s="46"/>
      <c r="U1953" s="46"/>
      <c r="V1953" s="46"/>
      <c r="W1953" s="46"/>
      <c r="X1953" s="46"/>
      <c r="Y1953" s="46"/>
      <c r="Z1953" s="46"/>
    </row>
    <row r="1954" ht="22.5" customHeight="1">
      <c r="A1954" s="17">
        <v>1952.0</v>
      </c>
      <c r="B1954" s="20">
        <v>44.0</v>
      </c>
      <c r="C1954" s="13" t="s">
        <v>12633</v>
      </c>
      <c r="D1954" s="13" t="s">
        <v>12634</v>
      </c>
      <c r="E1954" s="13" t="s">
        <v>12635</v>
      </c>
      <c r="F1954" s="15"/>
      <c r="G1954" s="15"/>
      <c r="H1954" s="46"/>
      <c r="I1954" s="46"/>
      <c r="J1954" s="46"/>
      <c r="K1954" s="46"/>
      <c r="L1954" s="46"/>
      <c r="M1954" s="46"/>
      <c r="N1954" s="46"/>
      <c r="O1954" s="46"/>
      <c r="P1954" s="46"/>
      <c r="Q1954" s="46"/>
      <c r="R1954" s="46"/>
      <c r="S1954" s="46"/>
      <c r="T1954" s="46"/>
      <c r="U1954" s="46"/>
      <c r="V1954" s="46"/>
      <c r="W1954" s="46"/>
      <c r="X1954" s="46"/>
      <c r="Y1954" s="46"/>
      <c r="Z1954" s="46"/>
    </row>
    <row r="1955" ht="22.5" customHeight="1">
      <c r="A1955" s="11">
        <v>1953.0</v>
      </c>
      <c r="B1955" s="20">
        <v>44.0</v>
      </c>
      <c r="C1955" s="13" t="s">
        <v>12636</v>
      </c>
      <c r="D1955" s="13" t="s">
        <v>12637</v>
      </c>
      <c r="E1955" s="13" t="s">
        <v>12638</v>
      </c>
      <c r="F1955" s="15"/>
      <c r="G1955" s="15"/>
      <c r="H1955" s="46"/>
      <c r="I1955" s="46"/>
      <c r="J1955" s="46"/>
      <c r="K1955" s="46"/>
      <c r="L1955" s="46"/>
      <c r="M1955" s="46"/>
      <c r="N1955" s="46"/>
      <c r="O1955" s="46"/>
      <c r="P1955" s="46"/>
      <c r="Q1955" s="46"/>
      <c r="R1955" s="46"/>
      <c r="S1955" s="46"/>
      <c r="T1955" s="46"/>
      <c r="U1955" s="46"/>
      <c r="V1955" s="46"/>
      <c r="W1955" s="46"/>
      <c r="X1955" s="46"/>
      <c r="Y1955" s="46"/>
      <c r="Z1955" s="46"/>
    </row>
    <row r="1956" ht="22.5" customHeight="1">
      <c r="A1956" s="17">
        <v>1954.0</v>
      </c>
      <c r="B1956" s="20">
        <v>44.0</v>
      </c>
      <c r="C1956" s="13" t="s">
        <v>12639</v>
      </c>
      <c r="D1956" s="13" t="s">
        <v>12640</v>
      </c>
      <c r="E1956" s="13" t="s">
        <v>12641</v>
      </c>
      <c r="F1956" s="14" t="s">
        <v>18</v>
      </c>
      <c r="G1956" s="15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  <c r="S1956" s="46"/>
      <c r="T1956" s="46"/>
      <c r="U1956" s="46"/>
      <c r="V1956" s="46"/>
      <c r="W1956" s="46"/>
      <c r="X1956" s="46"/>
      <c r="Y1956" s="46"/>
      <c r="Z1956" s="46"/>
    </row>
    <row r="1957" ht="22.5" customHeight="1">
      <c r="A1957" s="11">
        <v>1955.0</v>
      </c>
      <c r="B1957" s="20">
        <v>44.0</v>
      </c>
      <c r="C1957" s="13" t="s">
        <v>12642</v>
      </c>
      <c r="D1957" s="13" t="s">
        <v>12643</v>
      </c>
      <c r="E1957" s="13" t="s">
        <v>12644</v>
      </c>
      <c r="F1957" s="15"/>
      <c r="G1957" s="15"/>
      <c r="H1957" s="46"/>
      <c r="I1957" s="46"/>
      <c r="J1957" s="46"/>
      <c r="K1957" s="46"/>
      <c r="L1957" s="46"/>
      <c r="M1957" s="46"/>
      <c r="N1957" s="46"/>
      <c r="O1957" s="46"/>
      <c r="P1957" s="46"/>
      <c r="Q1957" s="46"/>
      <c r="R1957" s="46"/>
      <c r="S1957" s="46"/>
      <c r="T1957" s="46"/>
      <c r="U1957" s="46"/>
      <c r="V1957" s="46"/>
      <c r="W1957" s="46"/>
      <c r="X1957" s="46"/>
      <c r="Y1957" s="46"/>
      <c r="Z1957" s="46"/>
    </row>
    <row r="1958" ht="22.5" customHeight="1">
      <c r="A1958" s="17">
        <v>1956.0</v>
      </c>
      <c r="B1958" s="20">
        <v>44.0</v>
      </c>
      <c r="C1958" s="13" t="s">
        <v>12645</v>
      </c>
      <c r="D1958" s="13" t="s">
        <v>12646</v>
      </c>
      <c r="E1958" s="13" t="s">
        <v>12647</v>
      </c>
      <c r="F1958" s="15"/>
      <c r="G1958" s="15"/>
      <c r="H1958" s="46"/>
      <c r="I1958" s="46"/>
      <c r="J1958" s="46"/>
      <c r="K1958" s="46"/>
      <c r="L1958" s="46"/>
      <c r="M1958" s="46"/>
      <c r="N1958" s="46"/>
      <c r="O1958" s="46"/>
      <c r="P1958" s="46"/>
      <c r="Q1958" s="46"/>
      <c r="R1958" s="46"/>
      <c r="S1958" s="46"/>
      <c r="T1958" s="46"/>
      <c r="U1958" s="46"/>
      <c r="V1958" s="46"/>
      <c r="W1958" s="46"/>
      <c r="X1958" s="46"/>
      <c r="Y1958" s="46"/>
      <c r="Z1958" s="46"/>
    </row>
    <row r="1959" ht="22.5" customHeight="1">
      <c r="A1959" s="11">
        <v>1957.0</v>
      </c>
      <c r="B1959" s="20">
        <v>43.0</v>
      </c>
      <c r="C1959" s="13" t="s">
        <v>10139</v>
      </c>
      <c r="D1959" s="13" t="s">
        <v>10140</v>
      </c>
      <c r="E1959" s="13" t="s">
        <v>12648</v>
      </c>
      <c r="F1959" s="15"/>
      <c r="G1959" s="15"/>
      <c r="H1959" s="46"/>
      <c r="I1959" s="46"/>
      <c r="J1959" s="46"/>
      <c r="K1959" s="46"/>
      <c r="L1959" s="46"/>
      <c r="M1959" s="46"/>
      <c r="N1959" s="46"/>
      <c r="O1959" s="46"/>
      <c r="P1959" s="46"/>
      <c r="Q1959" s="46"/>
      <c r="R1959" s="46"/>
      <c r="S1959" s="46"/>
      <c r="T1959" s="46"/>
      <c r="U1959" s="46"/>
      <c r="V1959" s="46"/>
      <c r="W1959" s="46"/>
      <c r="X1959" s="46"/>
      <c r="Y1959" s="46"/>
      <c r="Z1959" s="46"/>
    </row>
    <row r="1960" ht="22.5" customHeight="1">
      <c r="A1960" s="17">
        <v>1958.0</v>
      </c>
      <c r="B1960" s="20">
        <v>43.0</v>
      </c>
      <c r="C1960" s="13" t="s">
        <v>10142</v>
      </c>
      <c r="D1960" s="13" t="s">
        <v>10143</v>
      </c>
      <c r="E1960" s="13" t="s">
        <v>10144</v>
      </c>
      <c r="F1960" s="15"/>
      <c r="G1960" s="15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  <c r="S1960" s="46"/>
      <c r="T1960" s="46"/>
      <c r="U1960" s="46"/>
      <c r="V1960" s="46"/>
      <c r="W1960" s="46"/>
      <c r="X1960" s="46"/>
      <c r="Y1960" s="46"/>
      <c r="Z1960" s="46"/>
    </row>
    <row r="1961" ht="22.5" customHeight="1">
      <c r="A1961" s="11">
        <v>1959.0</v>
      </c>
      <c r="B1961" s="20">
        <v>43.0</v>
      </c>
      <c r="C1961" s="13" t="s">
        <v>10148</v>
      </c>
      <c r="D1961" s="13" t="s">
        <v>1486</v>
      </c>
      <c r="E1961" s="13" t="s">
        <v>12649</v>
      </c>
      <c r="F1961" s="15"/>
      <c r="G1961" s="15"/>
      <c r="H1961" s="46"/>
      <c r="I1961" s="46"/>
      <c r="J1961" s="46"/>
      <c r="K1961" s="46"/>
      <c r="L1961" s="46"/>
      <c r="M1961" s="46"/>
      <c r="N1961" s="46"/>
      <c r="O1961" s="46"/>
      <c r="P1961" s="46"/>
      <c r="Q1961" s="46"/>
      <c r="R1961" s="46"/>
      <c r="S1961" s="46"/>
      <c r="T1961" s="46"/>
      <c r="U1961" s="46"/>
      <c r="V1961" s="46"/>
      <c r="W1961" s="46"/>
      <c r="X1961" s="46"/>
      <c r="Y1961" s="46"/>
      <c r="Z1961" s="46"/>
    </row>
    <row r="1962" ht="22.5" customHeight="1">
      <c r="A1962" s="17">
        <v>1960.0</v>
      </c>
      <c r="B1962" s="20">
        <v>43.0</v>
      </c>
      <c r="C1962" s="13" t="s">
        <v>11571</v>
      </c>
      <c r="D1962" s="13" t="s">
        <v>11572</v>
      </c>
      <c r="E1962" s="13" t="s">
        <v>11573</v>
      </c>
      <c r="F1962" s="15"/>
      <c r="G1962" s="15"/>
      <c r="H1962" s="46"/>
      <c r="I1962" s="46"/>
      <c r="J1962" s="46"/>
      <c r="K1962" s="46"/>
      <c r="L1962" s="46"/>
      <c r="M1962" s="46"/>
      <c r="N1962" s="46"/>
      <c r="O1962" s="46"/>
      <c r="P1962" s="46"/>
      <c r="Q1962" s="46"/>
      <c r="R1962" s="46"/>
      <c r="S1962" s="46"/>
      <c r="T1962" s="46"/>
      <c r="U1962" s="46"/>
      <c r="V1962" s="46"/>
      <c r="W1962" s="46"/>
      <c r="X1962" s="46"/>
      <c r="Y1962" s="46"/>
      <c r="Z1962" s="46"/>
    </row>
    <row r="1963" ht="22.5" customHeight="1">
      <c r="A1963" s="11">
        <v>1961.0</v>
      </c>
      <c r="B1963" s="20">
        <v>43.0</v>
      </c>
      <c r="C1963" s="13" t="s">
        <v>10149</v>
      </c>
      <c r="D1963" s="13" t="s">
        <v>10150</v>
      </c>
      <c r="E1963" s="13" t="s">
        <v>10151</v>
      </c>
      <c r="F1963" s="15"/>
      <c r="G1963" s="15"/>
      <c r="H1963" s="46"/>
      <c r="I1963" s="46"/>
      <c r="J1963" s="46"/>
      <c r="K1963" s="46"/>
      <c r="L1963" s="46"/>
      <c r="M1963" s="46"/>
      <c r="N1963" s="46"/>
      <c r="O1963" s="46"/>
      <c r="P1963" s="46"/>
      <c r="Q1963" s="46"/>
      <c r="R1963" s="46"/>
      <c r="S1963" s="46"/>
      <c r="T1963" s="46"/>
      <c r="U1963" s="46"/>
      <c r="V1963" s="46"/>
      <c r="W1963" s="46"/>
      <c r="X1963" s="46"/>
      <c r="Y1963" s="46"/>
      <c r="Z1963" s="46"/>
    </row>
    <row r="1964" ht="22.5" customHeight="1">
      <c r="A1964" s="17">
        <v>1962.0</v>
      </c>
      <c r="B1964" s="20">
        <v>43.0</v>
      </c>
      <c r="C1964" s="13" t="s">
        <v>10152</v>
      </c>
      <c r="D1964" s="13" t="s">
        <v>10153</v>
      </c>
      <c r="E1964" s="13" t="s">
        <v>10154</v>
      </c>
      <c r="F1964" s="15"/>
      <c r="G1964" s="15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</row>
    <row r="1965" ht="22.5" customHeight="1">
      <c r="A1965" s="11">
        <v>1963.0</v>
      </c>
      <c r="B1965" s="20">
        <v>43.0</v>
      </c>
      <c r="C1965" s="13" t="s">
        <v>4714</v>
      </c>
      <c r="D1965" s="13" t="s">
        <v>9051</v>
      </c>
      <c r="E1965" s="13" t="s">
        <v>9697</v>
      </c>
      <c r="F1965" s="15"/>
      <c r="G1965" s="15"/>
      <c r="H1965" s="46"/>
      <c r="I1965" s="46"/>
      <c r="J1965" s="46"/>
      <c r="K1965" s="46"/>
      <c r="L1965" s="46"/>
      <c r="M1965" s="46"/>
      <c r="N1965" s="46"/>
      <c r="O1965" s="46"/>
      <c r="P1965" s="46"/>
      <c r="Q1965" s="46"/>
      <c r="R1965" s="46"/>
      <c r="S1965" s="46"/>
      <c r="T1965" s="46"/>
      <c r="U1965" s="46"/>
      <c r="V1965" s="46"/>
      <c r="W1965" s="46"/>
      <c r="X1965" s="46"/>
      <c r="Y1965" s="46"/>
      <c r="Z1965" s="46"/>
    </row>
    <row r="1966" ht="22.5" customHeight="1">
      <c r="A1966" s="17">
        <v>1964.0</v>
      </c>
      <c r="B1966" s="20">
        <v>43.0</v>
      </c>
      <c r="C1966" s="13" t="s">
        <v>9020</v>
      </c>
      <c r="D1966" s="13" t="s">
        <v>1730</v>
      </c>
      <c r="E1966" s="13" t="s">
        <v>12650</v>
      </c>
      <c r="F1966" s="15"/>
      <c r="G1966" s="15"/>
      <c r="H1966" s="46"/>
      <c r="I1966" s="46"/>
      <c r="J1966" s="46"/>
      <c r="K1966" s="46"/>
      <c r="L1966" s="46"/>
      <c r="M1966" s="46"/>
      <c r="N1966" s="46"/>
      <c r="O1966" s="46"/>
      <c r="P1966" s="46"/>
      <c r="Q1966" s="46"/>
      <c r="R1966" s="46"/>
      <c r="S1966" s="46"/>
      <c r="T1966" s="46"/>
      <c r="U1966" s="46"/>
      <c r="V1966" s="46"/>
      <c r="W1966" s="46"/>
      <c r="X1966" s="46"/>
      <c r="Y1966" s="46"/>
      <c r="Z1966" s="46"/>
    </row>
    <row r="1967" ht="22.5" customHeight="1">
      <c r="A1967" s="11">
        <v>1965.0</v>
      </c>
      <c r="B1967" s="20">
        <v>43.0</v>
      </c>
      <c r="C1967" s="13" t="s">
        <v>12435</v>
      </c>
      <c r="D1967" s="13" t="s">
        <v>2506</v>
      </c>
      <c r="E1967" s="13" t="s">
        <v>2507</v>
      </c>
      <c r="F1967" s="15"/>
      <c r="G1967" s="15"/>
      <c r="H1967" s="46"/>
      <c r="I1967" s="46"/>
      <c r="J1967" s="46"/>
      <c r="K1967" s="46"/>
      <c r="L1967" s="46"/>
      <c r="M1967" s="46"/>
      <c r="N1967" s="46"/>
      <c r="O1967" s="46"/>
      <c r="P1967" s="46"/>
      <c r="Q1967" s="46"/>
      <c r="R1967" s="46"/>
      <c r="S1967" s="46"/>
      <c r="T1967" s="46"/>
      <c r="U1967" s="46"/>
      <c r="V1967" s="46"/>
      <c r="W1967" s="46"/>
      <c r="X1967" s="46"/>
      <c r="Y1967" s="46"/>
      <c r="Z1967" s="46"/>
    </row>
    <row r="1968" ht="22.5" customHeight="1">
      <c r="A1968" s="17">
        <v>1966.0</v>
      </c>
      <c r="B1968" s="20">
        <v>43.0</v>
      </c>
      <c r="C1968" s="13" t="s">
        <v>11447</v>
      </c>
      <c r="D1968" s="13" t="s">
        <v>11448</v>
      </c>
      <c r="E1968" s="13" t="s">
        <v>11449</v>
      </c>
      <c r="F1968" s="15"/>
      <c r="G1968" s="15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  <c r="S1968" s="46"/>
      <c r="T1968" s="46"/>
      <c r="U1968" s="46"/>
      <c r="V1968" s="46"/>
      <c r="W1968" s="46"/>
      <c r="X1968" s="46"/>
      <c r="Y1968" s="46"/>
      <c r="Z1968" s="46"/>
    </row>
    <row r="1969" ht="22.5" customHeight="1">
      <c r="A1969" s="11">
        <v>1967.0</v>
      </c>
      <c r="B1969" s="20">
        <v>43.0</v>
      </c>
      <c r="C1969" s="13" t="s">
        <v>5556</v>
      </c>
      <c r="D1969" s="13" t="s">
        <v>5555</v>
      </c>
      <c r="E1969" s="13" t="s">
        <v>9321</v>
      </c>
      <c r="F1969" s="15"/>
      <c r="G1969" s="15"/>
      <c r="H1969" s="46"/>
      <c r="I1969" s="46"/>
      <c r="J1969" s="46"/>
      <c r="K1969" s="46"/>
      <c r="L1969" s="46"/>
      <c r="M1969" s="46"/>
      <c r="N1969" s="46"/>
      <c r="O1969" s="46"/>
      <c r="P1969" s="46"/>
      <c r="Q1969" s="46"/>
      <c r="R1969" s="46"/>
      <c r="S1969" s="46"/>
      <c r="T1969" s="46"/>
      <c r="U1969" s="46"/>
      <c r="V1969" s="46"/>
      <c r="W1969" s="46"/>
      <c r="X1969" s="46"/>
      <c r="Y1969" s="46"/>
      <c r="Z1969" s="46"/>
    </row>
    <row r="1970" ht="22.5" customHeight="1">
      <c r="A1970" s="17">
        <v>1968.0</v>
      </c>
      <c r="B1970" s="20">
        <v>43.0</v>
      </c>
      <c r="C1970" s="13" t="s">
        <v>12651</v>
      </c>
      <c r="D1970" s="13" t="s">
        <v>12652</v>
      </c>
      <c r="E1970" s="13" t="s">
        <v>12653</v>
      </c>
      <c r="F1970" s="15"/>
      <c r="G1970" s="15"/>
      <c r="H1970" s="46"/>
      <c r="I1970" s="46"/>
      <c r="J1970" s="46"/>
      <c r="K1970" s="46"/>
      <c r="L1970" s="46"/>
      <c r="M1970" s="46"/>
      <c r="N1970" s="46"/>
      <c r="O1970" s="46"/>
      <c r="P1970" s="46"/>
      <c r="Q1970" s="46"/>
      <c r="R1970" s="46"/>
      <c r="S1970" s="46"/>
      <c r="T1970" s="46"/>
      <c r="U1970" s="46"/>
      <c r="V1970" s="46"/>
      <c r="W1970" s="46"/>
      <c r="X1970" s="46"/>
      <c r="Y1970" s="46"/>
      <c r="Z1970" s="46"/>
    </row>
    <row r="1971" ht="22.5" customHeight="1">
      <c r="A1971" s="11">
        <v>1969.0</v>
      </c>
      <c r="B1971" s="20">
        <v>43.0</v>
      </c>
      <c r="C1971" s="13" t="s">
        <v>9217</v>
      </c>
      <c r="D1971" s="13" t="s">
        <v>3649</v>
      </c>
      <c r="E1971" s="13" t="s">
        <v>3650</v>
      </c>
      <c r="F1971" s="15"/>
      <c r="G1971" s="15"/>
      <c r="H1971" s="46"/>
      <c r="I1971" s="46"/>
      <c r="J1971" s="46"/>
      <c r="K1971" s="46"/>
      <c r="L1971" s="46"/>
      <c r="M1971" s="46"/>
      <c r="N1971" s="46"/>
      <c r="O1971" s="46"/>
      <c r="P1971" s="46"/>
      <c r="Q1971" s="46"/>
      <c r="R1971" s="46"/>
      <c r="S1971" s="46"/>
      <c r="T1971" s="46"/>
      <c r="U1971" s="46"/>
      <c r="V1971" s="46"/>
      <c r="W1971" s="46"/>
      <c r="X1971" s="46"/>
      <c r="Y1971" s="46"/>
      <c r="Z1971" s="46"/>
    </row>
    <row r="1972" ht="22.5" customHeight="1">
      <c r="A1972" s="17">
        <v>1970.0</v>
      </c>
      <c r="B1972" s="20">
        <v>43.0</v>
      </c>
      <c r="C1972" s="13" t="s">
        <v>4563</v>
      </c>
      <c r="D1972" s="13" t="s">
        <v>4562</v>
      </c>
      <c r="E1972" s="13" t="s">
        <v>11870</v>
      </c>
      <c r="F1972" s="15"/>
      <c r="G1972" s="15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  <c r="S1972" s="46"/>
      <c r="T1972" s="46"/>
      <c r="U1972" s="46"/>
      <c r="V1972" s="46"/>
      <c r="W1972" s="46"/>
      <c r="X1972" s="46"/>
      <c r="Y1972" s="46"/>
      <c r="Z1972" s="46"/>
    </row>
    <row r="1973" ht="22.5" customHeight="1">
      <c r="A1973" s="11">
        <v>1971.0</v>
      </c>
      <c r="B1973" s="20">
        <v>43.0</v>
      </c>
      <c r="C1973" s="13" t="s">
        <v>10740</v>
      </c>
      <c r="D1973" s="13" t="s">
        <v>10741</v>
      </c>
      <c r="E1973" s="13" t="s">
        <v>10742</v>
      </c>
      <c r="F1973" s="15"/>
      <c r="G1973" s="15"/>
      <c r="H1973" s="46"/>
      <c r="I1973" s="46"/>
      <c r="J1973" s="46"/>
      <c r="K1973" s="46"/>
      <c r="L1973" s="46"/>
      <c r="M1973" s="46"/>
      <c r="N1973" s="46"/>
      <c r="O1973" s="46"/>
      <c r="P1973" s="46"/>
      <c r="Q1973" s="46"/>
      <c r="R1973" s="46"/>
      <c r="S1973" s="46"/>
      <c r="T1973" s="46"/>
      <c r="U1973" s="46"/>
      <c r="V1973" s="46"/>
      <c r="W1973" s="46"/>
      <c r="X1973" s="46"/>
      <c r="Y1973" s="46"/>
      <c r="Z1973" s="46"/>
    </row>
    <row r="1974" ht="22.5" customHeight="1">
      <c r="A1974" s="17">
        <v>1972.0</v>
      </c>
      <c r="B1974" s="20">
        <v>43.0</v>
      </c>
      <c r="C1974" s="13" t="s">
        <v>9434</v>
      </c>
      <c r="D1974" s="13" t="s">
        <v>9435</v>
      </c>
      <c r="E1974" s="13" t="s">
        <v>9436</v>
      </c>
      <c r="F1974" s="15"/>
      <c r="G1974" s="15"/>
      <c r="H1974" s="46"/>
      <c r="I1974" s="46"/>
      <c r="J1974" s="46"/>
      <c r="K1974" s="46"/>
      <c r="L1974" s="46"/>
      <c r="M1974" s="46"/>
      <c r="N1974" s="46"/>
      <c r="O1974" s="46"/>
      <c r="P1974" s="46"/>
      <c r="Q1974" s="46"/>
      <c r="R1974" s="46"/>
      <c r="S1974" s="46"/>
      <c r="T1974" s="46"/>
      <c r="U1974" s="46"/>
      <c r="V1974" s="46"/>
      <c r="W1974" s="46"/>
      <c r="X1974" s="46"/>
      <c r="Y1974" s="46"/>
      <c r="Z1974" s="46"/>
    </row>
    <row r="1975" ht="22.5" customHeight="1">
      <c r="A1975" s="11">
        <v>1973.0</v>
      </c>
      <c r="B1975" s="20">
        <v>43.0</v>
      </c>
      <c r="C1975" s="13" t="s">
        <v>5082</v>
      </c>
      <c r="D1975" s="13" t="s">
        <v>9615</v>
      </c>
      <c r="E1975" s="13" t="s">
        <v>9616</v>
      </c>
      <c r="F1975" s="15"/>
      <c r="G1975" s="15"/>
      <c r="H1975" s="46"/>
      <c r="I1975" s="46"/>
      <c r="J1975" s="46"/>
      <c r="K1975" s="46"/>
      <c r="L1975" s="46"/>
      <c r="M1975" s="46"/>
      <c r="N1975" s="46"/>
      <c r="O1975" s="46"/>
      <c r="P1975" s="46"/>
      <c r="Q1975" s="46"/>
      <c r="R1975" s="46"/>
      <c r="S1975" s="46"/>
      <c r="T1975" s="46"/>
      <c r="U1975" s="46"/>
      <c r="V1975" s="46"/>
      <c r="W1975" s="46"/>
      <c r="X1975" s="46"/>
      <c r="Y1975" s="46"/>
      <c r="Z1975" s="46"/>
    </row>
    <row r="1976" ht="22.5" customHeight="1">
      <c r="A1976" s="17">
        <v>1974.0</v>
      </c>
      <c r="B1976" s="20">
        <v>43.0</v>
      </c>
      <c r="C1976" s="13" t="s">
        <v>9180</v>
      </c>
      <c r="D1976" s="13" t="s">
        <v>9181</v>
      </c>
      <c r="E1976" s="13" t="s">
        <v>9182</v>
      </c>
      <c r="F1976" s="15"/>
      <c r="G1976" s="15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  <c r="S1976" s="46"/>
      <c r="T1976" s="46"/>
      <c r="U1976" s="46"/>
      <c r="V1976" s="46"/>
      <c r="W1976" s="46"/>
      <c r="X1976" s="46"/>
      <c r="Y1976" s="46"/>
      <c r="Z1976" s="46"/>
    </row>
    <row r="1977" ht="22.5" customHeight="1">
      <c r="A1977" s="11">
        <v>1975.0</v>
      </c>
      <c r="B1977" s="20">
        <v>43.0</v>
      </c>
      <c r="C1977" s="13" t="s">
        <v>9472</v>
      </c>
      <c r="D1977" s="13" t="s">
        <v>9473</v>
      </c>
      <c r="E1977" s="13" t="s">
        <v>9474</v>
      </c>
      <c r="F1977" s="15"/>
      <c r="G1977" s="15"/>
      <c r="H1977" s="46"/>
      <c r="I1977" s="46"/>
      <c r="J1977" s="46"/>
      <c r="K1977" s="46"/>
      <c r="L1977" s="46"/>
      <c r="M1977" s="46"/>
      <c r="N1977" s="46"/>
      <c r="O1977" s="46"/>
      <c r="P1977" s="46"/>
      <c r="Q1977" s="46"/>
      <c r="R1977" s="46"/>
      <c r="S1977" s="46"/>
      <c r="T1977" s="46"/>
      <c r="U1977" s="46"/>
      <c r="V1977" s="46"/>
      <c r="W1977" s="46"/>
      <c r="X1977" s="46"/>
      <c r="Y1977" s="46"/>
      <c r="Z1977" s="46"/>
    </row>
    <row r="1978" ht="22.5" customHeight="1">
      <c r="A1978" s="17">
        <v>1976.0</v>
      </c>
      <c r="B1978" s="20">
        <v>43.0</v>
      </c>
      <c r="C1978" s="13" t="s">
        <v>12654</v>
      </c>
      <c r="D1978" s="13" t="s">
        <v>12655</v>
      </c>
      <c r="E1978" s="13" t="s">
        <v>12656</v>
      </c>
      <c r="F1978" s="14" t="s">
        <v>18</v>
      </c>
      <c r="G1978" s="15"/>
      <c r="H1978" s="46"/>
      <c r="I1978" s="46"/>
      <c r="J1978" s="46"/>
      <c r="K1978" s="46"/>
      <c r="L1978" s="46"/>
      <c r="M1978" s="46"/>
      <c r="N1978" s="46"/>
      <c r="O1978" s="46"/>
      <c r="P1978" s="46"/>
      <c r="Q1978" s="46"/>
      <c r="R1978" s="46"/>
      <c r="S1978" s="46"/>
      <c r="T1978" s="46"/>
      <c r="U1978" s="46"/>
      <c r="V1978" s="46"/>
      <c r="W1978" s="46"/>
      <c r="X1978" s="46"/>
      <c r="Y1978" s="46"/>
      <c r="Z1978" s="46"/>
    </row>
    <row r="1979" ht="22.5" customHeight="1">
      <c r="A1979" s="11">
        <v>1977.0</v>
      </c>
      <c r="B1979" s="20">
        <v>43.0</v>
      </c>
      <c r="C1979" s="13" t="s">
        <v>12657</v>
      </c>
      <c r="D1979" s="13" t="s">
        <v>12658</v>
      </c>
      <c r="E1979" s="13" t="s">
        <v>12659</v>
      </c>
      <c r="F1979" s="15"/>
      <c r="G1979" s="15"/>
      <c r="H1979" s="46"/>
      <c r="I1979" s="46"/>
      <c r="J1979" s="46"/>
      <c r="K1979" s="46"/>
      <c r="L1979" s="46"/>
      <c r="M1979" s="46"/>
      <c r="N1979" s="46"/>
      <c r="O1979" s="46"/>
      <c r="P1979" s="46"/>
      <c r="Q1979" s="46"/>
      <c r="R1979" s="46"/>
      <c r="S1979" s="46"/>
      <c r="T1979" s="46"/>
      <c r="U1979" s="46"/>
      <c r="V1979" s="46"/>
      <c r="W1979" s="46"/>
      <c r="X1979" s="46"/>
      <c r="Y1979" s="46"/>
      <c r="Z1979" s="46"/>
    </row>
    <row r="1980" ht="22.5" customHeight="1">
      <c r="A1980" s="17">
        <v>1978.0</v>
      </c>
      <c r="B1980" s="20">
        <v>43.0</v>
      </c>
      <c r="C1980" s="13" t="s">
        <v>10641</v>
      </c>
      <c r="D1980" s="13" t="s">
        <v>10642</v>
      </c>
      <c r="E1980" s="13" t="s">
        <v>10643</v>
      </c>
      <c r="F1980" s="15"/>
      <c r="G1980" s="15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  <c r="Y1980" s="46"/>
      <c r="Z1980" s="46"/>
    </row>
    <row r="1981" ht="22.5" customHeight="1">
      <c r="A1981" s="11">
        <v>1979.0</v>
      </c>
      <c r="B1981" s="20">
        <v>43.0</v>
      </c>
      <c r="C1981" s="13" t="s">
        <v>12431</v>
      </c>
      <c r="D1981" s="13" t="s">
        <v>12432</v>
      </c>
      <c r="E1981" s="13" t="s">
        <v>12433</v>
      </c>
      <c r="F1981" s="15"/>
      <c r="G1981" s="15"/>
      <c r="H1981" s="46"/>
      <c r="I1981" s="46"/>
      <c r="J1981" s="46"/>
      <c r="K1981" s="46"/>
      <c r="L1981" s="46"/>
      <c r="M1981" s="46"/>
      <c r="N1981" s="46"/>
      <c r="O1981" s="46"/>
      <c r="P1981" s="46"/>
      <c r="Q1981" s="46"/>
      <c r="R1981" s="46"/>
      <c r="S1981" s="46"/>
      <c r="T1981" s="46"/>
      <c r="U1981" s="46"/>
      <c r="V1981" s="46"/>
      <c r="W1981" s="46"/>
      <c r="X1981" s="46"/>
      <c r="Y1981" s="46"/>
      <c r="Z1981" s="46"/>
    </row>
    <row r="1982" ht="22.5" customHeight="1">
      <c r="A1982" s="17">
        <v>1980.0</v>
      </c>
      <c r="B1982" s="20">
        <v>43.0</v>
      </c>
      <c r="C1982" s="13" t="s">
        <v>12660</v>
      </c>
      <c r="D1982" s="13" t="s">
        <v>12661</v>
      </c>
      <c r="E1982" s="13" t="s">
        <v>12662</v>
      </c>
      <c r="F1982" s="15"/>
      <c r="G1982" s="15"/>
      <c r="H1982" s="46"/>
      <c r="I1982" s="46"/>
      <c r="J1982" s="46"/>
      <c r="K1982" s="46"/>
      <c r="L1982" s="46"/>
      <c r="M1982" s="46"/>
      <c r="N1982" s="46"/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</row>
    <row r="1983" ht="22.5" customHeight="1">
      <c r="A1983" s="11">
        <v>1981.0</v>
      </c>
      <c r="B1983" s="20">
        <v>43.0</v>
      </c>
      <c r="C1983" s="13" t="s">
        <v>12663</v>
      </c>
      <c r="D1983" s="13" t="s">
        <v>12664</v>
      </c>
      <c r="E1983" s="13" t="s">
        <v>12665</v>
      </c>
      <c r="F1983" s="15"/>
      <c r="G1983" s="15"/>
      <c r="H1983" s="46"/>
      <c r="I1983" s="46"/>
      <c r="J1983" s="46"/>
      <c r="K1983" s="46"/>
      <c r="L1983" s="46"/>
      <c r="M1983" s="46"/>
      <c r="N1983" s="46"/>
      <c r="O1983" s="46"/>
      <c r="P1983" s="46"/>
      <c r="Q1983" s="46"/>
      <c r="R1983" s="46"/>
      <c r="S1983" s="46"/>
      <c r="T1983" s="46"/>
      <c r="U1983" s="46"/>
      <c r="V1983" s="46"/>
      <c r="W1983" s="46"/>
      <c r="X1983" s="46"/>
      <c r="Y1983" s="46"/>
      <c r="Z1983" s="46"/>
    </row>
    <row r="1984" ht="22.5" customHeight="1">
      <c r="A1984" s="17">
        <v>1982.0</v>
      </c>
      <c r="B1984" s="20">
        <v>43.0</v>
      </c>
      <c r="C1984" s="13" t="s">
        <v>12666</v>
      </c>
      <c r="D1984" s="13" t="s">
        <v>12667</v>
      </c>
      <c r="E1984" s="13" t="s">
        <v>12668</v>
      </c>
      <c r="F1984" s="14" t="s">
        <v>18</v>
      </c>
      <c r="G1984" s="15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  <c r="S1984" s="46"/>
      <c r="T1984" s="46"/>
      <c r="U1984" s="46"/>
      <c r="V1984" s="46"/>
      <c r="W1984" s="46"/>
      <c r="X1984" s="46"/>
      <c r="Y1984" s="46"/>
      <c r="Z1984" s="46"/>
    </row>
    <row r="1985" ht="22.5" customHeight="1">
      <c r="A1985" s="11">
        <v>1983.0</v>
      </c>
      <c r="B1985" s="20">
        <v>43.0</v>
      </c>
      <c r="C1985" s="13" t="s">
        <v>12669</v>
      </c>
      <c r="D1985" s="13" t="s">
        <v>12670</v>
      </c>
      <c r="E1985" s="13" t="s">
        <v>12671</v>
      </c>
      <c r="F1985" s="15"/>
      <c r="G1985" s="15"/>
      <c r="H1985" s="46"/>
      <c r="I1985" s="46"/>
      <c r="J1985" s="46"/>
      <c r="K1985" s="46"/>
      <c r="L1985" s="46"/>
      <c r="M1985" s="46"/>
      <c r="N1985" s="46"/>
      <c r="O1985" s="46"/>
      <c r="P1985" s="46"/>
      <c r="Q1985" s="46"/>
      <c r="R1985" s="46"/>
      <c r="S1985" s="46"/>
      <c r="T1985" s="46"/>
      <c r="U1985" s="46"/>
      <c r="V1985" s="46"/>
      <c r="W1985" s="46"/>
      <c r="X1985" s="46"/>
      <c r="Y1985" s="46"/>
      <c r="Z1985" s="46"/>
    </row>
    <row r="1986" ht="22.5" customHeight="1">
      <c r="A1986" s="17">
        <v>1984.0</v>
      </c>
      <c r="B1986" s="20">
        <v>43.0</v>
      </c>
      <c r="C1986" s="13" t="s">
        <v>12672</v>
      </c>
      <c r="D1986" s="13" t="s">
        <v>12673</v>
      </c>
      <c r="E1986" s="13" t="s">
        <v>12674</v>
      </c>
      <c r="F1986" s="14" t="s">
        <v>18</v>
      </c>
      <c r="G1986" s="15"/>
      <c r="H1986" s="46"/>
      <c r="I1986" s="46"/>
      <c r="J1986" s="46"/>
      <c r="K1986" s="46"/>
      <c r="L1986" s="46"/>
      <c r="M1986" s="46"/>
      <c r="N1986" s="46"/>
      <c r="O1986" s="46"/>
      <c r="P1986" s="46"/>
      <c r="Q1986" s="46"/>
      <c r="R1986" s="46"/>
      <c r="S1986" s="46"/>
      <c r="T1986" s="46"/>
      <c r="U1986" s="46"/>
      <c r="V1986" s="46"/>
      <c r="W1986" s="46"/>
      <c r="X1986" s="46"/>
      <c r="Y1986" s="46"/>
      <c r="Z1986" s="46"/>
    </row>
    <row r="1987" ht="22.5" customHeight="1">
      <c r="A1987" s="11">
        <v>1985.0</v>
      </c>
      <c r="B1987" s="20">
        <v>43.0</v>
      </c>
      <c r="C1987" s="13" t="s">
        <v>12675</v>
      </c>
      <c r="D1987" s="13" t="s">
        <v>1574</v>
      </c>
      <c r="E1987" s="13" t="s">
        <v>2027</v>
      </c>
      <c r="F1987" s="14" t="s">
        <v>18</v>
      </c>
      <c r="G1987" s="15"/>
      <c r="H1987" s="46"/>
      <c r="I1987" s="46"/>
      <c r="J1987" s="46"/>
      <c r="K1987" s="46"/>
      <c r="L1987" s="46"/>
      <c r="M1987" s="46"/>
      <c r="N1987" s="46"/>
      <c r="O1987" s="46"/>
      <c r="P1987" s="46"/>
      <c r="Q1987" s="46"/>
      <c r="R1987" s="46"/>
      <c r="S1987" s="46"/>
      <c r="T1987" s="46"/>
      <c r="U1987" s="46"/>
      <c r="V1987" s="46"/>
      <c r="W1987" s="46"/>
      <c r="X1987" s="46"/>
      <c r="Y1987" s="46"/>
      <c r="Z1987" s="46"/>
    </row>
    <row r="1988" ht="22.5" customHeight="1">
      <c r="A1988" s="17">
        <v>1986.0</v>
      </c>
      <c r="B1988" s="20">
        <v>43.0</v>
      </c>
      <c r="C1988" s="13" t="s">
        <v>9308</v>
      </c>
      <c r="D1988" s="13" t="s">
        <v>9309</v>
      </c>
      <c r="E1988" s="13" t="s">
        <v>12676</v>
      </c>
      <c r="F1988" s="15"/>
      <c r="G1988" s="15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  <c r="S1988" s="46"/>
      <c r="T1988" s="46"/>
      <c r="U1988" s="46"/>
      <c r="V1988" s="46"/>
      <c r="W1988" s="46"/>
      <c r="X1988" s="46"/>
      <c r="Y1988" s="46"/>
      <c r="Z1988" s="46"/>
    </row>
    <row r="1989" ht="22.5" customHeight="1">
      <c r="A1989" s="11">
        <v>1987.0</v>
      </c>
      <c r="B1989" s="20">
        <v>42.0</v>
      </c>
      <c r="C1989" s="13" t="s">
        <v>8833</v>
      </c>
      <c r="D1989" s="13" t="s">
        <v>8834</v>
      </c>
      <c r="E1989" s="13" t="s">
        <v>11194</v>
      </c>
      <c r="F1989" s="15"/>
      <c r="G1989" s="15"/>
      <c r="H1989" s="46"/>
      <c r="I1989" s="46"/>
      <c r="J1989" s="46"/>
      <c r="K1989" s="46"/>
      <c r="L1989" s="46"/>
      <c r="M1989" s="46"/>
      <c r="N1989" s="46"/>
      <c r="O1989" s="46"/>
      <c r="P1989" s="46"/>
      <c r="Q1989" s="46"/>
      <c r="R1989" s="46"/>
      <c r="S1989" s="46"/>
      <c r="T1989" s="46"/>
      <c r="U1989" s="46"/>
      <c r="V1989" s="46"/>
      <c r="W1989" s="46"/>
      <c r="X1989" s="46"/>
      <c r="Y1989" s="46"/>
      <c r="Z1989" s="46"/>
    </row>
    <row r="1990" ht="22.5" customHeight="1">
      <c r="A1990" s="17">
        <v>1988.0</v>
      </c>
      <c r="B1990" s="20">
        <v>42.0</v>
      </c>
      <c r="C1990" s="13" t="s">
        <v>12677</v>
      </c>
      <c r="D1990" s="13" t="s">
        <v>12678</v>
      </c>
      <c r="E1990" s="13" t="s">
        <v>12679</v>
      </c>
      <c r="F1990" s="15"/>
      <c r="G1990" s="15"/>
      <c r="H1990" s="46"/>
      <c r="I1990" s="46"/>
      <c r="J1990" s="46"/>
      <c r="K1990" s="46"/>
      <c r="L1990" s="46"/>
      <c r="M1990" s="46"/>
      <c r="N1990" s="46"/>
      <c r="O1990" s="46"/>
      <c r="P1990" s="46"/>
      <c r="Q1990" s="46"/>
      <c r="R1990" s="46"/>
      <c r="S1990" s="46"/>
      <c r="T1990" s="46"/>
      <c r="U1990" s="46"/>
      <c r="V1990" s="46"/>
      <c r="W1990" s="46"/>
      <c r="X1990" s="46"/>
      <c r="Y1990" s="46"/>
      <c r="Z1990" s="46"/>
    </row>
    <row r="1991" ht="22.5" customHeight="1">
      <c r="A1991" s="11">
        <v>1989.0</v>
      </c>
      <c r="B1991" s="20">
        <v>42.0</v>
      </c>
      <c r="C1991" s="13" t="s">
        <v>5764</v>
      </c>
      <c r="D1991" s="13" t="s">
        <v>5763</v>
      </c>
      <c r="E1991" s="13" t="s">
        <v>9356</v>
      </c>
      <c r="F1991" s="15"/>
      <c r="G1991" s="15"/>
      <c r="H1991" s="46"/>
      <c r="I1991" s="46"/>
      <c r="J1991" s="46"/>
      <c r="K1991" s="46"/>
      <c r="L1991" s="46"/>
      <c r="M1991" s="46"/>
      <c r="N1991" s="46"/>
      <c r="O1991" s="46"/>
      <c r="P1991" s="46"/>
      <c r="Q1991" s="46"/>
      <c r="R1991" s="46"/>
      <c r="S1991" s="46"/>
      <c r="T1991" s="46"/>
      <c r="U1991" s="46"/>
      <c r="V1991" s="46"/>
      <c r="W1991" s="46"/>
      <c r="X1991" s="46"/>
      <c r="Y1991" s="46"/>
      <c r="Z1991" s="46"/>
    </row>
    <row r="1992" ht="22.5" customHeight="1">
      <c r="A1992" s="17">
        <v>1990.0</v>
      </c>
      <c r="B1992" s="20">
        <v>42.0</v>
      </c>
      <c r="C1992" s="13" t="s">
        <v>10360</v>
      </c>
      <c r="D1992" s="13" t="s">
        <v>10361</v>
      </c>
      <c r="E1992" s="13" t="s">
        <v>10362</v>
      </c>
      <c r="F1992" s="15"/>
      <c r="G1992" s="15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  <c r="X1992" s="46"/>
      <c r="Y1992" s="46"/>
      <c r="Z1992" s="46"/>
    </row>
    <row r="1993" ht="22.5" customHeight="1">
      <c r="A1993" s="11">
        <v>1991.0</v>
      </c>
      <c r="B1993" s="20">
        <v>42.0</v>
      </c>
      <c r="C1993" s="13" t="s">
        <v>9559</v>
      </c>
      <c r="D1993" s="13" t="s">
        <v>9560</v>
      </c>
      <c r="E1993" s="13" t="s">
        <v>9561</v>
      </c>
      <c r="F1993" s="15"/>
      <c r="G1993" s="15"/>
      <c r="H1993" s="46"/>
      <c r="I1993" s="46"/>
      <c r="J1993" s="46"/>
      <c r="K1993" s="46"/>
      <c r="L1993" s="46"/>
      <c r="M1993" s="46"/>
      <c r="N1993" s="46"/>
      <c r="O1993" s="46"/>
      <c r="P1993" s="46"/>
      <c r="Q1993" s="46"/>
      <c r="R1993" s="46"/>
      <c r="S1993" s="46"/>
      <c r="T1993" s="46"/>
      <c r="U1993" s="46"/>
      <c r="V1993" s="46"/>
      <c r="W1993" s="46"/>
      <c r="X1993" s="46"/>
      <c r="Y1993" s="46"/>
      <c r="Z1993" s="46"/>
    </row>
    <row r="1994" ht="22.5" customHeight="1">
      <c r="A1994" s="17">
        <v>1992.0</v>
      </c>
      <c r="B1994" s="20">
        <v>42.0</v>
      </c>
      <c r="C1994" s="13" t="s">
        <v>12680</v>
      </c>
      <c r="D1994" s="13" t="s">
        <v>12681</v>
      </c>
      <c r="E1994" s="13" t="s">
        <v>12682</v>
      </c>
      <c r="F1994" s="14" t="s">
        <v>18</v>
      </c>
      <c r="G1994" s="15"/>
      <c r="H1994" s="46"/>
      <c r="I1994" s="46"/>
      <c r="J1994" s="46"/>
      <c r="K1994" s="46"/>
      <c r="L1994" s="46"/>
      <c r="M1994" s="46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  <c r="X1994" s="46"/>
      <c r="Y1994" s="46"/>
      <c r="Z1994" s="46"/>
    </row>
    <row r="1995" ht="22.5" customHeight="1">
      <c r="A1995" s="11">
        <v>1993.0</v>
      </c>
      <c r="B1995" s="20">
        <v>42.0</v>
      </c>
      <c r="C1995" s="13" t="s">
        <v>12683</v>
      </c>
      <c r="D1995" s="13" t="s">
        <v>12684</v>
      </c>
      <c r="E1995" s="13" t="s">
        <v>12685</v>
      </c>
      <c r="F1995" s="15"/>
      <c r="G1995" s="15"/>
      <c r="H1995" s="46"/>
      <c r="I1995" s="46"/>
      <c r="J1995" s="46"/>
      <c r="K1995" s="46"/>
      <c r="L1995" s="46"/>
      <c r="M1995" s="46"/>
      <c r="N1995" s="46"/>
      <c r="O1995" s="46"/>
      <c r="P1995" s="46"/>
      <c r="Q1995" s="46"/>
      <c r="R1995" s="46"/>
      <c r="S1995" s="46"/>
      <c r="T1995" s="46"/>
      <c r="U1995" s="46"/>
      <c r="V1995" s="46"/>
      <c r="W1995" s="46"/>
      <c r="X1995" s="46"/>
      <c r="Y1995" s="46"/>
      <c r="Z1995" s="46"/>
    </row>
    <row r="1996" ht="22.5" customHeight="1">
      <c r="A1996" s="17">
        <v>1994.0</v>
      </c>
      <c r="B1996" s="20">
        <v>42.0</v>
      </c>
      <c r="C1996" s="13" t="s">
        <v>12621</v>
      </c>
      <c r="D1996" s="13" t="s">
        <v>12622</v>
      </c>
      <c r="E1996" s="13" t="s">
        <v>12623</v>
      </c>
      <c r="F1996" s="15"/>
      <c r="G1996" s="15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  <c r="S1996" s="46"/>
      <c r="T1996" s="46"/>
      <c r="U1996" s="46"/>
      <c r="V1996" s="46"/>
      <c r="W1996" s="46"/>
      <c r="X1996" s="46"/>
      <c r="Y1996" s="46"/>
      <c r="Z1996" s="46"/>
    </row>
    <row r="1997" ht="22.5" customHeight="1">
      <c r="A1997" s="11">
        <v>1995.0</v>
      </c>
      <c r="B1997" s="20">
        <v>42.0</v>
      </c>
      <c r="C1997" s="13" t="s">
        <v>5784</v>
      </c>
      <c r="D1997" s="13" t="s">
        <v>5783</v>
      </c>
      <c r="E1997" s="13" t="s">
        <v>9292</v>
      </c>
      <c r="F1997" s="15"/>
      <c r="G1997" s="15"/>
      <c r="H1997" s="46"/>
      <c r="I1997" s="46"/>
      <c r="J1997" s="46"/>
      <c r="K1997" s="46"/>
      <c r="L1997" s="46"/>
      <c r="M1997" s="46"/>
      <c r="N1997" s="46"/>
      <c r="O1997" s="46"/>
      <c r="P1997" s="46"/>
      <c r="Q1997" s="46"/>
      <c r="R1997" s="46"/>
      <c r="S1997" s="46"/>
      <c r="T1997" s="46"/>
      <c r="U1997" s="46"/>
      <c r="V1997" s="46"/>
      <c r="W1997" s="46"/>
      <c r="X1997" s="46"/>
      <c r="Y1997" s="46"/>
      <c r="Z1997" s="46"/>
    </row>
    <row r="1998" ht="22.5" customHeight="1">
      <c r="A1998" s="17">
        <v>1996.0</v>
      </c>
      <c r="B1998" s="20">
        <v>42.0</v>
      </c>
      <c r="C1998" s="13" t="s">
        <v>12686</v>
      </c>
      <c r="D1998" s="13" t="s">
        <v>12687</v>
      </c>
      <c r="E1998" s="13" t="s">
        <v>12688</v>
      </c>
      <c r="F1998" s="15"/>
      <c r="G1998" s="15"/>
      <c r="H1998" s="46"/>
      <c r="I1998" s="46"/>
      <c r="J1998" s="46"/>
      <c r="K1998" s="46"/>
      <c r="L1998" s="46"/>
      <c r="M1998" s="46"/>
      <c r="N1998" s="46"/>
      <c r="O1998" s="46"/>
      <c r="P1998" s="46"/>
      <c r="Q1998" s="46"/>
      <c r="R1998" s="46"/>
      <c r="S1998" s="46"/>
      <c r="T1998" s="46"/>
      <c r="U1998" s="46"/>
      <c r="V1998" s="46"/>
      <c r="W1998" s="46"/>
      <c r="X1998" s="46"/>
      <c r="Y1998" s="46"/>
      <c r="Z1998" s="46"/>
    </row>
    <row r="1999" ht="22.5" customHeight="1">
      <c r="A1999" s="11">
        <v>1997.0</v>
      </c>
      <c r="B1999" s="20">
        <v>42.0</v>
      </c>
      <c r="C1999" s="13" t="s">
        <v>12689</v>
      </c>
      <c r="D1999" s="13" t="s">
        <v>12690</v>
      </c>
      <c r="E1999" s="13" t="s">
        <v>12691</v>
      </c>
      <c r="F1999" s="15"/>
      <c r="G1999" s="15"/>
      <c r="H1999" s="46"/>
      <c r="I1999" s="46"/>
      <c r="J1999" s="46"/>
      <c r="K1999" s="46"/>
      <c r="L1999" s="46"/>
      <c r="M1999" s="46"/>
      <c r="N1999" s="46"/>
      <c r="O1999" s="46"/>
      <c r="P1999" s="46"/>
      <c r="Q1999" s="46"/>
      <c r="R1999" s="46"/>
      <c r="S1999" s="46"/>
      <c r="T1999" s="46"/>
      <c r="U1999" s="46"/>
      <c r="V1999" s="46"/>
      <c r="W1999" s="46"/>
      <c r="X1999" s="46"/>
      <c r="Y1999" s="46"/>
      <c r="Z1999" s="46"/>
    </row>
    <row r="2000" ht="22.5" customHeight="1">
      <c r="A2000" s="17">
        <v>1998.0</v>
      </c>
      <c r="B2000" s="20">
        <v>42.0</v>
      </c>
      <c r="C2000" s="13" t="s">
        <v>12624</v>
      </c>
      <c r="D2000" s="13" t="s">
        <v>12625</v>
      </c>
      <c r="E2000" s="13" t="s">
        <v>12626</v>
      </c>
      <c r="F2000" s="15"/>
      <c r="G2000" s="15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  <c r="S2000" s="46"/>
      <c r="T2000" s="46"/>
      <c r="U2000" s="46"/>
      <c r="V2000" s="46"/>
      <c r="W2000" s="46"/>
      <c r="X2000" s="46"/>
      <c r="Y2000" s="46"/>
      <c r="Z2000" s="46"/>
    </row>
    <row r="2001" ht="22.5" customHeight="1">
      <c r="A2001" s="11">
        <v>1999.0</v>
      </c>
      <c r="B2001" s="20">
        <v>42.0</v>
      </c>
      <c r="C2001" s="13" t="s">
        <v>4452</v>
      </c>
      <c r="D2001" s="13" t="s">
        <v>4451</v>
      </c>
      <c r="E2001" s="13" t="s">
        <v>12692</v>
      </c>
      <c r="F2001" s="15"/>
      <c r="G2001" s="15"/>
      <c r="H2001" s="46"/>
      <c r="I2001" s="46"/>
      <c r="J2001" s="46"/>
      <c r="K2001" s="46"/>
      <c r="L2001" s="46"/>
      <c r="M2001" s="46"/>
      <c r="N2001" s="46"/>
      <c r="O2001" s="46"/>
      <c r="P2001" s="46"/>
      <c r="Q2001" s="46"/>
      <c r="R2001" s="46"/>
      <c r="S2001" s="46"/>
      <c r="T2001" s="46"/>
      <c r="U2001" s="46"/>
      <c r="V2001" s="46"/>
      <c r="W2001" s="46"/>
      <c r="X2001" s="46"/>
      <c r="Y2001" s="46"/>
      <c r="Z2001" s="46"/>
    </row>
    <row r="2002" ht="22.5" customHeight="1">
      <c r="A2002" s="17">
        <v>2000.0</v>
      </c>
      <c r="B2002" s="20">
        <v>42.0</v>
      </c>
      <c r="C2002" s="13" t="s">
        <v>12693</v>
      </c>
      <c r="D2002" s="13" t="s">
        <v>12694</v>
      </c>
      <c r="E2002" s="13" t="s">
        <v>12695</v>
      </c>
      <c r="F2002" s="14" t="s">
        <v>18</v>
      </c>
      <c r="G2002" s="15"/>
      <c r="H2002" s="46"/>
      <c r="I2002" s="46"/>
      <c r="J2002" s="46"/>
      <c r="K2002" s="46"/>
      <c r="L2002" s="46"/>
      <c r="M2002" s="46"/>
      <c r="N2002" s="46"/>
      <c r="O2002" s="46"/>
      <c r="P2002" s="46"/>
      <c r="Q2002" s="46"/>
      <c r="R2002" s="46"/>
      <c r="S2002" s="46"/>
      <c r="T2002" s="46"/>
      <c r="U2002" s="46"/>
      <c r="V2002" s="46"/>
      <c r="W2002" s="46"/>
      <c r="X2002" s="46"/>
      <c r="Y2002" s="46"/>
      <c r="Z2002" s="46"/>
    </row>
    <row r="2003" ht="22.5" customHeight="1">
      <c r="A2003" s="11">
        <v>2001.0</v>
      </c>
      <c r="B2003" s="20">
        <v>42.0</v>
      </c>
      <c r="C2003" s="13" t="s">
        <v>12696</v>
      </c>
      <c r="D2003" s="13" t="s">
        <v>12697</v>
      </c>
      <c r="E2003" s="13" t="s">
        <v>12698</v>
      </c>
      <c r="F2003" s="15"/>
      <c r="G2003" s="15"/>
      <c r="H2003" s="46"/>
      <c r="I2003" s="46"/>
      <c r="J2003" s="46"/>
      <c r="K2003" s="46"/>
      <c r="L2003" s="46"/>
      <c r="M2003" s="46"/>
      <c r="N2003" s="46"/>
      <c r="O2003" s="46"/>
      <c r="P2003" s="46"/>
      <c r="Q2003" s="46"/>
      <c r="R2003" s="46"/>
      <c r="S2003" s="46"/>
      <c r="T2003" s="46"/>
      <c r="U2003" s="46"/>
      <c r="V2003" s="46"/>
      <c r="W2003" s="46"/>
      <c r="X2003" s="46"/>
      <c r="Y2003" s="46"/>
      <c r="Z2003" s="46"/>
    </row>
    <row r="2004" ht="22.5" customHeight="1">
      <c r="A2004" s="17">
        <v>2002.0</v>
      </c>
      <c r="B2004" s="20">
        <v>42.0</v>
      </c>
      <c r="C2004" s="13" t="s">
        <v>11988</v>
      </c>
      <c r="D2004" s="13" t="s">
        <v>11989</v>
      </c>
      <c r="E2004" s="13" t="s">
        <v>11990</v>
      </c>
      <c r="F2004" s="15"/>
      <c r="G2004" s="15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  <c r="S2004" s="46"/>
      <c r="T2004" s="46"/>
      <c r="U2004" s="46"/>
      <c r="V2004" s="46"/>
      <c r="W2004" s="46"/>
      <c r="X2004" s="46"/>
      <c r="Y2004" s="46"/>
      <c r="Z2004" s="46"/>
    </row>
    <row r="2005" ht="22.5" customHeight="1">
      <c r="A2005" s="11">
        <v>2003.0</v>
      </c>
      <c r="B2005" s="20">
        <v>42.0</v>
      </c>
      <c r="C2005" s="13" t="s">
        <v>12699</v>
      </c>
      <c r="D2005" s="13" t="s">
        <v>12700</v>
      </c>
      <c r="E2005" s="13" t="s">
        <v>12701</v>
      </c>
      <c r="F2005" s="15"/>
      <c r="G2005" s="15"/>
      <c r="H2005" s="46"/>
      <c r="I2005" s="46"/>
      <c r="J2005" s="46"/>
      <c r="K2005" s="46"/>
      <c r="L2005" s="46"/>
      <c r="M2005" s="46"/>
      <c r="N2005" s="46"/>
      <c r="O2005" s="46"/>
      <c r="P2005" s="46"/>
      <c r="Q2005" s="46"/>
      <c r="R2005" s="46"/>
      <c r="S2005" s="46"/>
      <c r="T2005" s="46"/>
      <c r="U2005" s="46"/>
      <c r="V2005" s="46"/>
      <c r="W2005" s="46"/>
      <c r="X2005" s="46"/>
      <c r="Y2005" s="46"/>
      <c r="Z2005" s="46"/>
    </row>
    <row r="2006" ht="22.5" customHeight="1">
      <c r="A2006" s="17">
        <v>2004.0</v>
      </c>
      <c r="B2006" s="20">
        <v>42.0</v>
      </c>
      <c r="C2006" s="13" t="s">
        <v>12702</v>
      </c>
      <c r="D2006" s="13" t="s">
        <v>8118</v>
      </c>
      <c r="E2006" s="13" t="s">
        <v>8119</v>
      </c>
      <c r="F2006" s="15"/>
      <c r="G2006" s="15"/>
      <c r="H2006" s="46"/>
      <c r="I2006" s="46"/>
      <c r="J2006" s="46"/>
      <c r="K2006" s="46"/>
      <c r="L2006" s="46"/>
      <c r="M2006" s="46"/>
      <c r="N2006" s="46"/>
      <c r="O2006" s="46"/>
      <c r="P2006" s="46"/>
      <c r="Q2006" s="46"/>
      <c r="R2006" s="46"/>
      <c r="S2006" s="46"/>
      <c r="T2006" s="46"/>
      <c r="U2006" s="46"/>
      <c r="V2006" s="46"/>
      <c r="W2006" s="46"/>
      <c r="X2006" s="46"/>
      <c r="Y2006" s="46"/>
      <c r="Z2006" s="46"/>
    </row>
    <row r="2007" ht="22.5" customHeight="1">
      <c r="A2007" s="11">
        <v>2005.0</v>
      </c>
      <c r="B2007" s="20">
        <v>42.0</v>
      </c>
      <c r="C2007" s="13" t="s">
        <v>8830</v>
      </c>
      <c r="D2007" s="13" t="s">
        <v>8831</v>
      </c>
      <c r="E2007" s="13" t="s">
        <v>8832</v>
      </c>
      <c r="F2007" s="15"/>
      <c r="G2007" s="15"/>
      <c r="H2007" s="46"/>
      <c r="I2007" s="46"/>
      <c r="J2007" s="46"/>
      <c r="K2007" s="46"/>
      <c r="L2007" s="46"/>
      <c r="M2007" s="46"/>
      <c r="N2007" s="46"/>
      <c r="O2007" s="46"/>
      <c r="P2007" s="46"/>
      <c r="Q2007" s="46"/>
      <c r="R2007" s="46"/>
      <c r="S2007" s="46"/>
      <c r="T2007" s="46"/>
      <c r="U2007" s="46"/>
      <c r="V2007" s="46"/>
      <c r="W2007" s="46"/>
      <c r="X2007" s="46"/>
      <c r="Y2007" s="46"/>
      <c r="Z2007" s="46"/>
    </row>
    <row r="2008" ht="22.5" customHeight="1">
      <c r="A2008" s="17">
        <v>2006.0</v>
      </c>
      <c r="B2008" s="20">
        <v>42.0</v>
      </c>
      <c r="C2008" s="13" t="s">
        <v>12511</v>
      </c>
      <c r="D2008" s="13" t="s">
        <v>12512</v>
      </c>
      <c r="E2008" s="13" t="s">
        <v>12703</v>
      </c>
      <c r="F2008" s="15"/>
      <c r="G2008" s="15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  <c r="S2008" s="46"/>
      <c r="T2008" s="46"/>
      <c r="U2008" s="46"/>
      <c r="V2008" s="46"/>
      <c r="W2008" s="46"/>
      <c r="X2008" s="46"/>
      <c r="Y2008" s="46"/>
      <c r="Z2008" s="46"/>
    </row>
    <row r="2009" ht="22.5" customHeight="1">
      <c r="A2009" s="11">
        <v>2007.0</v>
      </c>
      <c r="B2009" s="20">
        <v>42.0</v>
      </c>
      <c r="C2009" s="13" t="s">
        <v>12704</v>
      </c>
      <c r="D2009" s="13" t="s">
        <v>12705</v>
      </c>
      <c r="E2009" s="13" t="s">
        <v>12706</v>
      </c>
      <c r="F2009" s="14" t="s">
        <v>18</v>
      </c>
      <c r="G2009" s="15"/>
      <c r="H2009" s="46"/>
      <c r="I2009" s="46"/>
      <c r="J2009" s="46"/>
      <c r="K2009" s="46"/>
      <c r="L2009" s="46"/>
      <c r="M2009" s="46"/>
      <c r="N2009" s="46"/>
      <c r="O2009" s="46"/>
      <c r="P2009" s="46"/>
      <c r="Q2009" s="46"/>
      <c r="R2009" s="46"/>
      <c r="S2009" s="46"/>
      <c r="T2009" s="46"/>
      <c r="U2009" s="46"/>
      <c r="V2009" s="46"/>
      <c r="W2009" s="46"/>
      <c r="X2009" s="46"/>
      <c r="Y2009" s="46"/>
      <c r="Z2009" s="46"/>
    </row>
    <row r="2010" ht="22.5" customHeight="1">
      <c r="A2010" s="17">
        <v>2008.0</v>
      </c>
      <c r="B2010" s="20">
        <v>42.0</v>
      </c>
      <c r="C2010" s="13" t="s">
        <v>12707</v>
      </c>
      <c r="D2010" s="13" t="s">
        <v>12708</v>
      </c>
      <c r="E2010" s="13" t="s">
        <v>12709</v>
      </c>
      <c r="F2010" s="15"/>
      <c r="G2010" s="15"/>
      <c r="H2010" s="46"/>
      <c r="I2010" s="46"/>
      <c r="J2010" s="46"/>
      <c r="K2010" s="46"/>
      <c r="L2010" s="46"/>
      <c r="M2010" s="46"/>
      <c r="N2010" s="46"/>
      <c r="O2010" s="46"/>
      <c r="P2010" s="46"/>
      <c r="Q2010" s="46"/>
      <c r="R2010" s="46"/>
      <c r="S2010" s="46"/>
      <c r="T2010" s="46"/>
      <c r="U2010" s="46"/>
      <c r="V2010" s="46"/>
      <c r="W2010" s="46"/>
      <c r="X2010" s="46"/>
      <c r="Y2010" s="46"/>
      <c r="Z2010" s="46"/>
    </row>
    <row r="2011" ht="22.5" customHeight="1">
      <c r="A2011" s="11">
        <v>2009.0</v>
      </c>
      <c r="B2011" s="20">
        <v>42.0</v>
      </c>
      <c r="C2011" s="13" t="s">
        <v>12102</v>
      </c>
      <c r="D2011" s="13" t="s">
        <v>12103</v>
      </c>
      <c r="E2011" s="13" t="s">
        <v>12104</v>
      </c>
      <c r="F2011" s="15"/>
      <c r="G2011" s="15"/>
      <c r="H2011" s="46"/>
      <c r="I2011" s="46"/>
      <c r="J2011" s="46"/>
      <c r="K2011" s="46"/>
      <c r="L2011" s="46"/>
      <c r="M2011" s="46"/>
      <c r="N2011" s="46"/>
      <c r="O2011" s="46"/>
      <c r="P2011" s="46"/>
      <c r="Q2011" s="46"/>
      <c r="R2011" s="46"/>
      <c r="S2011" s="46"/>
      <c r="T2011" s="46"/>
      <c r="U2011" s="46"/>
      <c r="V2011" s="46"/>
      <c r="W2011" s="46"/>
      <c r="X2011" s="46"/>
      <c r="Y2011" s="46"/>
      <c r="Z2011" s="46"/>
    </row>
    <row r="2012" ht="22.5" customHeight="1">
      <c r="A2012" s="17">
        <v>2010.0</v>
      </c>
      <c r="B2012" s="20">
        <v>42.0</v>
      </c>
      <c r="C2012" s="13" t="s">
        <v>12710</v>
      </c>
      <c r="D2012" s="13" t="s">
        <v>12711</v>
      </c>
      <c r="E2012" s="13" t="s">
        <v>12712</v>
      </c>
      <c r="F2012" s="14" t="s">
        <v>18</v>
      </c>
      <c r="G2012" s="15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  <c r="S2012" s="46"/>
      <c r="T2012" s="46"/>
      <c r="U2012" s="46"/>
      <c r="V2012" s="46"/>
      <c r="W2012" s="46"/>
      <c r="X2012" s="46"/>
      <c r="Y2012" s="46"/>
      <c r="Z2012" s="46"/>
    </row>
    <row r="2013" ht="22.5" customHeight="1">
      <c r="A2013" s="11">
        <v>2011.0</v>
      </c>
      <c r="B2013" s="20">
        <v>42.0</v>
      </c>
      <c r="C2013" s="13" t="s">
        <v>12713</v>
      </c>
      <c r="D2013" s="13" t="s">
        <v>12714</v>
      </c>
      <c r="E2013" s="13" t="s">
        <v>12715</v>
      </c>
      <c r="F2013" s="14" t="s">
        <v>18</v>
      </c>
      <c r="G2013" s="15"/>
      <c r="H2013" s="46"/>
      <c r="I2013" s="46"/>
      <c r="J2013" s="46"/>
      <c r="K2013" s="46"/>
      <c r="L2013" s="46"/>
      <c r="M2013" s="46"/>
      <c r="N2013" s="46"/>
      <c r="O2013" s="46"/>
      <c r="P2013" s="46"/>
      <c r="Q2013" s="46"/>
      <c r="R2013" s="46"/>
      <c r="S2013" s="46"/>
      <c r="T2013" s="46"/>
      <c r="U2013" s="46"/>
      <c r="V2013" s="46"/>
      <c r="W2013" s="46"/>
      <c r="X2013" s="46"/>
      <c r="Y2013" s="46"/>
      <c r="Z2013" s="46"/>
    </row>
    <row r="2014" ht="22.5" customHeight="1">
      <c r="A2014" s="17">
        <v>2012.0</v>
      </c>
      <c r="B2014" s="20">
        <v>42.0</v>
      </c>
      <c r="C2014" s="13" t="s">
        <v>12716</v>
      </c>
      <c r="D2014" s="13" t="s">
        <v>12717</v>
      </c>
      <c r="E2014" s="13" t="s">
        <v>12718</v>
      </c>
      <c r="F2014" s="14" t="s">
        <v>18</v>
      </c>
      <c r="G2014" s="15"/>
      <c r="H2014" s="46"/>
      <c r="I2014" s="46"/>
      <c r="J2014" s="46"/>
      <c r="K2014" s="46"/>
      <c r="L2014" s="46"/>
      <c r="M2014" s="46"/>
      <c r="N2014" s="46"/>
      <c r="O2014" s="46"/>
      <c r="P2014" s="46"/>
      <c r="Q2014" s="46"/>
      <c r="R2014" s="46"/>
      <c r="S2014" s="46"/>
      <c r="T2014" s="46"/>
      <c r="U2014" s="46"/>
      <c r="V2014" s="46"/>
      <c r="W2014" s="46"/>
      <c r="X2014" s="46"/>
      <c r="Y2014" s="46"/>
      <c r="Z2014" s="46"/>
    </row>
    <row r="2015" ht="22.5" customHeight="1">
      <c r="A2015" s="11">
        <v>2013.0</v>
      </c>
      <c r="B2015" s="20">
        <v>41.0</v>
      </c>
      <c r="C2015" s="13" t="s">
        <v>12719</v>
      </c>
      <c r="D2015" s="13" t="s">
        <v>12720</v>
      </c>
      <c r="E2015" s="13" t="s">
        <v>12721</v>
      </c>
      <c r="F2015" s="14" t="s">
        <v>18</v>
      </c>
      <c r="G2015" s="15"/>
      <c r="H2015" s="46"/>
      <c r="I2015" s="46"/>
      <c r="J2015" s="46"/>
      <c r="K2015" s="46"/>
      <c r="L2015" s="46"/>
      <c r="M2015" s="46"/>
      <c r="N2015" s="46"/>
      <c r="O2015" s="46"/>
      <c r="P2015" s="46"/>
      <c r="Q2015" s="46"/>
      <c r="R2015" s="46"/>
      <c r="S2015" s="46"/>
      <c r="T2015" s="46"/>
      <c r="U2015" s="46"/>
      <c r="V2015" s="46"/>
      <c r="W2015" s="46"/>
      <c r="X2015" s="46"/>
      <c r="Y2015" s="46"/>
      <c r="Z2015" s="46"/>
    </row>
    <row r="2016" ht="22.5" customHeight="1">
      <c r="A2016" s="17">
        <v>2014.0</v>
      </c>
      <c r="B2016" s="20">
        <v>41.0</v>
      </c>
      <c r="C2016" s="13" t="s">
        <v>8895</v>
      </c>
      <c r="D2016" s="13" t="s">
        <v>8896</v>
      </c>
      <c r="E2016" s="13" t="s">
        <v>8897</v>
      </c>
      <c r="F2016" s="15"/>
      <c r="G2016" s="15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  <c r="S2016" s="46"/>
      <c r="T2016" s="46"/>
      <c r="U2016" s="46"/>
      <c r="V2016" s="46"/>
      <c r="W2016" s="46"/>
      <c r="X2016" s="46"/>
      <c r="Y2016" s="46"/>
      <c r="Z2016" s="46"/>
    </row>
    <row r="2017" ht="22.5" customHeight="1">
      <c r="A2017" s="11">
        <v>2015.0</v>
      </c>
      <c r="B2017" s="20">
        <v>41.0</v>
      </c>
      <c r="C2017" s="13" t="s">
        <v>9680</v>
      </c>
      <c r="D2017" s="13" t="s">
        <v>9681</v>
      </c>
      <c r="E2017" s="13" t="s">
        <v>9682</v>
      </c>
      <c r="F2017" s="15"/>
      <c r="G2017" s="15"/>
      <c r="H2017" s="46"/>
      <c r="I2017" s="46"/>
      <c r="J2017" s="46"/>
      <c r="K2017" s="46"/>
      <c r="L2017" s="46"/>
      <c r="M2017" s="46"/>
      <c r="N2017" s="46"/>
      <c r="O2017" s="46"/>
      <c r="P2017" s="46"/>
      <c r="Q2017" s="46"/>
      <c r="R2017" s="46"/>
      <c r="S2017" s="46"/>
      <c r="T2017" s="46"/>
      <c r="U2017" s="46"/>
      <c r="V2017" s="46"/>
      <c r="W2017" s="46"/>
      <c r="X2017" s="46"/>
      <c r="Y2017" s="46"/>
      <c r="Z2017" s="46"/>
    </row>
    <row r="2018" ht="22.5" customHeight="1">
      <c r="A2018" s="17">
        <v>2016.0</v>
      </c>
      <c r="B2018" s="20">
        <v>41.0</v>
      </c>
      <c r="C2018" s="13" t="s">
        <v>5994</v>
      </c>
      <c r="D2018" s="13" t="s">
        <v>5993</v>
      </c>
      <c r="E2018" s="13" t="s">
        <v>12722</v>
      </c>
      <c r="F2018" s="15"/>
      <c r="G2018" s="15"/>
      <c r="H2018" s="46"/>
      <c r="I2018" s="46"/>
      <c r="J2018" s="46"/>
      <c r="K2018" s="46"/>
      <c r="L2018" s="46"/>
      <c r="M2018" s="46"/>
      <c r="N2018" s="46"/>
      <c r="O2018" s="46"/>
      <c r="P2018" s="46"/>
      <c r="Q2018" s="46"/>
      <c r="R2018" s="46"/>
      <c r="S2018" s="46"/>
      <c r="T2018" s="46"/>
      <c r="U2018" s="46"/>
      <c r="V2018" s="46"/>
      <c r="W2018" s="46"/>
      <c r="X2018" s="46"/>
      <c r="Y2018" s="46"/>
      <c r="Z2018" s="46"/>
    </row>
    <row r="2019" ht="22.5" customHeight="1">
      <c r="A2019" s="11">
        <v>2017.0</v>
      </c>
      <c r="B2019" s="20">
        <v>41.0</v>
      </c>
      <c r="C2019" s="13" t="s">
        <v>9380</v>
      </c>
      <c r="D2019" s="13" t="s">
        <v>9381</v>
      </c>
      <c r="E2019" s="13" t="s">
        <v>9382</v>
      </c>
      <c r="F2019" s="15"/>
      <c r="G2019" s="15"/>
      <c r="H2019" s="46"/>
      <c r="I2019" s="46"/>
      <c r="J2019" s="46"/>
      <c r="K2019" s="46"/>
      <c r="L2019" s="46"/>
      <c r="M2019" s="46"/>
      <c r="N2019" s="46"/>
      <c r="O2019" s="46"/>
      <c r="P2019" s="46"/>
      <c r="Q2019" s="46"/>
      <c r="R2019" s="46"/>
      <c r="S2019" s="46"/>
      <c r="T2019" s="46"/>
      <c r="U2019" s="46"/>
      <c r="V2019" s="46"/>
      <c r="W2019" s="46"/>
      <c r="X2019" s="46"/>
      <c r="Y2019" s="46"/>
      <c r="Z2019" s="46"/>
    </row>
    <row r="2020" ht="22.5" customHeight="1">
      <c r="A2020" s="17">
        <v>2018.0</v>
      </c>
      <c r="B2020" s="20">
        <v>41.0</v>
      </c>
      <c r="C2020" s="13" t="s">
        <v>12723</v>
      </c>
      <c r="D2020" s="13" t="s">
        <v>12724</v>
      </c>
      <c r="E2020" s="13" t="s">
        <v>12725</v>
      </c>
      <c r="F2020" s="14" t="s">
        <v>18</v>
      </c>
      <c r="G2020" s="15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  <c r="S2020" s="46"/>
      <c r="T2020" s="46"/>
      <c r="U2020" s="46"/>
      <c r="V2020" s="46"/>
      <c r="W2020" s="46"/>
      <c r="X2020" s="46"/>
      <c r="Y2020" s="46"/>
      <c r="Z2020" s="46"/>
    </row>
    <row r="2021" ht="22.5" customHeight="1">
      <c r="A2021" s="11">
        <v>2019.0</v>
      </c>
      <c r="B2021" s="20">
        <v>41.0</v>
      </c>
      <c r="C2021" s="13" t="s">
        <v>11613</v>
      </c>
      <c r="D2021" s="13" t="s">
        <v>11614</v>
      </c>
      <c r="E2021" s="13" t="s">
        <v>11615</v>
      </c>
      <c r="F2021" s="15"/>
      <c r="G2021" s="15"/>
      <c r="H2021" s="46"/>
      <c r="I2021" s="46"/>
      <c r="J2021" s="46"/>
      <c r="K2021" s="46"/>
      <c r="L2021" s="46"/>
      <c r="M2021" s="46"/>
      <c r="N2021" s="46"/>
      <c r="O2021" s="46"/>
      <c r="P2021" s="46"/>
      <c r="Q2021" s="46"/>
      <c r="R2021" s="46"/>
      <c r="S2021" s="46"/>
      <c r="T2021" s="46"/>
      <c r="U2021" s="46"/>
      <c r="V2021" s="46"/>
      <c r="W2021" s="46"/>
      <c r="X2021" s="46"/>
      <c r="Y2021" s="46"/>
      <c r="Z2021" s="46"/>
    </row>
    <row r="2022" ht="22.5" customHeight="1">
      <c r="A2022" s="17">
        <v>2020.0</v>
      </c>
      <c r="B2022" s="20">
        <v>41.0</v>
      </c>
      <c r="C2022" s="13" t="s">
        <v>12126</v>
      </c>
      <c r="D2022" s="13" t="s">
        <v>12127</v>
      </c>
      <c r="E2022" s="13" t="s">
        <v>12128</v>
      </c>
      <c r="F2022" s="15"/>
      <c r="G2022" s="15"/>
      <c r="H2022" s="46"/>
      <c r="I2022" s="46"/>
      <c r="J2022" s="46"/>
      <c r="K2022" s="46"/>
      <c r="L2022" s="46"/>
      <c r="M2022" s="46"/>
      <c r="N2022" s="46"/>
      <c r="O2022" s="46"/>
      <c r="P2022" s="46"/>
      <c r="Q2022" s="46"/>
      <c r="R2022" s="46"/>
      <c r="S2022" s="46"/>
      <c r="T2022" s="46"/>
      <c r="U2022" s="46"/>
      <c r="V2022" s="46"/>
      <c r="W2022" s="46"/>
      <c r="X2022" s="46"/>
      <c r="Y2022" s="46"/>
      <c r="Z2022" s="46"/>
    </row>
    <row r="2023" ht="22.5" customHeight="1">
      <c r="A2023" s="11">
        <v>2021.0</v>
      </c>
      <c r="B2023" s="20">
        <v>41.0</v>
      </c>
      <c r="C2023" s="13" t="s">
        <v>12726</v>
      </c>
      <c r="D2023" s="13" t="s">
        <v>12727</v>
      </c>
      <c r="E2023" s="13" t="s">
        <v>12728</v>
      </c>
      <c r="F2023" s="15"/>
      <c r="G2023" s="15"/>
      <c r="H2023" s="46"/>
      <c r="I2023" s="46"/>
      <c r="J2023" s="46"/>
      <c r="K2023" s="46"/>
      <c r="L2023" s="46"/>
      <c r="M2023" s="46"/>
      <c r="N2023" s="46"/>
      <c r="O2023" s="46"/>
      <c r="P2023" s="46"/>
      <c r="Q2023" s="46"/>
      <c r="R2023" s="46"/>
      <c r="S2023" s="46"/>
      <c r="T2023" s="46"/>
      <c r="U2023" s="46"/>
      <c r="V2023" s="46"/>
      <c r="W2023" s="46"/>
      <c r="X2023" s="46"/>
      <c r="Y2023" s="46"/>
      <c r="Z2023" s="46"/>
    </row>
    <row r="2024" ht="22.5" customHeight="1">
      <c r="A2024" s="17">
        <v>2022.0</v>
      </c>
      <c r="B2024" s="20">
        <v>41.0</v>
      </c>
      <c r="C2024" s="13" t="s">
        <v>12729</v>
      </c>
      <c r="D2024" s="13" t="s">
        <v>12730</v>
      </c>
      <c r="E2024" s="13" t="s">
        <v>12731</v>
      </c>
      <c r="F2024" s="14" t="s">
        <v>18</v>
      </c>
      <c r="G2024" s="15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  <c r="S2024" s="46"/>
      <c r="T2024" s="46"/>
      <c r="U2024" s="46"/>
      <c r="V2024" s="46"/>
      <c r="W2024" s="46"/>
      <c r="X2024" s="46"/>
      <c r="Y2024" s="46"/>
      <c r="Z2024" s="46"/>
    </row>
    <row r="2025" ht="22.5" customHeight="1">
      <c r="A2025" s="11">
        <v>2023.0</v>
      </c>
      <c r="B2025" s="20">
        <v>41.0</v>
      </c>
      <c r="C2025" s="13" t="s">
        <v>11756</v>
      </c>
      <c r="D2025" s="13" t="s">
        <v>11757</v>
      </c>
      <c r="E2025" s="13" t="s">
        <v>11758</v>
      </c>
      <c r="F2025" s="15"/>
      <c r="G2025" s="15"/>
      <c r="H2025" s="46"/>
      <c r="I2025" s="46"/>
      <c r="J2025" s="46"/>
      <c r="K2025" s="46"/>
      <c r="L2025" s="46"/>
      <c r="M2025" s="46"/>
      <c r="N2025" s="46"/>
      <c r="O2025" s="46"/>
      <c r="P2025" s="46"/>
      <c r="Q2025" s="46"/>
      <c r="R2025" s="46"/>
      <c r="S2025" s="46"/>
      <c r="T2025" s="46"/>
      <c r="U2025" s="46"/>
      <c r="V2025" s="46"/>
      <c r="W2025" s="46"/>
      <c r="X2025" s="46"/>
      <c r="Y2025" s="46"/>
      <c r="Z2025" s="46"/>
    </row>
    <row r="2026" ht="22.5" customHeight="1">
      <c r="A2026" s="17">
        <v>2024.0</v>
      </c>
      <c r="B2026" s="20">
        <v>41.0</v>
      </c>
      <c r="C2026" s="13" t="s">
        <v>12732</v>
      </c>
      <c r="D2026" s="13" t="s">
        <v>12733</v>
      </c>
      <c r="E2026" s="13" t="s">
        <v>12734</v>
      </c>
      <c r="F2026" s="14" t="s">
        <v>18</v>
      </c>
      <c r="G2026" s="15"/>
      <c r="H2026" s="46"/>
      <c r="I2026" s="46"/>
      <c r="J2026" s="46"/>
      <c r="K2026" s="46"/>
      <c r="L2026" s="46"/>
      <c r="M2026" s="46"/>
      <c r="N2026" s="46"/>
      <c r="O2026" s="46"/>
      <c r="P2026" s="46"/>
      <c r="Q2026" s="46"/>
      <c r="R2026" s="46"/>
      <c r="S2026" s="46"/>
      <c r="T2026" s="46"/>
      <c r="U2026" s="46"/>
      <c r="V2026" s="46"/>
      <c r="W2026" s="46"/>
      <c r="X2026" s="46"/>
      <c r="Y2026" s="46"/>
      <c r="Z2026" s="46"/>
    </row>
    <row r="2027" ht="22.5" customHeight="1">
      <c r="A2027" s="11">
        <v>2025.0</v>
      </c>
      <c r="B2027" s="20">
        <v>41.0</v>
      </c>
      <c r="C2027" s="13" t="s">
        <v>12735</v>
      </c>
      <c r="D2027" s="13" t="s">
        <v>12736</v>
      </c>
      <c r="E2027" s="13" t="s">
        <v>12737</v>
      </c>
      <c r="F2027" s="15"/>
      <c r="G2027" s="15"/>
      <c r="H2027" s="46"/>
      <c r="I2027" s="46"/>
      <c r="J2027" s="46"/>
      <c r="K2027" s="46"/>
      <c r="L2027" s="46"/>
      <c r="M2027" s="46"/>
      <c r="N2027" s="46"/>
      <c r="O2027" s="46"/>
      <c r="P2027" s="46"/>
      <c r="Q2027" s="46"/>
      <c r="R2027" s="46"/>
      <c r="S2027" s="46"/>
      <c r="T2027" s="46"/>
      <c r="U2027" s="46"/>
      <c r="V2027" s="46"/>
      <c r="W2027" s="46"/>
      <c r="X2027" s="46"/>
      <c r="Y2027" s="46"/>
      <c r="Z2027" s="46"/>
    </row>
    <row r="2028" ht="22.5" customHeight="1">
      <c r="A2028" s="17">
        <v>2026.0</v>
      </c>
      <c r="B2028" s="20">
        <v>41.0</v>
      </c>
      <c r="C2028" s="13" t="s">
        <v>9862</v>
      </c>
      <c r="D2028" s="13" t="s">
        <v>9863</v>
      </c>
      <c r="E2028" s="13" t="s">
        <v>9864</v>
      </c>
      <c r="F2028" s="15"/>
      <c r="G2028" s="15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  <c r="S2028" s="46"/>
      <c r="T2028" s="46"/>
      <c r="U2028" s="46"/>
      <c r="V2028" s="46"/>
      <c r="W2028" s="46"/>
      <c r="X2028" s="46"/>
      <c r="Y2028" s="46"/>
      <c r="Z2028" s="46"/>
    </row>
    <row r="2029" ht="22.5" customHeight="1">
      <c r="A2029" s="11">
        <v>2027.0</v>
      </c>
      <c r="B2029" s="20">
        <v>41.0</v>
      </c>
      <c r="C2029" s="13" t="s">
        <v>12738</v>
      </c>
      <c r="D2029" s="13" t="s">
        <v>12739</v>
      </c>
      <c r="E2029" s="13" t="s">
        <v>12740</v>
      </c>
      <c r="F2029" s="15"/>
      <c r="G2029" s="15"/>
      <c r="H2029" s="46"/>
      <c r="I2029" s="46"/>
      <c r="J2029" s="46"/>
      <c r="K2029" s="46"/>
      <c r="L2029" s="46"/>
      <c r="M2029" s="46"/>
      <c r="N2029" s="46"/>
      <c r="O2029" s="46"/>
      <c r="P2029" s="46"/>
      <c r="Q2029" s="46"/>
      <c r="R2029" s="46"/>
      <c r="S2029" s="46"/>
      <c r="T2029" s="46"/>
      <c r="U2029" s="46"/>
      <c r="V2029" s="46"/>
      <c r="W2029" s="46"/>
      <c r="X2029" s="46"/>
      <c r="Y2029" s="46"/>
      <c r="Z2029" s="46"/>
    </row>
    <row r="2030" ht="22.5" customHeight="1">
      <c r="A2030" s="17">
        <v>2028.0</v>
      </c>
      <c r="B2030" s="20">
        <v>41.0</v>
      </c>
      <c r="C2030" s="13" t="s">
        <v>12741</v>
      </c>
      <c r="D2030" s="13" t="s">
        <v>12742</v>
      </c>
      <c r="E2030" s="13" t="s">
        <v>12743</v>
      </c>
      <c r="F2030" s="15"/>
      <c r="G2030" s="15"/>
      <c r="H2030" s="46"/>
      <c r="I2030" s="46"/>
      <c r="J2030" s="46"/>
      <c r="K2030" s="46"/>
      <c r="L2030" s="46"/>
      <c r="M2030" s="46"/>
      <c r="N2030" s="46"/>
      <c r="O2030" s="46"/>
      <c r="P2030" s="46"/>
      <c r="Q2030" s="46"/>
      <c r="R2030" s="46"/>
      <c r="S2030" s="46"/>
      <c r="T2030" s="46"/>
      <c r="U2030" s="46"/>
      <c r="V2030" s="46"/>
      <c r="W2030" s="46"/>
      <c r="X2030" s="46"/>
      <c r="Y2030" s="46"/>
      <c r="Z2030" s="46"/>
    </row>
    <row r="2031" ht="22.5" customHeight="1">
      <c r="A2031" s="11">
        <v>2029.0</v>
      </c>
      <c r="B2031" s="20">
        <v>41.0</v>
      </c>
      <c r="C2031" s="13" t="s">
        <v>12744</v>
      </c>
      <c r="D2031" s="13" t="s">
        <v>12745</v>
      </c>
      <c r="E2031" s="13" t="s">
        <v>12746</v>
      </c>
      <c r="F2031" s="14" t="s">
        <v>18</v>
      </c>
      <c r="G2031" s="15"/>
      <c r="H2031" s="46"/>
      <c r="I2031" s="46"/>
      <c r="J2031" s="46"/>
      <c r="K2031" s="46"/>
      <c r="L2031" s="46"/>
      <c r="M2031" s="46"/>
      <c r="N2031" s="46"/>
      <c r="O2031" s="46"/>
      <c r="P2031" s="46"/>
      <c r="Q2031" s="46"/>
      <c r="R2031" s="46"/>
      <c r="S2031" s="46"/>
      <c r="T2031" s="46"/>
      <c r="U2031" s="46"/>
      <c r="V2031" s="46"/>
      <c r="W2031" s="46"/>
      <c r="X2031" s="46"/>
      <c r="Y2031" s="46"/>
      <c r="Z2031" s="46"/>
    </row>
    <row r="2032" ht="22.5" customHeight="1">
      <c r="A2032" s="17">
        <v>2030.0</v>
      </c>
      <c r="B2032" s="20">
        <v>41.0</v>
      </c>
      <c r="C2032" s="13" t="s">
        <v>11978</v>
      </c>
      <c r="D2032" s="13" t="s">
        <v>11979</v>
      </c>
      <c r="E2032" s="13" t="s">
        <v>11980</v>
      </c>
      <c r="F2032" s="15"/>
      <c r="G2032" s="15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  <c r="S2032" s="46"/>
      <c r="T2032" s="46"/>
      <c r="U2032" s="46"/>
      <c r="V2032" s="46"/>
      <c r="W2032" s="46"/>
      <c r="X2032" s="46"/>
      <c r="Y2032" s="46"/>
      <c r="Z2032" s="46"/>
    </row>
    <row r="2033" ht="22.5" customHeight="1">
      <c r="A2033" s="11">
        <v>2031.0</v>
      </c>
      <c r="B2033" s="20">
        <v>41.0</v>
      </c>
      <c r="C2033" s="13" t="s">
        <v>8753</v>
      </c>
      <c r="D2033" s="13" t="s">
        <v>9346</v>
      </c>
      <c r="E2033" s="13" t="s">
        <v>8755</v>
      </c>
      <c r="F2033" s="15"/>
      <c r="G2033" s="15"/>
      <c r="H2033" s="46"/>
      <c r="I2033" s="46"/>
      <c r="J2033" s="46"/>
      <c r="K2033" s="46"/>
      <c r="L2033" s="46"/>
      <c r="M2033" s="46"/>
      <c r="N2033" s="46"/>
      <c r="O2033" s="46"/>
      <c r="P2033" s="46"/>
      <c r="Q2033" s="46"/>
      <c r="R2033" s="46"/>
      <c r="S2033" s="46"/>
      <c r="T2033" s="46"/>
      <c r="U2033" s="46"/>
      <c r="V2033" s="46"/>
      <c r="W2033" s="46"/>
      <c r="X2033" s="46"/>
      <c r="Y2033" s="46"/>
      <c r="Z2033" s="46"/>
    </row>
    <row r="2034" ht="22.5" customHeight="1">
      <c r="A2034" s="17">
        <v>2032.0</v>
      </c>
      <c r="B2034" s="20">
        <v>41.0</v>
      </c>
      <c r="C2034" s="13" t="s">
        <v>5733</v>
      </c>
      <c r="D2034" s="13" t="s">
        <v>8993</v>
      </c>
      <c r="E2034" s="13" t="s">
        <v>8994</v>
      </c>
      <c r="F2034" s="15"/>
      <c r="G2034" s="15"/>
      <c r="H2034" s="46"/>
      <c r="I2034" s="46"/>
      <c r="J2034" s="46"/>
      <c r="K2034" s="46"/>
      <c r="L2034" s="46"/>
      <c r="M2034" s="46"/>
      <c r="N2034" s="46"/>
      <c r="O2034" s="46"/>
      <c r="P2034" s="46"/>
      <c r="Q2034" s="46"/>
      <c r="R2034" s="46"/>
      <c r="S2034" s="46"/>
      <c r="T2034" s="46"/>
      <c r="U2034" s="46"/>
      <c r="V2034" s="46"/>
      <c r="W2034" s="46"/>
      <c r="X2034" s="46"/>
      <c r="Y2034" s="46"/>
      <c r="Z2034" s="46"/>
    </row>
    <row r="2035" ht="22.5" customHeight="1">
      <c r="A2035" s="11">
        <v>2033.0</v>
      </c>
      <c r="B2035" s="20">
        <v>41.0</v>
      </c>
      <c r="C2035" s="13" t="s">
        <v>5509</v>
      </c>
      <c r="D2035" s="13" t="s">
        <v>5508</v>
      </c>
      <c r="E2035" s="13" t="s">
        <v>10729</v>
      </c>
      <c r="F2035" s="15"/>
      <c r="G2035" s="15"/>
      <c r="H2035" s="46"/>
      <c r="I2035" s="46"/>
      <c r="J2035" s="46"/>
      <c r="K2035" s="46"/>
      <c r="L2035" s="46"/>
      <c r="M2035" s="46"/>
      <c r="N2035" s="46"/>
      <c r="O2035" s="46"/>
      <c r="P2035" s="46"/>
      <c r="Q2035" s="46"/>
      <c r="R2035" s="46"/>
      <c r="S2035" s="46"/>
      <c r="T2035" s="46"/>
      <c r="U2035" s="46"/>
      <c r="V2035" s="46"/>
      <c r="W2035" s="46"/>
      <c r="X2035" s="46"/>
      <c r="Y2035" s="46"/>
      <c r="Z2035" s="46"/>
    </row>
    <row r="2036" ht="22.5" customHeight="1">
      <c r="A2036" s="17">
        <v>2034.0</v>
      </c>
      <c r="B2036" s="20">
        <v>41.0</v>
      </c>
      <c r="C2036" s="13" t="s">
        <v>12747</v>
      </c>
      <c r="D2036" s="13" t="s">
        <v>12748</v>
      </c>
      <c r="E2036" s="13" t="s">
        <v>12749</v>
      </c>
      <c r="F2036" s="15"/>
      <c r="G2036" s="15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  <c r="S2036" s="46"/>
      <c r="T2036" s="46"/>
      <c r="U2036" s="46"/>
      <c r="V2036" s="46"/>
      <c r="W2036" s="46"/>
      <c r="X2036" s="46"/>
      <c r="Y2036" s="46"/>
      <c r="Z2036" s="46"/>
    </row>
    <row r="2037" ht="22.5" customHeight="1">
      <c r="A2037" s="11">
        <v>2035.0</v>
      </c>
      <c r="B2037" s="20">
        <v>41.0</v>
      </c>
      <c r="C2037" s="13" t="s">
        <v>12750</v>
      </c>
      <c r="D2037" s="13" t="s">
        <v>12751</v>
      </c>
      <c r="E2037" s="13" t="s">
        <v>12752</v>
      </c>
      <c r="F2037" s="14" t="s">
        <v>18</v>
      </c>
      <c r="G2037" s="15"/>
      <c r="H2037" s="46"/>
      <c r="I2037" s="46"/>
      <c r="J2037" s="46"/>
      <c r="K2037" s="46"/>
      <c r="L2037" s="46"/>
      <c r="M2037" s="46"/>
      <c r="N2037" s="46"/>
      <c r="O2037" s="46"/>
      <c r="P2037" s="46"/>
      <c r="Q2037" s="46"/>
      <c r="R2037" s="46"/>
      <c r="S2037" s="46"/>
      <c r="T2037" s="46"/>
      <c r="U2037" s="46"/>
      <c r="V2037" s="46"/>
      <c r="W2037" s="46"/>
      <c r="X2037" s="46"/>
      <c r="Y2037" s="46"/>
      <c r="Z2037" s="46"/>
    </row>
    <row r="2038" ht="22.5" customHeight="1">
      <c r="A2038" s="17">
        <v>2036.0</v>
      </c>
      <c r="B2038" s="20">
        <v>41.0</v>
      </c>
      <c r="C2038" s="13" t="s">
        <v>12753</v>
      </c>
      <c r="D2038" s="13" t="s">
        <v>12754</v>
      </c>
      <c r="E2038" s="13" t="s">
        <v>12755</v>
      </c>
      <c r="F2038" s="15"/>
      <c r="G2038" s="15"/>
      <c r="H2038" s="46"/>
      <c r="I2038" s="46"/>
      <c r="J2038" s="46"/>
      <c r="K2038" s="46"/>
      <c r="L2038" s="46"/>
      <c r="M2038" s="46"/>
      <c r="N2038" s="46"/>
      <c r="O2038" s="46"/>
      <c r="P2038" s="46"/>
      <c r="Q2038" s="46"/>
      <c r="R2038" s="46"/>
      <c r="S2038" s="46"/>
      <c r="T2038" s="46"/>
      <c r="U2038" s="46"/>
      <c r="V2038" s="46"/>
      <c r="W2038" s="46"/>
      <c r="X2038" s="46"/>
      <c r="Y2038" s="46"/>
      <c r="Z2038" s="46"/>
    </row>
    <row r="2039" ht="22.5" customHeight="1">
      <c r="A2039" s="11">
        <v>2037.0</v>
      </c>
      <c r="B2039" s="20">
        <v>41.0</v>
      </c>
      <c r="C2039" s="13" t="s">
        <v>6290</v>
      </c>
      <c r="D2039" s="13" t="s">
        <v>6289</v>
      </c>
      <c r="E2039" s="13" t="s">
        <v>12756</v>
      </c>
      <c r="F2039" s="14" t="s">
        <v>18</v>
      </c>
      <c r="G2039" s="15"/>
      <c r="H2039" s="46"/>
      <c r="I2039" s="46"/>
      <c r="J2039" s="46"/>
      <c r="K2039" s="46"/>
      <c r="L2039" s="46"/>
      <c r="M2039" s="46"/>
      <c r="N2039" s="46"/>
      <c r="O2039" s="46"/>
      <c r="P2039" s="46"/>
      <c r="Q2039" s="46"/>
      <c r="R2039" s="46"/>
      <c r="S2039" s="46"/>
      <c r="T2039" s="46"/>
      <c r="U2039" s="46"/>
      <c r="V2039" s="46"/>
      <c r="W2039" s="46"/>
      <c r="X2039" s="46"/>
      <c r="Y2039" s="46"/>
      <c r="Z2039" s="46"/>
    </row>
    <row r="2040" ht="22.5" customHeight="1">
      <c r="A2040" s="17">
        <v>2038.0</v>
      </c>
      <c r="B2040" s="20">
        <v>41.0</v>
      </c>
      <c r="C2040" s="13" t="s">
        <v>9884</v>
      </c>
      <c r="D2040" s="13" t="s">
        <v>9885</v>
      </c>
      <c r="E2040" s="13" t="s">
        <v>9886</v>
      </c>
      <c r="F2040" s="15"/>
      <c r="G2040" s="15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  <c r="S2040" s="46"/>
      <c r="T2040" s="46"/>
      <c r="U2040" s="46"/>
      <c r="V2040" s="46"/>
      <c r="W2040" s="46"/>
      <c r="X2040" s="46"/>
      <c r="Y2040" s="46"/>
      <c r="Z2040" s="46"/>
    </row>
    <row r="2041" ht="22.5" customHeight="1">
      <c r="A2041" s="11">
        <v>2039.0</v>
      </c>
      <c r="B2041" s="20">
        <v>41.0</v>
      </c>
      <c r="C2041" s="13" t="s">
        <v>9400</v>
      </c>
      <c r="D2041" s="13" t="s">
        <v>9401</v>
      </c>
      <c r="E2041" s="13" t="s">
        <v>9402</v>
      </c>
      <c r="F2041" s="15"/>
      <c r="G2041" s="15"/>
      <c r="H2041" s="46"/>
      <c r="I2041" s="46"/>
      <c r="J2041" s="46"/>
      <c r="K2041" s="46"/>
      <c r="L2041" s="46"/>
      <c r="M2041" s="46"/>
      <c r="N2041" s="46"/>
      <c r="O2041" s="46"/>
      <c r="P2041" s="46"/>
      <c r="Q2041" s="46"/>
      <c r="R2041" s="46"/>
      <c r="S2041" s="46"/>
      <c r="T2041" s="46"/>
      <c r="U2041" s="46"/>
      <c r="V2041" s="46"/>
      <c r="W2041" s="46"/>
      <c r="X2041" s="46"/>
      <c r="Y2041" s="46"/>
      <c r="Z2041" s="46"/>
    </row>
    <row r="2042" ht="22.5" customHeight="1">
      <c r="A2042" s="17">
        <v>2040.0</v>
      </c>
      <c r="B2042" s="20">
        <v>41.0</v>
      </c>
      <c r="C2042" s="13" t="s">
        <v>12757</v>
      </c>
      <c r="D2042" s="13" t="s">
        <v>12758</v>
      </c>
      <c r="E2042" s="13" t="s">
        <v>12759</v>
      </c>
      <c r="F2042" s="15"/>
      <c r="G2042" s="15"/>
      <c r="H2042" s="46"/>
      <c r="I2042" s="46"/>
      <c r="J2042" s="46"/>
      <c r="K2042" s="46"/>
      <c r="L2042" s="46"/>
      <c r="M2042" s="46"/>
      <c r="N2042" s="46"/>
      <c r="O2042" s="46"/>
      <c r="P2042" s="46"/>
      <c r="Q2042" s="46"/>
      <c r="R2042" s="46"/>
      <c r="S2042" s="46"/>
      <c r="T2042" s="46"/>
      <c r="U2042" s="46"/>
      <c r="V2042" s="46"/>
      <c r="W2042" s="46"/>
      <c r="X2042" s="46"/>
      <c r="Y2042" s="46"/>
      <c r="Z2042" s="46"/>
    </row>
    <row r="2043" ht="22.5" customHeight="1">
      <c r="A2043" s="11">
        <v>2041.0</v>
      </c>
      <c r="B2043" s="16">
        <v>40.0</v>
      </c>
      <c r="C2043" s="13" t="s">
        <v>5092</v>
      </c>
      <c r="D2043" s="13" t="s">
        <v>5091</v>
      </c>
      <c r="E2043" s="13" t="s">
        <v>12760</v>
      </c>
      <c r="F2043" s="15"/>
      <c r="G2043" s="15"/>
      <c r="H2043" s="46"/>
      <c r="I2043" s="46"/>
      <c r="J2043" s="46"/>
      <c r="K2043" s="46"/>
      <c r="L2043" s="46"/>
      <c r="M2043" s="46"/>
      <c r="N2043" s="46"/>
      <c r="O2043" s="46"/>
      <c r="P2043" s="46"/>
      <c r="Q2043" s="46"/>
      <c r="R2043" s="46"/>
      <c r="S2043" s="46"/>
      <c r="T2043" s="46"/>
      <c r="U2043" s="46"/>
      <c r="V2043" s="46"/>
      <c r="W2043" s="46"/>
      <c r="X2043" s="46"/>
      <c r="Y2043" s="46"/>
      <c r="Z2043" s="46"/>
    </row>
    <row r="2044" ht="22.5" customHeight="1">
      <c r="A2044" s="17">
        <v>2042.0</v>
      </c>
      <c r="B2044" s="16">
        <v>40.0</v>
      </c>
      <c r="C2044" s="13" t="s">
        <v>5069</v>
      </c>
      <c r="D2044" s="13" t="s">
        <v>5068</v>
      </c>
      <c r="E2044" s="13" t="s">
        <v>5070</v>
      </c>
      <c r="F2044" s="15"/>
      <c r="G2044" s="15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  <c r="S2044" s="46"/>
      <c r="T2044" s="46"/>
      <c r="U2044" s="46"/>
      <c r="V2044" s="46"/>
      <c r="W2044" s="46"/>
      <c r="X2044" s="46"/>
      <c r="Y2044" s="46"/>
      <c r="Z2044" s="46"/>
    </row>
    <row r="2045" ht="22.5" customHeight="1">
      <c r="A2045" s="11">
        <v>2043.0</v>
      </c>
      <c r="B2045" s="16">
        <v>40.0</v>
      </c>
      <c r="C2045" s="13" t="s">
        <v>12761</v>
      </c>
      <c r="D2045" s="13" t="s">
        <v>12762</v>
      </c>
      <c r="E2045" s="13" t="s">
        <v>12763</v>
      </c>
      <c r="F2045" s="15"/>
      <c r="G2045" s="15"/>
      <c r="H2045" s="46"/>
      <c r="I2045" s="46"/>
      <c r="J2045" s="46"/>
      <c r="K2045" s="46"/>
      <c r="L2045" s="46"/>
      <c r="M2045" s="46"/>
      <c r="N2045" s="46"/>
      <c r="O2045" s="46"/>
      <c r="P2045" s="46"/>
      <c r="Q2045" s="46"/>
      <c r="R2045" s="46"/>
      <c r="S2045" s="46"/>
      <c r="T2045" s="46"/>
      <c r="U2045" s="46"/>
      <c r="V2045" s="46"/>
      <c r="W2045" s="46"/>
      <c r="X2045" s="46"/>
      <c r="Y2045" s="46"/>
      <c r="Z2045" s="46"/>
    </row>
    <row r="2046" ht="22.5" customHeight="1">
      <c r="A2046" s="17">
        <v>2044.0</v>
      </c>
      <c r="B2046" s="16">
        <v>40.0</v>
      </c>
      <c r="C2046" s="13" t="s">
        <v>12764</v>
      </c>
      <c r="D2046" s="13" t="s">
        <v>12765</v>
      </c>
      <c r="E2046" s="13" t="s">
        <v>12766</v>
      </c>
      <c r="F2046" s="15"/>
      <c r="G2046" s="15"/>
      <c r="H2046" s="46"/>
      <c r="I2046" s="46"/>
      <c r="J2046" s="46"/>
      <c r="K2046" s="46"/>
      <c r="L2046" s="46"/>
      <c r="M2046" s="46"/>
      <c r="N2046" s="46"/>
      <c r="O2046" s="46"/>
      <c r="P2046" s="46"/>
      <c r="Q2046" s="46"/>
      <c r="R2046" s="46"/>
      <c r="S2046" s="46"/>
      <c r="T2046" s="46"/>
      <c r="U2046" s="46"/>
      <c r="V2046" s="46"/>
      <c r="W2046" s="46"/>
      <c r="X2046" s="46"/>
      <c r="Y2046" s="46"/>
      <c r="Z2046" s="46"/>
    </row>
    <row r="2047" ht="22.5" customHeight="1">
      <c r="A2047" s="11">
        <v>2045.0</v>
      </c>
      <c r="B2047" s="16">
        <v>40.0</v>
      </c>
      <c r="C2047" s="13" t="s">
        <v>5950</v>
      </c>
      <c r="D2047" s="13" t="s">
        <v>5949</v>
      </c>
      <c r="E2047" s="13" t="s">
        <v>12767</v>
      </c>
      <c r="F2047" s="15"/>
      <c r="G2047" s="15"/>
      <c r="H2047" s="46"/>
      <c r="I2047" s="46"/>
      <c r="J2047" s="46"/>
      <c r="K2047" s="46"/>
      <c r="L2047" s="46"/>
      <c r="M2047" s="46"/>
      <c r="N2047" s="46"/>
      <c r="O2047" s="46"/>
      <c r="P2047" s="46"/>
      <c r="Q2047" s="46"/>
      <c r="R2047" s="46"/>
      <c r="S2047" s="46"/>
      <c r="T2047" s="46"/>
      <c r="U2047" s="46"/>
      <c r="V2047" s="46"/>
      <c r="W2047" s="46"/>
      <c r="X2047" s="46"/>
      <c r="Y2047" s="46"/>
      <c r="Z2047" s="46"/>
    </row>
    <row r="2048" ht="22.5" customHeight="1">
      <c r="A2048" s="17">
        <v>2046.0</v>
      </c>
      <c r="B2048" s="16">
        <v>40.0</v>
      </c>
      <c r="C2048" s="13" t="s">
        <v>12704</v>
      </c>
      <c r="D2048" s="13" t="s">
        <v>12705</v>
      </c>
      <c r="E2048" s="13" t="s">
        <v>12768</v>
      </c>
      <c r="F2048" s="15"/>
      <c r="G2048" s="15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  <c r="S2048" s="46"/>
      <c r="T2048" s="46"/>
      <c r="U2048" s="46"/>
      <c r="V2048" s="46"/>
      <c r="W2048" s="46"/>
      <c r="X2048" s="46"/>
      <c r="Y2048" s="46"/>
      <c r="Z2048" s="46"/>
    </row>
    <row r="2049" ht="22.5" customHeight="1">
      <c r="A2049" s="11">
        <v>2047.0</v>
      </c>
      <c r="B2049" s="16">
        <v>40.0</v>
      </c>
      <c r="C2049" s="13" t="s">
        <v>12769</v>
      </c>
      <c r="D2049" s="13" t="s">
        <v>12770</v>
      </c>
      <c r="E2049" s="13" t="s">
        <v>12771</v>
      </c>
      <c r="F2049" s="15"/>
      <c r="G2049" s="15"/>
      <c r="H2049" s="46"/>
      <c r="I2049" s="46"/>
      <c r="J2049" s="46"/>
      <c r="K2049" s="46"/>
      <c r="L2049" s="46"/>
      <c r="M2049" s="46"/>
      <c r="N2049" s="46"/>
      <c r="O2049" s="46"/>
      <c r="P2049" s="46"/>
      <c r="Q2049" s="46"/>
      <c r="R2049" s="46"/>
      <c r="S2049" s="46"/>
      <c r="T2049" s="46"/>
      <c r="U2049" s="46"/>
      <c r="V2049" s="46"/>
      <c r="W2049" s="46"/>
      <c r="X2049" s="46"/>
      <c r="Y2049" s="46"/>
      <c r="Z2049" s="46"/>
    </row>
    <row r="2050" ht="22.5" customHeight="1">
      <c r="A2050" s="17">
        <v>2048.0</v>
      </c>
      <c r="B2050" s="16">
        <v>40.0</v>
      </c>
      <c r="C2050" s="13" t="s">
        <v>9512</v>
      </c>
      <c r="D2050" s="13" t="s">
        <v>9513</v>
      </c>
      <c r="E2050" s="13" t="s">
        <v>12772</v>
      </c>
      <c r="F2050" s="15"/>
      <c r="G2050" s="15"/>
      <c r="H2050" s="46"/>
      <c r="I2050" s="46"/>
      <c r="J2050" s="46"/>
      <c r="K2050" s="46"/>
      <c r="L2050" s="46"/>
      <c r="M2050" s="46"/>
      <c r="N2050" s="46"/>
      <c r="O2050" s="46"/>
      <c r="P2050" s="46"/>
      <c r="Q2050" s="46"/>
      <c r="R2050" s="46"/>
      <c r="S2050" s="46"/>
      <c r="T2050" s="46"/>
      <c r="U2050" s="46"/>
      <c r="V2050" s="46"/>
      <c r="W2050" s="46"/>
      <c r="X2050" s="46"/>
      <c r="Y2050" s="46"/>
      <c r="Z2050" s="46"/>
    </row>
    <row r="2051" ht="22.5" customHeight="1">
      <c r="A2051" s="11">
        <v>2049.0</v>
      </c>
      <c r="B2051" s="16">
        <v>40.0</v>
      </c>
      <c r="C2051" s="13" t="s">
        <v>12773</v>
      </c>
      <c r="D2051" s="13" t="s">
        <v>12774</v>
      </c>
      <c r="E2051" s="13" t="s">
        <v>12775</v>
      </c>
      <c r="F2051" s="15"/>
      <c r="G2051" s="15"/>
      <c r="H2051" s="46"/>
      <c r="I2051" s="46"/>
      <c r="J2051" s="46"/>
      <c r="K2051" s="46"/>
      <c r="L2051" s="46"/>
      <c r="M2051" s="46"/>
      <c r="N2051" s="46"/>
      <c r="O2051" s="46"/>
      <c r="P2051" s="46"/>
      <c r="Q2051" s="46"/>
      <c r="R2051" s="46"/>
      <c r="S2051" s="46"/>
      <c r="T2051" s="46"/>
      <c r="U2051" s="46"/>
      <c r="V2051" s="46"/>
      <c r="W2051" s="46"/>
      <c r="X2051" s="46"/>
      <c r="Y2051" s="46"/>
      <c r="Z2051" s="46"/>
    </row>
    <row r="2052" ht="22.5" customHeight="1">
      <c r="A2052" s="17">
        <v>2050.0</v>
      </c>
      <c r="B2052" s="16">
        <v>40.0</v>
      </c>
      <c r="C2052" s="13" t="s">
        <v>12776</v>
      </c>
      <c r="D2052" s="13" t="s">
        <v>12777</v>
      </c>
      <c r="E2052" s="13" t="s">
        <v>12778</v>
      </c>
      <c r="F2052" s="14" t="s">
        <v>18</v>
      </c>
      <c r="G2052" s="15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  <c r="S2052" s="46"/>
      <c r="T2052" s="46"/>
      <c r="U2052" s="46"/>
      <c r="V2052" s="46"/>
      <c r="W2052" s="46"/>
      <c r="X2052" s="46"/>
      <c r="Y2052" s="46"/>
      <c r="Z2052" s="46"/>
    </row>
    <row r="2053" ht="22.5" customHeight="1">
      <c r="A2053" s="11">
        <v>2051.0</v>
      </c>
      <c r="B2053" s="16">
        <v>40.0</v>
      </c>
      <c r="C2053" s="13" t="s">
        <v>4537</v>
      </c>
      <c r="D2053" s="13" t="s">
        <v>4536</v>
      </c>
      <c r="E2053" s="13" t="s">
        <v>12779</v>
      </c>
      <c r="F2053" s="15"/>
      <c r="G2053" s="15"/>
      <c r="H2053" s="46"/>
      <c r="I2053" s="46"/>
      <c r="J2053" s="46"/>
      <c r="K2053" s="46"/>
      <c r="L2053" s="46"/>
      <c r="M2053" s="46"/>
      <c r="N2053" s="46"/>
      <c r="O2053" s="46"/>
      <c r="P2053" s="46"/>
      <c r="Q2053" s="46"/>
      <c r="R2053" s="46"/>
      <c r="S2053" s="46"/>
      <c r="T2053" s="46"/>
      <c r="U2053" s="46"/>
      <c r="V2053" s="46"/>
      <c r="W2053" s="46"/>
      <c r="X2053" s="46"/>
      <c r="Y2053" s="46"/>
      <c r="Z2053" s="46"/>
    </row>
    <row r="2054" ht="22.5" customHeight="1">
      <c r="A2054" s="17">
        <v>2052.0</v>
      </c>
      <c r="B2054" s="16">
        <v>40.0</v>
      </c>
      <c r="C2054" s="13" t="s">
        <v>12780</v>
      </c>
      <c r="D2054" s="13" t="s">
        <v>12781</v>
      </c>
      <c r="E2054" s="13" t="s">
        <v>12782</v>
      </c>
      <c r="F2054" s="15"/>
      <c r="G2054" s="15"/>
      <c r="H2054" s="46"/>
      <c r="I2054" s="46"/>
      <c r="J2054" s="46"/>
      <c r="K2054" s="46"/>
      <c r="L2054" s="46"/>
      <c r="M2054" s="46"/>
      <c r="N2054" s="46"/>
      <c r="O2054" s="46"/>
      <c r="P2054" s="46"/>
      <c r="Q2054" s="46"/>
      <c r="R2054" s="46"/>
      <c r="S2054" s="46"/>
      <c r="T2054" s="46"/>
      <c r="U2054" s="46"/>
      <c r="V2054" s="46"/>
      <c r="W2054" s="46"/>
      <c r="X2054" s="46"/>
      <c r="Y2054" s="46"/>
      <c r="Z2054" s="46"/>
    </row>
    <row r="2055" ht="22.5" customHeight="1">
      <c r="A2055" s="11">
        <v>2053.0</v>
      </c>
      <c r="B2055" s="16">
        <v>40.0</v>
      </c>
      <c r="C2055" s="13" t="s">
        <v>12783</v>
      </c>
      <c r="D2055" s="13" t="s">
        <v>12784</v>
      </c>
      <c r="E2055" s="13" t="s">
        <v>12785</v>
      </c>
      <c r="F2055" s="15"/>
      <c r="G2055" s="15"/>
      <c r="H2055" s="46"/>
      <c r="I2055" s="46"/>
      <c r="J2055" s="46"/>
      <c r="K2055" s="46"/>
      <c r="L2055" s="46"/>
      <c r="M2055" s="46"/>
      <c r="N2055" s="46"/>
      <c r="O2055" s="46"/>
      <c r="P2055" s="46"/>
      <c r="Q2055" s="46"/>
      <c r="R2055" s="46"/>
      <c r="S2055" s="46"/>
      <c r="T2055" s="46"/>
      <c r="U2055" s="46"/>
      <c r="V2055" s="46"/>
      <c r="W2055" s="46"/>
      <c r="X2055" s="46"/>
      <c r="Y2055" s="46"/>
      <c r="Z2055" s="46"/>
    </row>
    <row r="2056" ht="22.5" customHeight="1">
      <c r="A2056" s="17">
        <v>2054.0</v>
      </c>
      <c r="B2056" s="16">
        <v>40.0</v>
      </c>
      <c r="C2056" s="13" t="s">
        <v>4781</v>
      </c>
      <c r="D2056" s="13" t="s">
        <v>4780</v>
      </c>
      <c r="E2056" s="13" t="s">
        <v>12365</v>
      </c>
      <c r="F2056" s="15"/>
      <c r="G2056" s="15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  <c r="S2056" s="46"/>
      <c r="T2056" s="46"/>
      <c r="U2056" s="46"/>
      <c r="V2056" s="46"/>
      <c r="W2056" s="46"/>
      <c r="X2056" s="46"/>
      <c r="Y2056" s="46"/>
      <c r="Z2056" s="46"/>
    </row>
    <row r="2057" ht="22.5" customHeight="1">
      <c r="A2057" s="11">
        <v>2055.0</v>
      </c>
      <c r="B2057" s="16">
        <v>40.0</v>
      </c>
      <c r="C2057" s="13" t="s">
        <v>5500</v>
      </c>
      <c r="D2057" s="13" t="s">
        <v>12786</v>
      </c>
      <c r="E2057" s="13" t="s">
        <v>12787</v>
      </c>
      <c r="F2057" s="15"/>
      <c r="G2057" s="15"/>
      <c r="H2057" s="46"/>
      <c r="I2057" s="46"/>
      <c r="J2057" s="46"/>
      <c r="K2057" s="46"/>
      <c r="L2057" s="46"/>
      <c r="M2057" s="46"/>
      <c r="N2057" s="46"/>
      <c r="O2057" s="46"/>
      <c r="P2057" s="46"/>
      <c r="Q2057" s="46"/>
      <c r="R2057" s="46"/>
      <c r="S2057" s="46"/>
      <c r="T2057" s="46"/>
      <c r="U2057" s="46"/>
      <c r="V2057" s="46"/>
      <c r="W2057" s="46"/>
      <c r="X2057" s="46"/>
      <c r="Y2057" s="46"/>
      <c r="Z2057" s="46"/>
    </row>
    <row r="2058" ht="22.5" customHeight="1">
      <c r="A2058" s="17">
        <v>2056.0</v>
      </c>
      <c r="B2058" s="16">
        <v>40.0</v>
      </c>
      <c r="C2058" s="13" t="s">
        <v>9301</v>
      </c>
      <c r="D2058" s="13" t="s">
        <v>9302</v>
      </c>
      <c r="E2058" s="13" t="s">
        <v>9303</v>
      </c>
      <c r="F2058" s="15"/>
      <c r="G2058" s="15"/>
      <c r="H2058" s="46"/>
      <c r="I2058" s="46"/>
      <c r="J2058" s="46"/>
      <c r="K2058" s="46"/>
      <c r="L2058" s="46"/>
      <c r="M2058" s="46"/>
      <c r="N2058" s="46"/>
      <c r="O2058" s="46"/>
      <c r="P2058" s="46"/>
      <c r="Q2058" s="46"/>
      <c r="R2058" s="46"/>
      <c r="S2058" s="46"/>
      <c r="T2058" s="46"/>
      <c r="U2058" s="46"/>
      <c r="V2058" s="46"/>
      <c r="W2058" s="46"/>
      <c r="X2058" s="46"/>
      <c r="Y2058" s="46"/>
      <c r="Z2058" s="46"/>
    </row>
    <row r="2059" ht="22.5" customHeight="1">
      <c r="A2059" s="11">
        <v>2057.0</v>
      </c>
      <c r="B2059" s="16">
        <v>40.0</v>
      </c>
      <c r="C2059" s="13" t="s">
        <v>12788</v>
      </c>
      <c r="D2059" s="13" t="s">
        <v>12789</v>
      </c>
      <c r="E2059" s="13" t="s">
        <v>12790</v>
      </c>
      <c r="F2059" s="15"/>
      <c r="G2059" s="15"/>
      <c r="H2059" s="46"/>
      <c r="I2059" s="46"/>
      <c r="J2059" s="46"/>
      <c r="K2059" s="46"/>
      <c r="L2059" s="46"/>
      <c r="M2059" s="46"/>
      <c r="N2059" s="46"/>
      <c r="O2059" s="46"/>
      <c r="P2059" s="46"/>
      <c r="Q2059" s="46"/>
      <c r="R2059" s="46"/>
      <c r="S2059" s="46"/>
      <c r="T2059" s="46"/>
      <c r="U2059" s="46"/>
      <c r="V2059" s="46"/>
      <c r="W2059" s="46"/>
      <c r="X2059" s="46"/>
      <c r="Y2059" s="46"/>
      <c r="Z2059" s="46"/>
    </row>
    <row r="2060" ht="22.5" customHeight="1">
      <c r="A2060" s="17">
        <v>2058.0</v>
      </c>
      <c r="B2060" s="16">
        <v>40.0</v>
      </c>
      <c r="C2060" s="13" t="s">
        <v>12621</v>
      </c>
      <c r="D2060" s="13" t="s">
        <v>12622</v>
      </c>
      <c r="E2060" s="13" t="s">
        <v>12623</v>
      </c>
      <c r="F2060" s="15"/>
      <c r="G2060" s="15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  <c r="S2060" s="46"/>
      <c r="T2060" s="46"/>
      <c r="U2060" s="46"/>
      <c r="V2060" s="46"/>
      <c r="W2060" s="46"/>
      <c r="X2060" s="46"/>
      <c r="Y2060" s="46"/>
      <c r="Z2060" s="46"/>
    </row>
    <row r="2061" ht="22.5" customHeight="1">
      <c r="A2061" s="11">
        <v>2059.0</v>
      </c>
      <c r="B2061" s="16">
        <v>40.0</v>
      </c>
      <c r="C2061" s="13" t="s">
        <v>10923</v>
      </c>
      <c r="D2061" s="13" t="s">
        <v>10924</v>
      </c>
      <c r="E2061" s="13" t="s">
        <v>10925</v>
      </c>
      <c r="F2061" s="15"/>
      <c r="G2061" s="15"/>
      <c r="H2061" s="46"/>
      <c r="I2061" s="46"/>
      <c r="J2061" s="46"/>
      <c r="K2061" s="46"/>
      <c r="L2061" s="46"/>
      <c r="M2061" s="46"/>
      <c r="N2061" s="46"/>
      <c r="O2061" s="46"/>
      <c r="P2061" s="46"/>
      <c r="Q2061" s="46"/>
      <c r="R2061" s="46"/>
      <c r="S2061" s="46"/>
      <c r="T2061" s="46"/>
      <c r="U2061" s="46"/>
      <c r="V2061" s="46"/>
      <c r="W2061" s="46"/>
      <c r="X2061" s="46"/>
      <c r="Y2061" s="46"/>
      <c r="Z2061" s="46"/>
    </row>
    <row r="2062" ht="22.5" customHeight="1">
      <c r="A2062" s="17">
        <v>2060.0</v>
      </c>
      <c r="B2062" s="16">
        <v>40.0</v>
      </c>
      <c r="C2062" s="13" t="s">
        <v>12791</v>
      </c>
      <c r="D2062" s="13" t="s">
        <v>12792</v>
      </c>
      <c r="E2062" s="13" t="s">
        <v>12793</v>
      </c>
      <c r="F2062" s="14" t="s">
        <v>18</v>
      </c>
      <c r="G2062" s="15"/>
      <c r="H2062" s="46"/>
      <c r="I2062" s="46"/>
      <c r="J2062" s="46"/>
      <c r="K2062" s="46"/>
      <c r="L2062" s="46"/>
      <c r="M2062" s="46"/>
      <c r="N2062" s="46"/>
      <c r="O2062" s="46"/>
      <c r="P2062" s="46"/>
      <c r="Q2062" s="46"/>
      <c r="R2062" s="46"/>
      <c r="S2062" s="46"/>
      <c r="T2062" s="46"/>
      <c r="U2062" s="46"/>
      <c r="V2062" s="46"/>
      <c r="W2062" s="46"/>
      <c r="X2062" s="46"/>
      <c r="Y2062" s="46"/>
      <c r="Z2062" s="46"/>
    </row>
    <row r="2063" ht="22.5" customHeight="1">
      <c r="A2063" s="11">
        <v>2061.0</v>
      </c>
      <c r="B2063" s="16">
        <v>40.0</v>
      </c>
      <c r="C2063" s="13" t="s">
        <v>10932</v>
      </c>
      <c r="D2063" s="13" t="s">
        <v>10933</v>
      </c>
      <c r="E2063" s="13" t="s">
        <v>10934</v>
      </c>
      <c r="F2063" s="15"/>
      <c r="G2063" s="15"/>
      <c r="H2063" s="46"/>
      <c r="I2063" s="46"/>
      <c r="J2063" s="46"/>
      <c r="K2063" s="46"/>
      <c r="L2063" s="46"/>
      <c r="M2063" s="46"/>
      <c r="N2063" s="46"/>
      <c r="O2063" s="46"/>
      <c r="P2063" s="46"/>
      <c r="Q2063" s="46"/>
      <c r="R2063" s="46"/>
      <c r="S2063" s="46"/>
      <c r="T2063" s="46"/>
      <c r="U2063" s="46"/>
      <c r="V2063" s="46"/>
      <c r="W2063" s="46"/>
      <c r="X2063" s="46"/>
      <c r="Y2063" s="46"/>
      <c r="Z2063" s="46"/>
    </row>
    <row r="2064" ht="22.5" customHeight="1">
      <c r="A2064" s="17">
        <v>2062.0</v>
      </c>
      <c r="B2064" s="16">
        <v>40.0</v>
      </c>
      <c r="C2064" s="13" t="s">
        <v>12794</v>
      </c>
      <c r="D2064" s="13" t="s">
        <v>12795</v>
      </c>
      <c r="E2064" s="13" t="s">
        <v>12796</v>
      </c>
      <c r="F2064" s="15"/>
      <c r="G2064" s="15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  <c r="S2064" s="46"/>
      <c r="T2064" s="46"/>
      <c r="U2064" s="46"/>
      <c r="V2064" s="46"/>
      <c r="W2064" s="46"/>
      <c r="X2064" s="46"/>
      <c r="Y2064" s="46"/>
      <c r="Z2064" s="46"/>
    </row>
    <row r="2065" ht="22.5" customHeight="1">
      <c r="A2065" s="11">
        <v>2063.0</v>
      </c>
      <c r="B2065" s="16">
        <v>40.0</v>
      </c>
      <c r="C2065" s="13" t="s">
        <v>12797</v>
      </c>
      <c r="D2065" s="13" t="s">
        <v>12798</v>
      </c>
      <c r="E2065" s="13" t="s">
        <v>12799</v>
      </c>
      <c r="F2065" s="14" t="s">
        <v>18</v>
      </c>
      <c r="G2065" s="15"/>
      <c r="H2065" s="46"/>
      <c r="I2065" s="46"/>
      <c r="J2065" s="46"/>
      <c r="K2065" s="46"/>
      <c r="L2065" s="46"/>
      <c r="M2065" s="46"/>
      <c r="N2065" s="46"/>
      <c r="O2065" s="46"/>
      <c r="P2065" s="46"/>
      <c r="Q2065" s="46"/>
      <c r="R2065" s="46"/>
      <c r="S2065" s="46"/>
      <c r="T2065" s="46"/>
      <c r="U2065" s="46"/>
      <c r="V2065" s="46"/>
      <c r="W2065" s="46"/>
      <c r="X2065" s="46"/>
      <c r="Y2065" s="46"/>
      <c r="Z2065" s="46"/>
    </row>
    <row r="2066" ht="22.5" customHeight="1">
      <c r="A2066" s="17">
        <v>2064.0</v>
      </c>
      <c r="B2066" s="20">
        <v>39.0</v>
      </c>
      <c r="C2066" s="21" t="s">
        <v>12800</v>
      </c>
      <c r="D2066" s="21" t="s">
        <v>12801</v>
      </c>
      <c r="E2066" s="21" t="s">
        <v>12802</v>
      </c>
      <c r="F2066" s="15"/>
      <c r="G2066" s="15"/>
      <c r="H2066" s="46"/>
      <c r="I2066" s="46"/>
      <c r="J2066" s="46"/>
      <c r="K2066" s="46"/>
      <c r="L2066" s="46"/>
      <c r="M2066" s="46"/>
      <c r="N2066" s="46"/>
      <c r="O2066" s="46"/>
      <c r="P2066" s="46"/>
      <c r="Q2066" s="46"/>
      <c r="R2066" s="46"/>
      <c r="S2066" s="46"/>
      <c r="T2066" s="46"/>
      <c r="U2066" s="46"/>
      <c r="V2066" s="46"/>
      <c r="W2066" s="46"/>
      <c r="X2066" s="46"/>
      <c r="Y2066" s="46"/>
      <c r="Z2066" s="46"/>
    </row>
    <row r="2067" ht="22.5" customHeight="1">
      <c r="A2067" s="11">
        <v>2065.0</v>
      </c>
      <c r="B2067" s="20">
        <v>39.0</v>
      </c>
      <c r="C2067" s="21" t="s">
        <v>10906</v>
      </c>
      <c r="D2067" s="21" t="s">
        <v>10907</v>
      </c>
      <c r="E2067" s="21" t="s">
        <v>10908</v>
      </c>
      <c r="F2067" s="15"/>
      <c r="G2067" s="15"/>
      <c r="H2067" s="46"/>
      <c r="I2067" s="46"/>
      <c r="J2067" s="46"/>
      <c r="K2067" s="46"/>
      <c r="L2067" s="46"/>
      <c r="M2067" s="46"/>
      <c r="N2067" s="46"/>
      <c r="O2067" s="46"/>
      <c r="P2067" s="46"/>
      <c r="Q2067" s="46"/>
      <c r="R2067" s="46"/>
      <c r="S2067" s="46"/>
      <c r="T2067" s="46"/>
      <c r="U2067" s="46"/>
      <c r="V2067" s="46"/>
      <c r="W2067" s="46"/>
      <c r="X2067" s="46"/>
      <c r="Y2067" s="46"/>
      <c r="Z2067" s="46"/>
    </row>
    <row r="2068" ht="22.5" customHeight="1">
      <c r="A2068" s="17">
        <v>2066.0</v>
      </c>
      <c r="B2068" s="20">
        <v>39.0</v>
      </c>
      <c r="C2068" s="21" t="s">
        <v>4420</v>
      </c>
      <c r="D2068" s="21" t="s">
        <v>4419</v>
      </c>
      <c r="E2068" s="21" t="s">
        <v>12803</v>
      </c>
      <c r="F2068" s="15"/>
      <c r="G2068" s="15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  <c r="S2068" s="46"/>
      <c r="T2068" s="46"/>
      <c r="U2068" s="46"/>
      <c r="V2068" s="46"/>
      <c r="W2068" s="46"/>
      <c r="X2068" s="46"/>
      <c r="Y2068" s="46"/>
      <c r="Z2068" s="46"/>
    </row>
    <row r="2069" ht="22.5" customHeight="1">
      <c r="A2069" s="11">
        <v>2067.0</v>
      </c>
      <c r="B2069" s="20">
        <v>39.0</v>
      </c>
      <c r="C2069" s="21" t="s">
        <v>9755</v>
      </c>
      <c r="D2069" s="21" t="s">
        <v>9756</v>
      </c>
      <c r="E2069" s="21" t="s">
        <v>9757</v>
      </c>
      <c r="F2069" s="15"/>
      <c r="G2069" s="15"/>
      <c r="H2069" s="46"/>
      <c r="I2069" s="46"/>
      <c r="J2069" s="46"/>
      <c r="K2069" s="46"/>
      <c r="L2069" s="46"/>
      <c r="M2069" s="46"/>
      <c r="N2069" s="46"/>
      <c r="O2069" s="46"/>
      <c r="P2069" s="46"/>
      <c r="Q2069" s="46"/>
      <c r="R2069" s="46"/>
      <c r="S2069" s="46"/>
      <c r="T2069" s="46"/>
      <c r="U2069" s="46"/>
      <c r="V2069" s="46"/>
      <c r="W2069" s="46"/>
      <c r="X2069" s="46"/>
      <c r="Y2069" s="46"/>
      <c r="Z2069" s="46"/>
    </row>
    <row r="2070" ht="22.5" customHeight="1">
      <c r="A2070" s="17">
        <v>2068.0</v>
      </c>
      <c r="B2070" s="20">
        <v>39.0</v>
      </c>
      <c r="C2070" s="21" t="s">
        <v>12804</v>
      </c>
      <c r="D2070" s="21" t="s">
        <v>12805</v>
      </c>
      <c r="E2070" s="21" t="s">
        <v>12806</v>
      </c>
      <c r="F2070" s="15"/>
      <c r="G2070" s="15"/>
      <c r="H2070" s="46"/>
      <c r="I2070" s="46"/>
      <c r="J2070" s="46"/>
      <c r="K2070" s="46"/>
      <c r="L2070" s="46"/>
      <c r="M2070" s="46"/>
      <c r="N2070" s="46"/>
      <c r="O2070" s="46"/>
      <c r="P2070" s="46"/>
      <c r="Q2070" s="46"/>
      <c r="R2070" s="46"/>
      <c r="S2070" s="46"/>
      <c r="T2070" s="46"/>
      <c r="U2070" s="46"/>
      <c r="V2070" s="46"/>
      <c r="W2070" s="46"/>
      <c r="X2070" s="46"/>
      <c r="Y2070" s="46"/>
      <c r="Z2070" s="46"/>
    </row>
    <row r="2071" ht="22.5" customHeight="1">
      <c r="A2071" s="11">
        <v>2069.0</v>
      </c>
      <c r="B2071" s="20">
        <v>39.0</v>
      </c>
      <c r="C2071" s="21" t="s">
        <v>9034</v>
      </c>
      <c r="D2071" s="21" t="s">
        <v>9035</v>
      </c>
      <c r="E2071" s="21" t="s">
        <v>9651</v>
      </c>
      <c r="F2071" s="15"/>
      <c r="G2071" s="15"/>
      <c r="H2071" s="46"/>
      <c r="I2071" s="46"/>
      <c r="J2071" s="46"/>
      <c r="K2071" s="46"/>
      <c r="L2071" s="46"/>
      <c r="M2071" s="46"/>
      <c r="N2071" s="46"/>
      <c r="O2071" s="46"/>
      <c r="P2071" s="46"/>
      <c r="Q2071" s="46"/>
      <c r="R2071" s="46"/>
      <c r="S2071" s="46"/>
      <c r="T2071" s="46"/>
      <c r="U2071" s="46"/>
      <c r="V2071" s="46"/>
      <c r="W2071" s="46"/>
      <c r="X2071" s="46"/>
      <c r="Y2071" s="46"/>
      <c r="Z2071" s="46"/>
    </row>
    <row r="2072" ht="22.5" customHeight="1">
      <c r="A2072" s="17">
        <v>2070.0</v>
      </c>
      <c r="B2072" s="20">
        <v>39.0</v>
      </c>
      <c r="C2072" s="21" t="s">
        <v>9929</v>
      </c>
      <c r="D2072" s="21" t="s">
        <v>9930</v>
      </c>
      <c r="E2072" s="21" t="s">
        <v>9931</v>
      </c>
      <c r="F2072" s="15"/>
      <c r="G2072" s="15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  <c r="S2072" s="46"/>
      <c r="T2072" s="46"/>
      <c r="U2072" s="46"/>
      <c r="V2072" s="46"/>
      <c r="W2072" s="46"/>
      <c r="X2072" s="46"/>
      <c r="Y2072" s="46"/>
      <c r="Z2072" s="46"/>
    </row>
    <row r="2073" ht="22.5" customHeight="1">
      <c r="A2073" s="11">
        <v>2071.0</v>
      </c>
      <c r="B2073" s="20">
        <v>39.0</v>
      </c>
      <c r="C2073" s="21" t="s">
        <v>12807</v>
      </c>
      <c r="D2073" s="21" t="s">
        <v>12808</v>
      </c>
      <c r="E2073" s="21" t="s">
        <v>12809</v>
      </c>
      <c r="F2073" s="14" t="s">
        <v>18</v>
      </c>
      <c r="G2073" s="15"/>
      <c r="H2073" s="46"/>
      <c r="I2073" s="46"/>
      <c r="J2073" s="46"/>
      <c r="K2073" s="46"/>
      <c r="L2073" s="46"/>
      <c r="M2073" s="46"/>
      <c r="N2073" s="46"/>
      <c r="O2073" s="46"/>
      <c r="P2073" s="46"/>
      <c r="Q2073" s="46"/>
      <c r="R2073" s="46"/>
      <c r="S2073" s="46"/>
      <c r="T2073" s="46"/>
      <c r="U2073" s="46"/>
      <c r="V2073" s="46"/>
      <c r="W2073" s="46"/>
      <c r="X2073" s="46"/>
      <c r="Y2073" s="46"/>
      <c r="Z2073" s="46"/>
    </row>
    <row r="2074" ht="22.5" customHeight="1">
      <c r="A2074" s="17">
        <v>2072.0</v>
      </c>
      <c r="B2074" s="20">
        <v>39.0</v>
      </c>
      <c r="C2074" s="21" t="s">
        <v>10740</v>
      </c>
      <c r="D2074" s="21" t="s">
        <v>10741</v>
      </c>
      <c r="E2074" s="21" t="s">
        <v>10742</v>
      </c>
      <c r="F2074" s="15"/>
      <c r="G2074" s="15"/>
      <c r="H2074" s="46"/>
      <c r="I2074" s="46"/>
      <c r="J2074" s="46"/>
      <c r="K2074" s="46"/>
      <c r="L2074" s="46"/>
      <c r="M2074" s="46"/>
      <c r="N2074" s="46"/>
      <c r="O2074" s="46"/>
      <c r="P2074" s="46"/>
      <c r="Q2074" s="46"/>
      <c r="R2074" s="46"/>
      <c r="S2074" s="46"/>
      <c r="T2074" s="46"/>
      <c r="U2074" s="46"/>
      <c r="V2074" s="46"/>
      <c r="W2074" s="46"/>
      <c r="X2074" s="46"/>
      <c r="Y2074" s="46"/>
      <c r="Z2074" s="46"/>
    </row>
    <row r="2075" ht="22.5" customHeight="1">
      <c r="A2075" s="11">
        <v>2073.0</v>
      </c>
      <c r="B2075" s="20">
        <v>39.0</v>
      </c>
      <c r="C2075" s="21" t="s">
        <v>12331</v>
      </c>
      <c r="D2075" s="21" t="s">
        <v>12332</v>
      </c>
      <c r="E2075" s="21" t="s">
        <v>12333</v>
      </c>
      <c r="F2075" s="15"/>
      <c r="G2075" s="15"/>
      <c r="H2075" s="46"/>
      <c r="I2075" s="46"/>
      <c r="J2075" s="46"/>
      <c r="K2075" s="46"/>
      <c r="L2075" s="46"/>
      <c r="M2075" s="46"/>
      <c r="N2075" s="46"/>
      <c r="O2075" s="46"/>
      <c r="P2075" s="46"/>
      <c r="Q2075" s="46"/>
      <c r="R2075" s="46"/>
      <c r="S2075" s="46"/>
      <c r="T2075" s="46"/>
      <c r="U2075" s="46"/>
      <c r="V2075" s="46"/>
      <c r="W2075" s="46"/>
      <c r="X2075" s="46"/>
      <c r="Y2075" s="46"/>
      <c r="Z2075" s="46"/>
    </row>
    <row r="2076" ht="22.5" customHeight="1">
      <c r="A2076" s="17">
        <v>2074.0</v>
      </c>
      <c r="B2076" s="20">
        <v>39.0</v>
      </c>
      <c r="C2076" s="21" t="s">
        <v>12810</v>
      </c>
      <c r="D2076" s="21" t="s">
        <v>12811</v>
      </c>
      <c r="E2076" s="21" t="s">
        <v>12812</v>
      </c>
      <c r="F2076" s="14" t="s">
        <v>18</v>
      </c>
      <c r="G2076" s="15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  <c r="S2076" s="46"/>
      <c r="T2076" s="46"/>
      <c r="U2076" s="46"/>
      <c r="V2076" s="46"/>
      <c r="W2076" s="46"/>
      <c r="X2076" s="46"/>
      <c r="Y2076" s="46"/>
      <c r="Z2076" s="46"/>
    </row>
    <row r="2077" ht="22.5" customHeight="1">
      <c r="A2077" s="11">
        <v>2075.0</v>
      </c>
      <c r="B2077" s="20">
        <v>39.0</v>
      </c>
      <c r="C2077" s="21" t="s">
        <v>12813</v>
      </c>
      <c r="D2077" s="21" t="s">
        <v>12814</v>
      </c>
      <c r="E2077" s="21" t="s">
        <v>12815</v>
      </c>
      <c r="F2077" s="14" t="s">
        <v>18</v>
      </c>
      <c r="G2077" s="15"/>
      <c r="H2077" s="46"/>
      <c r="I2077" s="46"/>
      <c r="J2077" s="46"/>
      <c r="K2077" s="46"/>
      <c r="L2077" s="46"/>
      <c r="M2077" s="46"/>
      <c r="N2077" s="46"/>
      <c r="O2077" s="46"/>
      <c r="P2077" s="46"/>
      <c r="Q2077" s="46"/>
      <c r="R2077" s="46"/>
      <c r="S2077" s="46"/>
      <c r="T2077" s="46"/>
      <c r="U2077" s="46"/>
      <c r="V2077" s="46"/>
      <c r="W2077" s="46"/>
      <c r="X2077" s="46"/>
      <c r="Y2077" s="46"/>
      <c r="Z2077" s="46"/>
    </row>
    <row r="2078" ht="22.5" customHeight="1">
      <c r="A2078" s="17">
        <v>2076.0</v>
      </c>
      <c r="B2078" s="20">
        <v>39.0</v>
      </c>
      <c r="C2078" s="21" t="s">
        <v>12816</v>
      </c>
      <c r="D2078" s="21" t="s">
        <v>12817</v>
      </c>
      <c r="E2078" s="21" t="s">
        <v>12818</v>
      </c>
      <c r="F2078" s="15"/>
      <c r="G2078" s="15"/>
      <c r="H2078" s="46"/>
      <c r="I2078" s="46"/>
      <c r="J2078" s="46"/>
      <c r="K2078" s="46"/>
      <c r="L2078" s="46"/>
      <c r="M2078" s="46"/>
      <c r="N2078" s="46"/>
      <c r="O2078" s="46"/>
      <c r="P2078" s="46"/>
      <c r="Q2078" s="46"/>
      <c r="R2078" s="46"/>
      <c r="S2078" s="46"/>
      <c r="T2078" s="46"/>
      <c r="U2078" s="46"/>
      <c r="V2078" s="46"/>
      <c r="W2078" s="46"/>
      <c r="X2078" s="46"/>
      <c r="Y2078" s="46"/>
      <c r="Z2078" s="46"/>
    </row>
    <row r="2079" ht="22.5" customHeight="1">
      <c r="A2079" s="11">
        <v>2077.0</v>
      </c>
      <c r="B2079" s="20">
        <v>39.0</v>
      </c>
      <c r="C2079" s="21" t="s">
        <v>12819</v>
      </c>
      <c r="D2079" s="21" t="s">
        <v>12820</v>
      </c>
      <c r="E2079" s="21" t="s">
        <v>12821</v>
      </c>
      <c r="F2079" s="14" t="s">
        <v>18</v>
      </c>
      <c r="G2079" s="15"/>
      <c r="H2079" s="46"/>
      <c r="I2079" s="46"/>
      <c r="J2079" s="46"/>
      <c r="K2079" s="46"/>
      <c r="L2079" s="46"/>
      <c r="M2079" s="46"/>
      <c r="N2079" s="46"/>
      <c r="O2079" s="46"/>
      <c r="P2079" s="46"/>
      <c r="Q2079" s="46"/>
      <c r="R2079" s="46"/>
      <c r="S2079" s="46"/>
      <c r="T2079" s="46"/>
      <c r="U2079" s="46"/>
      <c r="V2079" s="46"/>
      <c r="W2079" s="46"/>
      <c r="X2079" s="46"/>
      <c r="Y2079" s="46"/>
      <c r="Z2079" s="46"/>
    </row>
    <row r="2080" ht="22.5" customHeight="1">
      <c r="A2080" s="17">
        <v>2078.0</v>
      </c>
      <c r="B2080" s="20">
        <v>39.0</v>
      </c>
      <c r="C2080" s="21" t="s">
        <v>9862</v>
      </c>
      <c r="D2080" s="21" t="s">
        <v>9863</v>
      </c>
      <c r="E2080" s="21" t="s">
        <v>9864</v>
      </c>
      <c r="F2080" s="15"/>
      <c r="G2080" s="15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  <c r="S2080" s="46"/>
      <c r="T2080" s="46"/>
      <c r="U2080" s="46"/>
      <c r="V2080" s="46"/>
      <c r="W2080" s="46"/>
      <c r="X2080" s="46"/>
      <c r="Y2080" s="46"/>
      <c r="Z2080" s="46"/>
    </row>
    <row r="2081" ht="22.5" customHeight="1">
      <c r="A2081" s="11">
        <v>2079.0</v>
      </c>
      <c r="B2081" s="20">
        <v>39.0</v>
      </c>
      <c r="C2081" s="21" t="s">
        <v>12822</v>
      </c>
      <c r="D2081" s="21" t="s">
        <v>12823</v>
      </c>
      <c r="E2081" s="21" t="s">
        <v>12824</v>
      </c>
      <c r="F2081" s="14" t="s">
        <v>18</v>
      </c>
      <c r="G2081" s="15"/>
      <c r="H2081" s="46"/>
      <c r="I2081" s="46"/>
      <c r="J2081" s="46"/>
      <c r="K2081" s="46"/>
      <c r="L2081" s="46"/>
      <c r="M2081" s="46"/>
      <c r="N2081" s="46"/>
      <c r="O2081" s="46"/>
      <c r="P2081" s="46"/>
      <c r="Q2081" s="46"/>
      <c r="R2081" s="46"/>
      <c r="S2081" s="46"/>
      <c r="T2081" s="46"/>
      <c r="U2081" s="46"/>
      <c r="V2081" s="46"/>
      <c r="W2081" s="46"/>
      <c r="X2081" s="46"/>
      <c r="Y2081" s="46"/>
      <c r="Z2081" s="46"/>
    </row>
    <row r="2082" ht="22.5" customHeight="1">
      <c r="A2082" s="17">
        <v>2080.0</v>
      </c>
      <c r="B2082" s="20">
        <v>39.0</v>
      </c>
      <c r="C2082" s="21" t="s">
        <v>12825</v>
      </c>
      <c r="D2082" s="21" t="s">
        <v>12826</v>
      </c>
      <c r="E2082" s="21" t="s">
        <v>12827</v>
      </c>
      <c r="F2082" s="14" t="s">
        <v>18</v>
      </c>
      <c r="G2082" s="15"/>
      <c r="H2082" s="46"/>
      <c r="I2082" s="46"/>
      <c r="J2082" s="46"/>
      <c r="K2082" s="46"/>
      <c r="L2082" s="46"/>
      <c r="M2082" s="46"/>
      <c r="N2082" s="46"/>
      <c r="O2082" s="46"/>
      <c r="P2082" s="46"/>
      <c r="Q2082" s="46"/>
      <c r="R2082" s="46"/>
      <c r="S2082" s="46"/>
      <c r="T2082" s="46"/>
      <c r="U2082" s="46"/>
      <c r="V2082" s="46"/>
      <c r="W2082" s="46"/>
      <c r="X2082" s="46"/>
      <c r="Y2082" s="46"/>
      <c r="Z2082" s="46"/>
    </row>
    <row r="2083" ht="22.5" customHeight="1">
      <c r="A2083" s="11">
        <v>2081.0</v>
      </c>
      <c r="B2083" s="20">
        <v>39.0</v>
      </c>
      <c r="C2083" s="21" t="s">
        <v>4636</v>
      </c>
      <c r="D2083" s="21" t="s">
        <v>5312</v>
      </c>
      <c r="E2083" s="21" t="s">
        <v>12828</v>
      </c>
      <c r="F2083" s="14" t="s">
        <v>18</v>
      </c>
      <c r="G2083" s="15"/>
      <c r="H2083" s="46"/>
      <c r="I2083" s="46"/>
      <c r="J2083" s="46"/>
      <c r="K2083" s="46"/>
      <c r="L2083" s="46"/>
      <c r="M2083" s="46"/>
      <c r="N2083" s="46"/>
      <c r="O2083" s="46"/>
      <c r="P2083" s="46"/>
      <c r="Q2083" s="46"/>
      <c r="R2083" s="46"/>
      <c r="S2083" s="46"/>
      <c r="T2083" s="46"/>
      <c r="U2083" s="46"/>
      <c r="V2083" s="46"/>
      <c r="W2083" s="46"/>
      <c r="X2083" s="46"/>
      <c r="Y2083" s="46"/>
      <c r="Z2083" s="46"/>
    </row>
    <row r="2084" ht="22.5" customHeight="1">
      <c r="A2084" s="17">
        <v>2082.0</v>
      </c>
      <c r="B2084" s="20">
        <v>39.0</v>
      </c>
      <c r="C2084" s="21" t="s">
        <v>5556</v>
      </c>
      <c r="D2084" s="21" t="s">
        <v>5555</v>
      </c>
      <c r="E2084" s="21" t="s">
        <v>9321</v>
      </c>
      <c r="F2084" s="15"/>
      <c r="G2084" s="15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  <c r="S2084" s="46"/>
      <c r="T2084" s="46"/>
      <c r="U2084" s="46"/>
      <c r="V2084" s="46"/>
      <c r="W2084" s="46"/>
      <c r="X2084" s="46"/>
      <c r="Y2084" s="46"/>
      <c r="Z2084" s="46"/>
    </row>
    <row r="2085" ht="22.5" customHeight="1">
      <c r="A2085" s="11">
        <v>2083.0</v>
      </c>
      <c r="B2085" s="20">
        <v>39.0</v>
      </c>
      <c r="C2085" s="21" t="s">
        <v>9611</v>
      </c>
      <c r="D2085" s="21" t="s">
        <v>9612</v>
      </c>
      <c r="E2085" s="21" t="s">
        <v>12829</v>
      </c>
      <c r="F2085" s="15"/>
      <c r="G2085" s="15"/>
      <c r="H2085" s="46"/>
      <c r="I2085" s="46"/>
      <c r="J2085" s="46"/>
      <c r="K2085" s="46"/>
      <c r="L2085" s="46"/>
      <c r="M2085" s="46"/>
      <c r="N2085" s="46"/>
      <c r="O2085" s="46"/>
      <c r="P2085" s="46"/>
      <c r="Q2085" s="46"/>
      <c r="R2085" s="46"/>
      <c r="S2085" s="46"/>
      <c r="T2085" s="46"/>
      <c r="U2085" s="46"/>
      <c r="V2085" s="46"/>
      <c r="W2085" s="46"/>
      <c r="X2085" s="46"/>
      <c r="Y2085" s="46"/>
      <c r="Z2085" s="46"/>
    </row>
    <row r="2086" ht="22.5" customHeight="1">
      <c r="A2086" s="17">
        <v>2084.0</v>
      </c>
      <c r="B2086" s="20">
        <v>39.0</v>
      </c>
      <c r="C2086" s="21" t="s">
        <v>5459</v>
      </c>
      <c r="D2086" s="21" t="s">
        <v>5458</v>
      </c>
      <c r="E2086" s="21" t="s">
        <v>12830</v>
      </c>
      <c r="F2086" s="15"/>
      <c r="G2086" s="15"/>
      <c r="H2086" s="46"/>
      <c r="I2086" s="46"/>
      <c r="J2086" s="46"/>
      <c r="K2086" s="46"/>
      <c r="L2086" s="46"/>
      <c r="M2086" s="46"/>
      <c r="N2086" s="46"/>
      <c r="O2086" s="46"/>
      <c r="P2086" s="46"/>
      <c r="Q2086" s="46"/>
      <c r="R2086" s="46"/>
      <c r="S2086" s="46"/>
      <c r="T2086" s="46"/>
      <c r="U2086" s="46"/>
      <c r="V2086" s="46"/>
      <c r="W2086" s="46"/>
      <c r="X2086" s="46"/>
      <c r="Y2086" s="46"/>
      <c r="Z2086" s="46"/>
    </row>
    <row r="2087" ht="22.5" customHeight="1">
      <c r="A2087" s="11">
        <v>2085.0</v>
      </c>
      <c r="B2087" s="20">
        <v>39.0</v>
      </c>
      <c r="C2087" s="21" t="s">
        <v>12831</v>
      </c>
      <c r="D2087" s="21" t="s">
        <v>12832</v>
      </c>
      <c r="E2087" s="21" t="s">
        <v>12833</v>
      </c>
      <c r="F2087" s="14" t="s">
        <v>18</v>
      </c>
      <c r="G2087" s="15"/>
      <c r="H2087" s="46"/>
      <c r="I2087" s="46"/>
      <c r="J2087" s="46"/>
      <c r="K2087" s="46"/>
      <c r="L2087" s="46"/>
      <c r="M2087" s="46"/>
      <c r="N2087" s="46"/>
      <c r="O2087" s="46"/>
      <c r="P2087" s="46"/>
      <c r="Q2087" s="46"/>
      <c r="R2087" s="46"/>
      <c r="S2087" s="46"/>
      <c r="T2087" s="46"/>
      <c r="U2087" s="46"/>
      <c r="V2087" s="46"/>
      <c r="W2087" s="46"/>
      <c r="X2087" s="46"/>
      <c r="Y2087" s="46"/>
      <c r="Z2087" s="46"/>
    </row>
    <row r="2088" ht="22.5" customHeight="1">
      <c r="A2088" s="17">
        <v>2086.0</v>
      </c>
      <c r="B2088" s="20">
        <v>39.0</v>
      </c>
      <c r="C2088" s="21" t="s">
        <v>8708</v>
      </c>
      <c r="D2088" s="21" t="s">
        <v>8709</v>
      </c>
      <c r="E2088" s="21" t="s">
        <v>12834</v>
      </c>
      <c r="F2088" s="15"/>
      <c r="G2088" s="15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  <c r="S2088" s="46"/>
      <c r="T2088" s="46"/>
      <c r="U2088" s="46"/>
      <c r="V2088" s="46"/>
      <c r="W2088" s="46"/>
      <c r="X2088" s="46"/>
      <c r="Y2088" s="46"/>
      <c r="Z2088" s="46"/>
    </row>
    <row r="2089" ht="22.5" customHeight="1">
      <c r="A2089" s="11">
        <v>2087.0</v>
      </c>
      <c r="B2089" s="20">
        <v>39.0</v>
      </c>
      <c r="C2089" s="21" t="s">
        <v>11988</v>
      </c>
      <c r="D2089" s="21" t="s">
        <v>11989</v>
      </c>
      <c r="E2089" s="21" t="s">
        <v>11990</v>
      </c>
      <c r="F2089" s="15"/>
      <c r="G2089" s="15"/>
      <c r="H2089" s="46"/>
      <c r="I2089" s="46"/>
      <c r="J2089" s="46"/>
      <c r="K2089" s="46"/>
      <c r="L2089" s="46"/>
      <c r="M2089" s="46"/>
      <c r="N2089" s="46"/>
      <c r="O2089" s="46"/>
      <c r="P2089" s="46"/>
      <c r="Q2089" s="46"/>
      <c r="R2089" s="46"/>
      <c r="S2089" s="46"/>
      <c r="T2089" s="46"/>
      <c r="U2089" s="46"/>
      <c r="V2089" s="46"/>
      <c r="W2089" s="46"/>
      <c r="X2089" s="46"/>
      <c r="Y2089" s="46"/>
      <c r="Z2089" s="46"/>
    </row>
    <row r="2090" ht="22.5" customHeight="1">
      <c r="A2090" s="17">
        <v>2088.0</v>
      </c>
      <c r="B2090" s="20">
        <v>39.0</v>
      </c>
      <c r="C2090" s="21" t="s">
        <v>9565</v>
      </c>
      <c r="D2090" s="21" t="s">
        <v>9566</v>
      </c>
      <c r="E2090" s="21" t="s">
        <v>12115</v>
      </c>
      <c r="F2090" s="15"/>
      <c r="G2090" s="15"/>
      <c r="H2090" s="46"/>
      <c r="I2090" s="46"/>
      <c r="J2090" s="46"/>
      <c r="K2090" s="46"/>
      <c r="L2090" s="46"/>
      <c r="M2090" s="46"/>
      <c r="N2090" s="46"/>
      <c r="O2090" s="46"/>
      <c r="P2090" s="46"/>
      <c r="Q2090" s="46"/>
      <c r="R2090" s="46"/>
      <c r="S2090" s="46"/>
      <c r="T2090" s="46"/>
      <c r="U2090" s="46"/>
      <c r="V2090" s="46"/>
      <c r="W2090" s="46"/>
      <c r="X2090" s="46"/>
      <c r="Y2090" s="46"/>
      <c r="Z2090" s="46"/>
    </row>
    <row r="2091" ht="22.5" customHeight="1">
      <c r="A2091" s="11">
        <v>2089.0</v>
      </c>
      <c r="B2091" s="20">
        <v>39.0</v>
      </c>
      <c r="C2091" s="21" t="s">
        <v>12835</v>
      </c>
      <c r="D2091" s="21" t="s">
        <v>12836</v>
      </c>
      <c r="E2091" s="21" t="s">
        <v>12837</v>
      </c>
      <c r="F2091" s="15"/>
      <c r="G2091" s="15"/>
      <c r="H2091" s="46"/>
      <c r="I2091" s="46"/>
      <c r="J2091" s="46"/>
      <c r="K2091" s="46"/>
      <c r="L2091" s="46"/>
      <c r="M2091" s="46"/>
      <c r="N2091" s="46"/>
      <c r="O2091" s="46"/>
      <c r="P2091" s="46"/>
      <c r="Q2091" s="46"/>
      <c r="R2091" s="46"/>
      <c r="S2091" s="46"/>
      <c r="T2091" s="46"/>
      <c r="U2091" s="46"/>
      <c r="V2091" s="46"/>
      <c r="W2091" s="46"/>
      <c r="X2091" s="46"/>
      <c r="Y2091" s="46"/>
      <c r="Z2091" s="46"/>
    </row>
    <row r="2092" ht="22.5" customHeight="1">
      <c r="A2092" s="17">
        <v>2090.0</v>
      </c>
      <c r="B2092" s="20">
        <v>39.0</v>
      </c>
      <c r="C2092" s="21" t="s">
        <v>9005</v>
      </c>
      <c r="D2092" s="21" t="s">
        <v>3003</v>
      </c>
      <c r="E2092" s="21" t="s">
        <v>3846</v>
      </c>
      <c r="F2092" s="15"/>
      <c r="G2092" s="15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  <c r="S2092" s="46"/>
      <c r="T2092" s="46"/>
      <c r="U2092" s="46"/>
      <c r="V2092" s="46"/>
      <c r="W2092" s="46"/>
      <c r="X2092" s="46"/>
      <c r="Y2092" s="46"/>
      <c r="Z2092" s="46"/>
    </row>
    <row r="2093" ht="22.5" customHeight="1">
      <c r="A2093" s="11">
        <v>2091.0</v>
      </c>
      <c r="B2093" s="20">
        <v>39.0</v>
      </c>
      <c r="C2093" s="21" t="s">
        <v>12838</v>
      </c>
      <c r="D2093" s="21" t="s">
        <v>12839</v>
      </c>
      <c r="E2093" s="21" t="s">
        <v>12840</v>
      </c>
      <c r="F2093" s="14" t="s">
        <v>18</v>
      </c>
      <c r="G2093" s="15"/>
      <c r="H2093" s="46"/>
      <c r="I2093" s="46"/>
      <c r="J2093" s="46"/>
      <c r="K2093" s="46"/>
      <c r="L2093" s="46"/>
      <c r="M2093" s="46"/>
      <c r="N2093" s="46"/>
      <c r="O2093" s="46"/>
      <c r="P2093" s="46"/>
      <c r="Q2093" s="46"/>
      <c r="R2093" s="46"/>
      <c r="S2093" s="46"/>
      <c r="T2093" s="46"/>
      <c r="U2093" s="46"/>
      <c r="V2093" s="46"/>
      <c r="W2093" s="46"/>
      <c r="X2093" s="46"/>
      <c r="Y2093" s="46"/>
      <c r="Z2093" s="46"/>
    </row>
    <row r="2094" ht="22.5" customHeight="1">
      <c r="A2094" s="17">
        <v>2092.0</v>
      </c>
      <c r="B2094" s="20">
        <v>39.0</v>
      </c>
      <c r="C2094" s="21" t="s">
        <v>9947</v>
      </c>
      <c r="D2094" s="21" t="s">
        <v>9948</v>
      </c>
      <c r="E2094" s="21" t="s">
        <v>9949</v>
      </c>
      <c r="F2094" s="15"/>
      <c r="G2094" s="15"/>
      <c r="H2094" s="46"/>
      <c r="I2094" s="46"/>
      <c r="J2094" s="46"/>
      <c r="K2094" s="46"/>
      <c r="L2094" s="46"/>
      <c r="M2094" s="46"/>
      <c r="N2094" s="46"/>
      <c r="O2094" s="46"/>
      <c r="P2094" s="46"/>
      <c r="Q2094" s="46"/>
      <c r="R2094" s="46"/>
      <c r="S2094" s="46"/>
      <c r="T2094" s="46"/>
      <c r="U2094" s="46"/>
      <c r="V2094" s="46"/>
      <c r="W2094" s="46"/>
      <c r="X2094" s="46"/>
      <c r="Y2094" s="46"/>
      <c r="Z2094" s="46"/>
    </row>
    <row r="2095" ht="22.5" customHeight="1">
      <c r="A2095" s="11">
        <v>2093.0</v>
      </c>
      <c r="B2095" s="20">
        <v>39.0</v>
      </c>
      <c r="C2095" s="21" t="s">
        <v>12841</v>
      </c>
      <c r="D2095" s="21" t="s">
        <v>12842</v>
      </c>
      <c r="E2095" s="21" t="s">
        <v>12843</v>
      </c>
      <c r="F2095" s="15"/>
      <c r="G2095" s="15"/>
      <c r="H2095" s="46"/>
      <c r="I2095" s="46"/>
      <c r="J2095" s="46"/>
      <c r="K2095" s="46"/>
      <c r="L2095" s="46"/>
      <c r="M2095" s="46"/>
      <c r="N2095" s="46"/>
      <c r="O2095" s="46"/>
      <c r="P2095" s="46"/>
      <c r="Q2095" s="46"/>
      <c r="R2095" s="46"/>
      <c r="S2095" s="46"/>
      <c r="T2095" s="46"/>
      <c r="U2095" s="46"/>
      <c r="V2095" s="46"/>
      <c r="W2095" s="46"/>
      <c r="X2095" s="46"/>
      <c r="Y2095" s="46"/>
      <c r="Z2095" s="46"/>
    </row>
    <row r="2096" ht="22.5" customHeight="1">
      <c r="A2096" s="17">
        <v>2094.0</v>
      </c>
      <c r="B2096" s="20">
        <v>39.0</v>
      </c>
      <c r="C2096" s="21" t="s">
        <v>9343</v>
      </c>
      <c r="D2096" s="21" t="s">
        <v>9344</v>
      </c>
      <c r="E2096" s="21" t="s">
        <v>12844</v>
      </c>
      <c r="F2096" s="15"/>
      <c r="G2096" s="15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  <c r="S2096" s="46"/>
      <c r="T2096" s="46"/>
      <c r="U2096" s="46"/>
      <c r="V2096" s="46"/>
      <c r="W2096" s="46"/>
      <c r="X2096" s="46"/>
      <c r="Y2096" s="46"/>
      <c r="Z2096" s="46"/>
    </row>
    <row r="2097" ht="22.5" customHeight="1">
      <c r="A2097" s="11">
        <v>2095.0</v>
      </c>
      <c r="B2097" s="20">
        <v>39.0</v>
      </c>
      <c r="C2097" s="21" t="s">
        <v>9698</v>
      </c>
      <c r="D2097" s="21" t="s">
        <v>9699</v>
      </c>
      <c r="E2097" s="21" t="s">
        <v>9700</v>
      </c>
      <c r="F2097" s="15"/>
      <c r="G2097" s="15"/>
      <c r="H2097" s="46"/>
      <c r="I2097" s="46"/>
      <c r="J2097" s="46"/>
      <c r="K2097" s="46"/>
      <c r="L2097" s="46"/>
      <c r="M2097" s="46"/>
      <c r="N2097" s="46"/>
      <c r="O2097" s="46"/>
      <c r="P2097" s="46"/>
      <c r="Q2097" s="46"/>
      <c r="R2097" s="46"/>
      <c r="S2097" s="46"/>
      <c r="T2097" s="46"/>
      <c r="U2097" s="46"/>
      <c r="V2097" s="46"/>
      <c r="W2097" s="46"/>
      <c r="X2097" s="46"/>
      <c r="Y2097" s="46"/>
      <c r="Z2097" s="46"/>
    </row>
    <row r="2098" ht="22.5" customHeight="1">
      <c r="A2098" s="17">
        <v>2096.0</v>
      </c>
      <c r="B2098" s="20">
        <v>39.0</v>
      </c>
      <c r="C2098" s="21" t="s">
        <v>11924</v>
      </c>
      <c r="D2098" s="21" t="s">
        <v>11925</v>
      </c>
      <c r="E2098" s="21" t="s">
        <v>11926</v>
      </c>
      <c r="F2098" s="15"/>
      <c r="G2098" s="15"/>
      <c r="H2098" s="46"/>
      <c r="I2098" s="46"/>
      <c r="J2098" s="46"/>
      <c r="K2098" s="46"/>
      <c r="L2098" s="46"/>
      <c r="M2098" s="46"/>
      <c r="N2098" s="46"/>
      <c r="O2098" s="46"/>
      <c r="P2098" s="46"/>
      <c r="Q2098" s="46"/>
      <c r="R2098" s="46"/>
      <c r="S2098" s="46"/>
      <c r="T2098" s="46"/>
      <c r="U2098" s="46"/>
      <c r="V2098" s="46"/>
      <c r="W2098" s="46"/>
      <c r="X2098" s="46"/>
      <c r="Y2098" s="46"/>
      <c r="Z2098" s="46"/>
    </row>
    <row r="2099" ht="22.5" customHeight="1">
      <c r="A2099" s="11">
        <v>2097.0</v>
      </c>
      <c r="B2099" s="20">
        <v>39.0</v>
      </c>
      <c r="C2099" s="21" t="s">
        <v>12845</v>
      </c>
      <c r="D2099" s="21" t="s">
        <v>12846</v>
      </c>
      <c r="E2099" s="21" t="s">
        <v>12847</v>
      </c>
      <c r="F2099" s="15"/>
      <c r="G2099" s="15"/>
      <c r="H2099" s="46"/>
      <c r="I2099" s="46"/>
      <c r="J2099" s="46"/>
      <c r="K2099" s="46"/>
      <c r="L2099" s="46"/>
      <c r="M2099" s="46"/>
      <c r="N2099" s="46"/>
      <c r="O2099" s="46"/>
      <c r="P2099" s="46"/>
      <c r="Q2099" s="46"/>
      <c r="R2099" s="46"/>
      <c r="S2099" s="46"/>
      <c r="T2099" s="46"/>
      <c r="U2099" s="46"/>
      <c r="V2099" s="46"/>
      <c r="W2099" s="46"/>
      <c r="X2099" s="46"/>
      <c r="Y2099" s="46"/>
      <c r="Z2099" s="46"/>
    </row>
    <row r="2100" ht="22.5" customHeight="1">
      <c r="A2100" s="17">
        <v>2098.0</v>
      </c>
      <c r="B2100" s="20">
        <v>39.0</v>
      </c>
      <c r="C2100" s="21" t="s">
        <v>10618</v>
      </c>
      <c r="D2100" s="21" t="s">
        <v>10619</v>
      </c>
      <c r="E2100" s="21" t="s">
        <v>10620</v>
      </c>
      <c r="F2100" s="15"/>
      <c r="G2100" s="15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  <c r="S2100" s="46"/>
      <c r="T2100" s="46"/>
      <c r="U2100" s="46"/>
      <c r="V2100" s="46"/>
      <c r="W2100" s="46"/>
      <c r="X2100" s="46"/>
      <c r="Y2100" s="46"/>
      <c r="Z2100" s="46"/>
    </row>
    <row r="2101" ht="22.5" customHeight="1">
      <c r="A2101" s="11">
        <v>2099.0</v>
      </c>
      <c r="B2101" s="20">
        <v>39.0</v>
      </c>
      <c r="C2101" s="21" t="s">
        <v>12835</v>
      </c>
      <c r="D2101" s="21" t="s">
        <v>12836</v>
      </c>
      <c r="E2101" s="21" t="s">
        <v>12837</v>
      </c>
      <c r="F2101" s="15"/>
      <c r="G2101" s="15"/>
      <c r="H2101" s="46"/>
      <c r="I2101" s="46"/>
      <c r="J2101" s="46"/>
      <c r="K2101" s="46"/>
      <c r="L2101" s="46"/>
      <c r="M2101" s="46"/>
      <c r="N2101" s="46"/>
      <c r="O2101" s="46"/>
      <c r="P2101" s="46"/>
      <c r="Q2101" s="46"/>
      <c r="R2101" s="46"/>
      <c r="S2101" s="46"/>
      <c r="T2101" s="46"/>
      <c r="U2101" s="46"/>
      <c r="V2101" s="46"/>
      <c r="W2101" s="46"/>
      <c r="X2101" s="46"/>
      <c r="Y2101" s="46"/>
      <c r="Z2101" s="46"/>
    </row>
    <row r="2102" ht="22.5" customHeight="1">
      <c r="A2102" s="17">
        <v>2100.0</v>
      </c>
      <c r="B2102" s="20">
        <v>39.0</v>
      </c>
      <c r="C2102" s="21" t="s">
        <v>9005</v>
      </c>
      <c r="D2102" s="21" t="s">
        <v>3003</v>
      </c>
      <c r="E2102" s="21" t="s">
        <v>3846</v>
      </c>
      <c r="F2102" s="15"/>
      <c r="G2102" s="15"/>
      <c r="H2102" s="46"/>
      <c r="I2102" s="46"/>
      <c r="J2102" s="46"/>
      <c r="K2102" s="46"/>
      <c r="L2102" s="46"/>
      <c r="M2102" s="46"/>
      <c r="N2102" s="46"/>
      <c r="O2102" s="46"/>
      <c r="P2102" s="46"/>
      <c r="Q2102" s="46"/>
      <c r="R2102" s="46"/>
      <c r="S2102" s="46"/>
      <c r="T2102" s="46"/>
      <c r="U2102" s="46"/>
      <c r="V2102" s="46"/>
      <c r="W2102" s="46"/>
      <c r="X2102" s="46"/>
      <c r="Y2102" s="46"/>
      <c r="Z2102" s="46"/>
    </row>
    <row r="2103" ht="22.5" customHeight="1">
      <c r="A2103" s="11">
        <v>2101.0</v>
      </c>
      <c r="B2103" s="20">
        <v>39.0</v>
      </c>
      <c r="C2103" s="21" t="s">
        <v>12838</v>
      </c>
      <c r="D2103" s="21" t="s">
        <v>12839</v>
      </c>
      <c r="E2103" s="21" t="s">
        <v>12840</v>
      </c>
      <c r="F2103" s="15"/>
      <c r="G2103" s="15"/>
      <c r="H2103" s="46"/>
      <c r="I2103" s="46"/>
      <c r="J2103" s="46"/>
      <c r="K2103" s="46"/>
      <c r="L2103" s="46"/>
      <c r="M2103" s="46"/>
      <c r="N2103" s="46"/>
      <c r="O2103" s="46"/>
      <c r="P2103" s="46"/>
      <c r="Q2103" s="46"/>
      <c r="R2103" s="46"/>
      <c r="S2103" s="46"/>
      <c r="T2103" s="46"/>
      <c r="U2103" s="46"/>
      <c r="V2103" s="46"/>
      <c r="W2103" s="46"/>
      <c r="X2103" s="46"/>
      <c r="Y2103" s="46"/>
      <c r="Z2103" s="46"/>
    </row>
    <row r="2104" ht="22.5" customHeight="1">
      <c r="A2104" s="17">
        <v>2102.0</v>
      </c>
      <c r="B2104" s="20">
        <v>39.0</v>
      </c>
      <c r="C2104" s="21" t="s">
        <v>9947</v>
      </c>
      <c r="D2104" s="21" t="s">
        <v>9948</v>
      </c>
      <c r="E2104" s="21" t="s">
        <v>9949</v>
      </c>
      <c r="F2104" s="15"/>
      <c r="G2104" s="15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  <c r="S2104" s="46"/>
      <c r="T2104" s="46"/>
      <c r="U2104" s="46"/>
      <c r="V2104" s="46"/>
      <c r="W2104" s="46"/>
      <c r="X2104" s="46"/>
      <c r="Y2104" s="46"/>
      <c r="Z2104" s="46"/>
    </row>
    <row r="2105" ht="22.5" customHeight="1">
      <c r="A2105" s="11">
        <v>2103.0</v>
      </c>
      <c r="B2105" s="20">
        <v>39.0</v>
      </c>
      <c r="C2105" s="21" t="s">
        <v>12841</v>
      </c>
      <c r="D2105" s="21" t="s">
        <v>12842</v>
      </c>
      <c r="E2105" s="21" t="s">
        <v>12843</v>
      </c>
      <c r="F2105" s="15"/>
      <c r="G2105" s="15"/>
      <c r="H2105" s="46"/>
      <c r="I2105" s="46"/>
      <c r="J2105" s="46"/>
      <c r="K2105" s="46"/>
      <c r="L2105" s="46"/>
      <c r="M2105" s="46"/>
      <c r="N2105" s="46"/>
      <c r="O2105" s="46"/>
      <c r="P2105" s="46"/>
      <c r="Q2105" s="46"/>
      <c r="R2105" s="46"/>
      <c r="S2105" s="46"/>
      <c r="T2105" s="46"/>
      <c r="U2105" s="46"/>
      <c r="V2105" s="46"/>
      <c r="W2105" s="46"/>
      <c r="X2105" s="46"/>
      <c r="Y2105" s="46"/>
      <c r="Z2105" s="46"/>
    </row>
    <row r="2106" ht="22.5" customHeight="1">
      <c r="A2106" s="17">
        <v>2104.0</v>
      </c>
      <c r="B2106" s="20">
        <v>39.0</v>
      </c>
      <c r="C2106" s="21" t="s">
        <v>9343</v>
      </c>
      <c r="D2106" s="21" t="s">
        <v>9344</v>
      </c>
      <c r="E2106" s="21" t="s">
        <v>12844</v>
      </c>
      <c r="F2106" s="15"/>
      <c r="G2106" s="15"/>
      <c r="H2106" s="46"/>
      <c r="I2106" s="46"/>
      <c r="J2106" s="46"/>
      <c r="K2106" s="46"/>
      <c r="L2106" s="46"/>
      <c r="M2106" s="46"/>
      <c r="N2106" s="46"/>
      <c r="O2106" s="46"/>
      <c r="P2106" s="46"/>
      <c r="Q2106" s="46"/>
      <c r="R2106" s="46"/>
      <c r="S2106" s="46"/>
      <c r="T2106" s="46"/>
      <c r="U2106" s="46"/>
      <c r="V2106" s="46"/>
      <c r="W2106" s="46"/>
      <c r="X2106" s="46"/>
      <c r="Y2106" s="46"/>
      <c r="Z2106" s="46"/>
    </row>
    <row r="2107" ht="22.5" customHeight="1">
      <c r="A2107" s="11">
        <v>2105.0</v>
      </c>
      <c r="B2107" s="20">
        <v>39.0</v>
      </c>
      <c r="C2107" s="21" t="s">
        <v>9698</v>
      </c>
      <c r="D2107" s="21" t="s">
        <v>9699</v>
      </c>
      <c r="E2107" s="21" t="s">
        <v>9700</v>
      </c>
      <c r="F2107" s="15"/>
      <c r="G2107" s="15"/>
      <c r="H2107" s="46"/>
      <c r="I2107" s="46"/>
      <c r="J2107" s="46"/>
      <c r="K2107" s="46"/>
      <c r="L2107" s="46"/>
      <c r="M2107" s="46"/>
      <c r="N2107" s="46"/>
      <c r="O2107" s="46"/>
      <c r="P2107" s="46"/>
      <c r="Q2107" s="46"/>
      <c r="R2107" s="46"/>
      <c r="S2107" s="46"/>
      <c r="T2107" s="46"/>
      <c r="U2107" s="46"/>
      <c r="V2107" s="46"/>
      <c r="W2107" s="46"/>
      <c r="X2107" s="46"/>
      <c r="Y2107" s="46"/>
      <c r="Z2107" s="46"/>
    </row>
    <row r="2108" ht="22.5" customHeight="1">
      <c r="A2108" s="17">
        <v>2106.0</v>
      </c>
      <c r="B2108" s="20">
        <v>39.0</v>
      </c>
      <c r="C2108" s="21" t="s">
        <v>11924</v>
      </c>
      <c r="D2108" s="21" t="s">
        <v>11925</v>
      </c>
      <c r="E2108" s="21" t="s">
        <v>11926</v>
      </c>
      <c r="F2108" s="15"/>
      <c r="G2108" s="15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  <c r="S2108" s="46"/>
      <c r="T2108" s="46"/>
      <c r="U2108" s="46"/>
      <c r="V2108" s="46"/>
      <c r="W2108" s="46"/>
      <c r="X2108" s="46"/>
      <c r="Y2108" s="46"/>
      <c r="Z2108" s="46"/>
    </row>
    <row r="2109" ht="22.5" customHeight="1">
      <c r="A2109" s="11">
        <v>2107.0</v>
      </c>
      <c r="B2109" s="20">
        <v>39.0</v>
      </c>
      <c r="C2109" s="21" t="s">
        <v>12845</v>
      </c>
      <c r="D2109" s="21" t="s">
        <v>12846</v>
      </c>
      <c r="E2109" s="21" t="s">
        <v>12847</v>
      </c>
      <c r="F2109" s="15"/>
      <c r="G2109" s="15"/>
      <c r="H2109" s="46"/>
      <c r="I2109" s="46"/>
      <c r="J2109" s="46"/>
      <c r="K2109" s="46"/>
      <c r="L2109" s="46"/>
      <c r="M2109" s="46"/>
      <c r="N2109" s="46"/>
      <c r="O2109" s="46"/>
      <c r="P2109" s="46"/>
      <c r="Q2109" s="46"/>
      <c r="R2109" s="46"/>
      <c r="S2109" s="46"/>
      <c r="T2109" s="46"/>
      <c r="U2109" s="46"/>
      <c r="V2109" s="46"/>
      <c r="W2109" s="46"/>
      <c r="X2109" s="46"/>
      <c r="Y2109" s="46"/>
      <c r="Z2109" s="46"/>
    </row>
    <row r="2110" ht="22.5" customHeight="1">
      <c r="A2110" s="17">
        <v>2108.0</v>
      </c>
      <c r="B2110" s="20">
        <v>39.0</v>
      </c>
      <c r="C2110" s="21" t="s">
        <v>10618</v>
      </c>
      <c r="D2110" s="21" t="s">
        <v>10619</v>
      </c>
      <c r="E2110" s="21" t="s">
        <v>10620</v>
      </c>
      <c r="F2110" s="15"/>
      <c r="G2110" s="15"/>
      <c r="H2110" s="46"/>
      <c r="I2110" s="46"/>
      <c r="J2110" s="46"/>
      <c r="K2110" s="46"/>
      <c r="L2110" s="46"/>
      <c r="M2110" s="46"/>
      <c r="N2110" s="46"/>
      <c r="O2110" s="46"/>
      <c r="P2110" s="46"/>
      <c r="Q2110" s="46"/>
      <c r="R2110" s="46"/>
      <c r="S2110" s="46"/>
      <c r="T2110" s="46"/>
      <c r="U2110" s="46"/>
      <c r="V2110" s="46"/>
      <c r="W2110" s="46"/>
      <c r="X2110" s="46"/>
      <c r="Y2110" s="46"/>
      <c r="Z2110" s="46"/>
    </row>
    <row r="2111" ht="22.5" customHeight="1">
      <c r="A2111" s="11">
        <v>2109.0</v>
      </c>
      <c r="B2111" s="20">
        <v>38.0</v>
      </c>
      <c r="C2111" s="21" t="s">
        <v>4772</v>
      </c>
      <c r="D2111" s="21" t="s">
        <v>4771</v>
      </c>
      <c r="E2111" s="21" t="s">
        <v>12848</v>
      </c>
      <c r="F2111" s="15"/>
      <c r="G2111" s="15"/>
      <c r="H2111" s="46"/>
      <c r="I2111" s="46"/>
      <c r="J2111" s="46"/>
      <c r="K2111" s="46"/>
      <c r="L2111" s="46"/>
      <c r="M2111" s="46"/>
      <c r="N2111" s="46"/>
      <c r="O2111" s="46"/>
      <c r="P2111" s="46"/>
      <c r="Q2111" s="46"/>
      <c r="R2111" s="46"/>
      <c r="S2111" s="46"/>
      <c r="T2111" s="46"/>
      <c r="U2111" s="46"/>
      <c r="V2111" s="46"/>
      <c r="W2111" s="46"/>
      <c r="X2111" s="46"/>
      <c r="Y2111" s="46"/>
      <c r="Z2111" s="46"/>
    </row>
    <row r="2112" ht="22.5" customHeight="1">
      <c r="A2112" s="17">
        <v>2110.0</v>
      </c>
      <c r="B2112" s="20">
        <v>38.0</v>
      </c>
      <c r="C2112" s="21" t="s">
        <v>12849</v>
      </c>
      <c r="D2112" s="21" t="s">
        <v>12850</v>
      </c>
      <c r="E2112" s="21" t="s">
        <v>12851</v>
      </c>
      <c r="F2112" s="14" t="s">
        <v>18</v>
      </c>
      <c r="G2112" s="15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  <c r="S2112" s="46"/>
      <c r="T2112" s="46"/>
      <c r="U2112" s="46"/>
      <c r="V2112" s="46"/>
      <c r="W2112" s="46"/>
      <c r="X2112" s="46"/>
      <c r="Y2112" s="46"/>
      <c r="Z2112" s="46"/>
    </row>
    <row r="2113" ht="22.5" customHeight="1">
      <c r="A2113" s="11">
        <v>2111.0</v>
      </c>
      <c r="B2113" s="20">
        <v>38.0</v>
      </c>
      <c r="C2113" s="21" t="s">
        <v>6201</v>
      </c>
      <c r="D2113" s="21" t="s">
        <v>6200</v>
      </c>
      <c r="E2113" s="21" t="s">
        <v>12852</v>
      </c>
      <c r="F2113" s="15"/>
      <c r="G2113" s="15"/>
      <c r="H2113" s="46"/>
      <c r="I2113" s="46"/>
      <c r="J2113" s="46"/>
      <c r="K2113" s="46"/>
      <c r="L2113" s="46"/>
      <c r="M2113" s="46"/>
      <c r="N2113" s="46"/>
      <c r="O2113" s="46"/>
      <c r="P2113" s="46"/>
      <c r="Q2113" s="46"/>
      <c r="R2113" s="46"/>
      <c r="S2113" s="46"/>
      <c r="T2113" s="46"/>
      <c r="U2113" s="46"/>
      <c r="V2113" s="46"/>
      <c r="W2113" s="46"/>
      <c r="X2113" s="46"/>
      <c r="Y2113" s="46"/>
      <c r="Z2113" s="46"/>
    </row>
    <row r="2114" ht="22.5" customHeight="1">
      <c r="A2114" s="17">
        <v>2112.0</v>
      </c>
      <c r="B2114" s="20">
        <v>38.0</v>
      </c>
      <c r="C2114" s="21" t="s">
        <v>4606</v>
      </c>
      <c r="D2114" s="21" t="s">
        <v>4605</v>
      </c>
      <c r="E2114" s="21" t="s">
        <v>12853</v>
      </c>
      <c r="F2114" s="15"/>
      <c r="G2114" s="15"/>
      <c r="H2114" s="46"/>
      <c r="I2114" s="46"/>
      <c r="J2114" s="46"/>
      <c r="K2114" s="46"/>
      <c r="L2114" s="46"/>
      <c r="M2114" s="46"/>
      <c r="N2114" s="46"/>
      <c r="O2114" s="46"/>
      <c r="P2114" s="46"/>
      <c r="Q2114" s="46"/>
      <c r="R2114" s="46"/>
      <c r="S2114" s="46"/>
      <c r="T2114" s="46"/>
      <c r="U2114" s="46"/>
      <c r="V2114" s="46"/>
      <c r="W2114" s="46"/>
      <c r="X2114" s="46"/>
      <c r="Y2114" s="46"/>
      <c r="Z2114" s="46"/>
    </row>
    <row r="2115" ht="22.5" customHeight="1">
      <c r="A2115" s="11">
        <v>2113.0</v>
      </c>
      <c r="B2115" s="20">
        <v>38.0</v>
      </c>
      <c r="C2115" s="21" t="s">
        <v>12854</v>
      </c>
      <c r="D2115" s="21" t="s">
        <v>12855</v>
      </c>
      <c r="E2115" s="21" t="s">
        <v>12856</v>
      </c>
      <c r="F2115" s="14" t="s">
        <v>18</v>
      </c>
      <c r="G2115" s="15"/>
      <c r="H2115" s="46"/>
      <c r="I2115" s="46"/>
      <c r="J2115" s="46"/>
      <c r="K2115" s="46"/>
      <c r="L2115" s="46"/>
      <c r="M2115" s="46"/>
      <c r="N2115" s="46"/>
      <c r="O2115" s="46"/>
      <c r="P2115" s="46"/>
      <c r="Q2115" s="46"/>
      <c r="R2115" s="46"/>
      <c r="S2115" s="46"/>
      <c r="T2115" s="46"/>
      <c r="U2115" s="46"/>
      <c r="V2115" s="46"/>
      <c r="W2115" s="46"/>
      <c r="X2115" s="46"/>
      <c r="Y2115" s="46"/>
      <c r="Z2115" s="46"/>
    </row>
    <row r="2116" ht="22.5" customHeight="1">
      <c r="A2116" s="17">
        <v>2114.0</v>
      </c>
      <c r="B2116" s="20">
        <v>38.0</v>
      </c>
      <c r="C2116" s="21" t="s">
        <v>8809</v>
      </c>
      <c r="D2116" s="21" t="s">
        <v>8810</v>
      </c>
      <c r="E2116" s="21" t="s">
        <v>8811</v>
      </c>
      <c r="F2116" s="15"/>
      <c r="G2116" s="15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  <c r="S2116" s="46"/>
      <c r="T2116" s="46"/>
      <c r="U2116" s="46"/>
      <c r="V2116" s="46"/>
      <c r="W2116" s="46"/>
      <c r="X2116" s="46"/>
      <c r="Y2116" s="46"/>
      <c r="Z2116" s="46"/>
    </row>
    <row r="2117" ht="22.5" customHeight="1">
      <c r="A2117" s="11">
        <v>2115.0</v>
      </c>
      <c r="B2117" s="20">
        <v>38.0</v>
      </c>
      <c r="C2117" s="21" t="s">
        <v>12726</v>
      </c>
      <c r="D2117" s="21" t="s">
        <v>12727</v>
      </c>
      <c r="E2117" s="21" t="s">
        <v>12857</v>
      </c>
      <c r="F2117" s="15"/>
      <c r="G2117" s="15"/>
      <c r="H2117" s="46"/>
      <c r="I2117" s="46"/>
      <c r="J2117" s="46"/>
      <c r="K2117" s="46"/>
      <c r="L2117" s="46"/>
      <c r="M2117" s="46"/>
      <c r="N2117" s="46"/>
      <c r="O2117" s="46"/>
      <c r="P2117" s="46"/>
      <c r="Q2117" s="46"/>
      <c r="R2117" s="46"/>
      <c r="S2117" s="46"/>
      <c r="T2117" s="46"/>
      <c r="U2117" s="46"/>
      <c r="V2117" s="46"/>
      <c r="W2117" s="46"/>
      <c r="X2117" s="46"/>
      <c r="Y2117" s="46"/>
      <c r="Z2117" s="46"/>
    </row>
    <row r="2118" ht="22.5" customHeight="1">
      <c r="A2118" s="17">
        <v>2116.0</v>
      </c>
      <c r="B2118" s="20">
        <v>38.0</v>
      </c>
      <c r="C2118" s="21" t="s">
        <v>9755</v>
      </c>
      <c r="D2118" s="21" t="s">
        <v>9756</v>
      </c>
      <c r="E2118" s="21" t="s">
        <v>9757</v>
      </c>
      <c r="F2118" s="15"/>
      <c r="G2118" s="15"/>
      <c r="H2118" s="46"/>
      <c r="I2118" s="46"/>
      <c r="J2118" s="46"/>
      <c r="K2118" s="46"/>
      <c r="L2118" s="46"/>
      <c r="M2118" s="46"/>
      <c r="N2118" s="46"/>
      <c r="O2118" s="46"/>
      <c r="P2118" s="46"/>
      <c r="Q2118" s="46"/>
      <c r="R2118" s="46"/>
      <c r="S2118" s="46"/>
      <c r="T2118" s="46"/>
      <c r="U2118" s="46"/>
      <c r="V2118" s="46"/>
      <c r="W2118" s="46"/>
      <c r="X2118" s="46"/>
      <c r="Y2118" s="46"/>
      <c r="Z2118" s="46"/>
    </row>
    <row r="2119" ht="22.5" customHeight="1">
      <c r="A2119" s="11">
        <v>2117.0</v>
      </c>
      <c r="B2119" s="20">
        <v>38.0</v>
      </c>
      <c r="C2119" s="21" t="s">
        <v>8830</v>
      </c>
      <c r="D2119" s="21" t="s">
        <v>8831</v>
      </c>
      <c r="E2119" s="21" t="s">
        <v>8832</v>
      </c>
      <c r="F2119" s="15"/>
      <c r="G2119" s="15"/>
      <c r="H2119" s="46"/>
      <c r="I2119" s="46"/>
      <c r="J2119" s="46"/>
      <c r="K2119" s="46"/>
      <c r="L2119" s="46"/>
      <c r="M2119" s="46"/>
      <c r="N2119" s="46"/>
      <c r="O2119" s="46"/>
      <c r="P2119" s="46"/>
      <c r="Q2119" s="46"/>
      <c r="R2119" s="46"/>
      <c r="S2119" s="46"/>
      <c r="T2119" s="46"/>
      <c r="U2119" s="46"/>
      <c r="V2119" s="46"/>
      <c r="W2119" s="46"/>
      <c r="X2119" s="46"/>
      <c r="Y2119" s="46"/>
      <c r="Z2119" s="46"/>
    </row>
    <row r="2120" ht="22.5" customHeight="1">
      <c r="A2120" s="17">
        <v>2118.0</v>
      </c>
      <c r="B2120" s="20">
        <v>38.0</v>
      </c>
      <c r="C2120" s="21" t="s">
        <v>5189</v>
      </c>
      <c r="D2120" s="21" t="s">
        <v>5188</v>
      </c>
      <c r="E2120" s="21" t="s">
        <v>12858</v>
      </c>
      <c r="F2120" s="15"/>
      <c r="G2120" s="15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  <c r="S2120" s="46"/>
      <c r="T2120" s="46"/>
      <c r="U2120" s="46"/>
      <c r="V2120" s="46"/>
      <c r="W2120" s="46"/>
      <c r="X2120" s="46"/>
      <c r="Y2120" s="46"/>
      <c r="Z2120" s="46"/>
    </row>
    <row r="2121" ht="22.5" customHeight="1">
      <c r="A2121" s="11">
        <v>2119.0</v>
      </c>
      <c r="B2121" s="20">
        <v>38.0</v>
      </c>
      <c r="C2121" s="21" t="s">
        <v>5192</v>
      </c>
      <c r="D2121" s="21" t="s">
        <v>5191</v>
      </c>
      <c r="E2121" s="21" t="s">
        <v>12859</v>
      </c>
      <c r="F2121" s="14" t="s">
        <v>18</v>
      </c>
      <c r="G2121" s="15"/>
      <c r="H2121" s="46"/>
      <c r="I2121" s="46"/>
      <c r="J2121" s="46"/>
      <c r="K2121" s="46"/>
      <c r="L2121" s="46"/>
      <c r="M2121" s="46"/>
      <c r="N2121" s="46"/>
      <c r="O2121" s="46"/>
      <c r="P2121" s="46"/>
      <c r="Q2121" s="46"/>
      <c r="R2121" s="46"/>
      <c r="S2121" s="46"/>
      <c r="T2121" s="46"/>
      <c r="U2121" s="46"/>
      <c r="V2121" s="46"/>
      <c r="W2121" s="46"/>
      <c r="X2121" s="46"/>
      <c r="Y2121" s="46"/>
      <c r="Z2121" s="46"/>
    </row>
    <row r="2122" ht="22.5" customHeight="1">
      <c r="A2122" s="17">
        <v>2120.0</v>
      </c>
      <c r="B2122" s="20">
        <v>38.0</v>
      </c>
      <c r="C2122" s="21" t="s">
        <v>5195</v>
      </c>
      <c r="D2122" s="21" t="s">
        <v>5194</v>
      </c>
      <c r="E2122" s="21" t="s">
        <v>12268</v>
      </c>
      <c r="F2122" s="15"/>
      <c r="G2122" s="15"/>
      <c r="H2122" s="46"/>
      <c r="I2122" s="46"/>
      <c r="J2122" s="46"/>
      <c r="K2122" s="46"/>
      <c r="L2122" s="46"/>
      <c r="M2122" s="46"/>
      <c r="N2122" s="46"/>
      <c r="O2122" s="46"/>
      <c r="P2122" s="46"/>
      <c r="Q2122" s="46"/>
      <c r="R2122" s="46"/>
      <c r="S2122" s="46"/>
      <c r="T2122" s="46"/>
      <c r="U2122" s="46"/>
      <c r="V2122" s="46"/>
      <c r="W2122" s="46"/>
      <c r="X2122" s="46"/>
      <c r="Y2122" s="46"/>
      <c r="Z2122" s="46"/>
    </row>
    <row r="2123" ht="22.5" customHeight="1">
      <c r="A2123" s="11">
        <v>2121.0</v>
      </c>
      <c r="B2123" s="20">
        <v>38.0</v>
      </c>
      <c r="C2123" s="21" t="s">
        <v>5198</v>
      </c>
      <c r="D2123" s="21" t="s">
        <v>5197</v>
      </c>
      <c r="E2123" s="21" t="s">
        <v>12860</v>
      </c>
      <c r="F2123" s="15"/>
      <c r="G2123" s="15"/>
      <c r="H2123" s="46"/>
      <c r="I2123" s="46"/>
      <c r="J2123" s="46"/>
      <c r="K2123" s="46"/>
      <c r="L2123" s="46"/>
      <c r="M2123" s="46"/>
      <c r="N2123" s="46"/>
      <c r="O2123" s="46"/>
      <c r="P2123" s="46"/>
      <c r="Q2123" s="46"/>
      <c r="R2123" s="46"/>
      <c r="S2123" s="46"/>
      <c r="T2123" s="46"/>
      <c r="U2123" s="46"/>
      <c r="V2123" s="46"/>
      <c r="W2123" s="46"/>
      <c r="X2123" s="46"/>
      <c r="Y2123" s="46"/>
      <c r="Z2123" s="46"/>
    </row>
    <row r="2124" ht="22.5" customHeight="1">
      <c r="A2124" s="17">
        <v>2122.0</v>
      </c>
      <c r="B2124" s="20">
        <v>38.0</v>
      </c>
      <c r="C2124" s="21" t="s">
        <v>5201</v>
      </c>
      <c r="D2124" s="21" t="s">
        <v>5200</v>
      </c>
      <c r="E2124" s="21" t="s">
        <v>12861</v>
      </c>
      <c r="F2124" s="14" t="s">
        <v>18</v>
      </c>
      <c r="G2124" s="15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  <c r="S2124" s="46"/>
      <c r="T2124" s="46"/>
      <c r="U2124" s="46"/>
      <c r="V2124" s="46"/>
      <c r="W2124" s="46"/>
      <c r="X2124" s="46"/>
      <c r="Y2124" s="46"/>
      <c r="Z2124" s="46"/>
    </row>
    <row r="2125" ht="22.5" customHeight="1">
      <c r="A2125" s="11">
        <v>2123.0</v>
      </c>
      <c r="B2125" s="20">
        <v>38.0</v>
      </c>
      <c r="C2125" s="21" t="s">
        <v>5203</v>
      </c>
      <c r="D2125" s="21" t="s">
        <v>5202</v>
      </c>
      <c r="E2125" s="21" t="s">
        <v>12862</v>
      </c>
      <c r="F2125" s="15"/>
      <c r="G2125" s="15"/>
      <c r="H2125" s="46"/>
      <c r="I2125" s="46"/>
      <c r="J2125" s="46"/>
      <c r="K2125" s="46"/>
      <c r="L2125" s="46"/>
      <c r="M2125" s="46"/>
      <c r="N2125" s="46"/>
      <c r="O2125" s="46"/>
      <c r="P2125" s="46"/>
      <c r="Q2125" s="46"/>
      <c r="R2125" s="46"/>
      <c r="S2125" s="46"/>
      <c r="T2125" s="46"/>
      <c r="U2125" s="46"/>
      <c r="V2125" s="46"/>
      <c r="W2125" s="46"/>
      <c r="X2125" s="46"/>
      <c r="Y2125" s="46"/>
      <c r="Z2125" s="46"/>
    </row>
    <row r="2126" ht="22.5" customHeight="1">
      <c r="A2126" s="17">
        <v>2124.0</v>
      </c>
      <c r="B2126" s="20">
        <v>38.0</v>
      </c>
      <c r="C2126" s="21" t="s">
        <v>5205</v>
      </c>
      <c r="D2126" s="21" t="s">
        <v>3933</v>
      </c>
      <c r="E2126" s="21" t="s">
        <v>3934</v>
      </c>
      <c r="F2126" s="15"/>
      <c r="G2126" s="15"/>
      <c r="H2126" s="46"/>
      <c r="I2126" s="46"/>
      <c r="J2126" s="46"/>
      <c r="K2126" s="46"/>
      <c r="L2126" s="46"/>
      <c r="M2126" s="46"/>
      <c r="N2126" s="46"/>
      <c r="O2126" s="46"/>
      <c r="P2126" s="46"/>
      <c r="Q2126" s="46"/>
      <c r="R2126" s="46"/>
      <c r="S2126" s="46"/>
      <c r="T2126" s="46"/>
      <c r="U2126" s="46"/>
      <c r="V2126" s="46"/>
      <c r="W2126" s="46"/>
      <c r="X2126" s="46"/>
      <c r="Y2126" s="46"/>
      <c r="Z2126" s="46"/>
    </row>
    <row r="2127" ht="22.5" customHeight="1">
      <c r="A2127" s="11">
        <v>2125.0</v>
      </c>
      <c r="B2127" s="20">
        <v>38.0</v>
      </c>
      <c r="C2127" s="21" t="s">
        <v>5208</v>
      </c>
      <c r="D2127" s="21" t="s">
        <v>5207</v>
      </c>
      <c r="E2127" s="21" t="s">
        <v>12863</v>
      </c>
      <c r="F2127" s="15"/>
      <c r="G2127" s="15"/>
      <c r="H2127" s="46"/>
      <c r="I2127" s="46"/>
      <c r="J2127" s="46"/>
      <c r="K2127" s="46"/>
      <c r="L2127" s="46"/>
      <c r="M2127" s="46"/>
      <c r="N2127" s="46"/>
      <c r="O2127" s="46"/>
      <c r="P2127" s="46"/>
      <c r="Q2127" s="46"/>
      <c r="R2127" s="46"/>
      <c r="S2127" s="46"/>
      <c r="T2127" s="46"/>
      <c r="U2127" s="46"/>
      <c r="V2127" s="46"/>
      <c r="W2127" s="46"/>
      <c r="X2127" s="46"/>
      <c r="Y2127" s="46"/>
      <c r="Z2127" s="46"/>
    </row>
    <row r="2128" ht="22.5" customHeight="1">
      <c r="A2128" s="17">
        <v>2126.0</v>
      </c>
      <c r="B2128" s="20">
        <v>38.0</v>
      </c>
      <c r="C2128" s="21" t="s">
        <v>4660</v>
      </c>
      <c r="D2128" s="21" t="s">
        <v>4659</v>
      </c>
      <c r="E2128" s="21" t="s">
        <v>12864</v>
      </c>
      <c r="F2128" s="14" t="s">
        <v>18</v>
      </c>
      <c r="G2128" s="15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  <c r="S2128" s="46"/>
      <c r="T2128" s="46"/>
      <c r="U2128" s="46"/>
      <c r="V2128" s="46"/>
      <c r="W2128" s="46"/>
      <c r="X2128" s="46"/>
      <c r="Y2128" s="46"/>
      <c r="Z2128" s="46"/>
    </row>
    <row r="2129" ht="22.5" customHeight="1">
      <c r="A2129" s="11">
        <v>2127.0</v>
      </c>
      <c r="B2129" s="20">
        <v>38.0</v>
      </c>
      <c r="C2129" s="21" t="s">
        <v>5212</v>
      </c>
      <c r="D2129" s="21" t="s">
        <v>5211</v>
      </c>
      <c r="E2129" s="21" t="s">
        <v>12865</v>
      </c>
      <c r="F2129" s="15"/>
      <c r="G2129" s="15"/>
      <c r="H2129" s="46"/>
      <c r="I2129" s="46"/>
      <c r="J2129" s="46"/>
      <c r="K2129" s="46"/>
      <c r="L2129" s="46"/>
      <c r="M2129" s="46"/>
      <c r="N2129" s="46"/>
      <c r="O2129" s="46"/>
      <c r="P2129" s="46"/>
      <c r="Q2129" s="46"/>
      <c r="R2129" s="46"/>
      <c r="S2129" s="46"/>
      <c r="T2129" s="46"/>
      <c r="U2129" s="46"/>
      <c r="V2129" s="46"/>
      <c r="W2129" s="46"/>
      <c r="X2129" s="46"/>
      <c r="Y2129" s="46"/>
      <c r="Z2129" s="46"/>
    </row>
    <row r="2130" ht="22.5" customHeight="1">
      <c r="A2130" s="17">
        <v>2128.0</v>
      </c>
      <c r="B2130" s="20">
        <v>38.0</v>
      </c>
      <c r="C2130" s="21" t="s">
        <v>8830</v>
      </c>
      <c r="D2130" s="21" t="s">
        <v>8831</v>
      </c>
      <c r="E2130" s="21" t="s">
        <v>8832</v>
      </c>
      <c r="F2130" s="15"/>
      <c r="G2130" s="15"/>
      <c r="H2130" s="46"/>
      <c r="I2130" s="46"/>
      <c r="J2130" s="46"/>
      <c r="K2130" s="46"/>
      <c r="L2130" s="46"/>
      <c r="M2130" s="46"/>
      <c r="N2130" s="46"/>
      <c r="O2130" s="46"/>
      <c r="P2130" s="46"/>
      <c r="Q2130" s="46"/>
      <c r="R2130" s="46"/>
      <c r="S2130" s="46"/>
      <c r="T2130" s="46"/>
      <c r="U2130" s="46"/>
      <c r="V2130" s="46"/>
      <c r="W2130" s="46"/>
      <c r="X2130" s="46"/>
      <c r="Y2130" s="46"/>
      <c r="Z2130" s="46"/>
    </row>
    <row r="2131" ht="22.5" customHeight="1">
      <c r="A2131" s="11">
        <v>2129.0</v>
      </c>
      <c r="B2131" s="20">
        <v>38.0</v>
      </c>
      <c r="C2131" s="21" t="s">
        <v>10870</v>
      </c>
      <c r="D2131" s="21" t="s">
        <v>10871</v>
      </c>
      <c r="E2131" s="21" t="s">
        <v>10872</v>
      </c>
      <c r="F2131" s="15"/>
      <c r="G2131" s="15"/>
      <c r="H2131" s="46"/>
      <c r="I2131" s="46"/>
      <c r="J2131" s="46"/>
      <c r="K2131" s="46"/>
      <c r="L2131" s="46"/>
      <c r="M2131" s="46"/>
      <c r="N2131" s="46"/>
      <c r="O2131" s="46"/>
      <c r="P2131" s="46"/>
      <c r="Q2131" s="46"/>
      <c r="R2131" s="46"/>
      <c r="S2131" s="46"/>
      <c r="T2131" s="46"/>
      <c r="U2131" s="46"/>
      <c r="V2131" s="46"/>
      <c r="W2131" s="46"/>
      <c r="X2131" s="46"/>
      <c r="Y2131" s="46"/>
      <c r="Z2131" s="46"/>
    </row>
    <row r="2132" ht="22.5" customHeight="1">
      <c r="A2132" s="17">
        <v>2130.0</v>
      </c>
      <c r="B2132" s="20">
        <v>38.0</v>
      </c>
      <c r="C2132" s="21" t="s">
        <v>5481</v>
      </c>
      <c r="D2132" s="21" t="s">
        <v>5480</v>
      </c>
      <c r="E2132" s="21" t="s">
        <v>12866</v>
      </c>
      <c r="F2132" s="15"/>
      <c r="G2132" s="15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  <c r="S2132" s="46"/>
      <c r="T2132" s="46"/>
      <c r="U2132" s="46"/>
      <c r="V2132" s="46"/>
      <c r="W2132" s="46"/>
      <c r="X2132" s="46"/>
      <c r="Y2132" s="46"/>
      <c r="Z2132" s="46"/>
    </row>
    <row r="2133" ht="22.5" customHeight="1">
      <c r="A2133" s="11">
        <v>2131.0</v>
      </c>
      <c r="B2133" s="20">
        <v>37.0</v>
      </c>
      <c r="C2133" s="21" t="s">
        <v>12867</v>
      </c>
      <c r="D2133" s="21" t="s">
        <v>12868</v>
      </c>
      <c r="E2133" s="21" t="s">
        <v>12869</v>
      </c>
      <c r="F2133" s="15"/>
      <c r="G2133" s="15"/>
      <c r="H2133" s="46"/>
      <c r="I2133" s="46"/>
      <c r="J2133" s="46"/>
      <c r="K2133" s="46"/>
      <c r="L2133" s="46"/>
      <c r="M2133" s="46"/>
      <c r="N2133" s="46"/>
      <c r="O2133" s="46"/>
      <c r="P2133" s="46"/>
      <c r="Q2133" s="46"/>
      <c r="R2133" s="46"/>
      <c r="S2133" s="46"/>
      <c r="T2133" s="46"/>
      <c r="U2133" s="46"/>
      <c r="V2133" s="46"/>
      <c r="W2133" s="46"/>
      <c r="X2133" s="46"/>
      <c r="Y2133" s="46"/>
      <c r="Z2133" s="46"/>
    </row>
    <row r="2134" ht="22.5" customHeight="1">
      <c r="A2134" s="17">
        <v>2132.0</v>
      </c>
      <c r="B2134" s="20">
        <v>37.0</v>
      </c>
      <c r="C2134" s="21" t="s">
        <v>10685</v>
      </c>
      <c r="D2134" s="21" t="s">
        <v>10686</v>
      </c>
      <c r="E2134" s="21" t="s">
        <v>10687</v>
      </c>
      <c r="F2134" s="15"/>
      <c r="G2134" s="15"/>
      <c r="H2134" s="46"/>
      <c r="I2134" s="46"/>
      <c r="J2134" s="46"/>
      <c r="K2134" s="46"/>
      <c r="L2134" s="46"/>
      <c r="M2134" s="46"/>
      <c r="N2134" s="46"/>
      <c r="O2134" s="46"/>
      <c r="P2134" s="46"/>
      <c r="Q2134" s="46"/>
      <c r="R2134" s="46"/>
      <c r="S2134" s="46"/>
      <c r="T2134" s="46"/>
      <c r="U2134" s="46"/>
      <c r="V2134" s="46"/>
      <c r="W2134" s="46"/>
      <c r="X2134" s="46"/>
      <c r="Y2134" s="46"/>
      <c r="Z2134" s="46"/>
    </row>
    <row r="2135" ht="22.5" customHeight="1">
      <c r="A2135" s="11">
        <v>2133.0</v>
      </c>
      <c r="B2135" s="20">
        <v>37.0</v>
      </c>
      <c r="C2135" s="21" t="s">
        <v>12870</v>
      </c>
      <c r="D2135" s="21" t="s">
        <v>12871</v>
      </c>
      <c r="E2135" s="21" t="s">
        <v>12872</v>
      </c>
      <c r="F2135" s="15"/>
      <c r="G2135" s="15"/>
      <c r="H2135" s="46"/>
      <c r="I2135" s="46"/>
      <c r="J2135" s="46"/>
      <c r="K2135" s="46"/>
      <c r="L2135" s="46"/>
      <c r="M2135" s="46"/>
      <c r="N2135" s="46"/>
      <c r="O2135" s="46"/>
      <c r="P2135" s="46"/>
      <c r="Q2135" s="46"/>
      <c r="R2135" s="46"/>
      <c r="S2135" s="46"/>
      <c r="T2135" s="46"/>
      <c r="U2135" s="46"/>
      <c r="V2135" s="46"/>
      <c r="W2135" s="46"/>
      <c r="X2135" s="46"/>
      <c r="Y2135" s="46"/>
      <c r="Z2135" s="46"/>
    </row>
    <row r="2136" ht="22.5" customHeight="1">
      <c r="A2136" s="17">
        <v>2134.0</v>
      </c>
      <c r="B2136" s="20">
        <v>37.0</v>
      </c>
      <c r="C2136" s="21" t="s">
        <v>10439</v>
      </c>
      <c r="D2136" s="21" t="s">
        <v>10440</v>
      </c>
      <c r="E2136" s="21" t="s">
        <v>10441</v>
      </c>
      <c r="F2136" s="15"/>
      <c r="G2136" s="15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  <c r="S2136" s="46"/>
      <c r="T2136" s="46"/>
      <c r="U2136" s="46"/>
      <c r="V2136" s="46"/>
      <c r="W2136" s="46"/>
      <c r="X2136" s="46"/>
      <c r="Y2136" s="46"/>
      <c r="Z2136" s="46"/>
    </row>
    <row r="2137" ht="22.5" customHeight="1">
      <c r="A2137" s="11">
        <v>2135.0</v>
      </c>
      <c r="B2137" s="20">
        <v>37.0</v>
      </c>
      <c r="C2137" s="21" t="s">
        <v>11944</v>
      </c>
      <c r="D2137" s="21" t="s">
        <v>11945</v>
      </c>
      <c r="E2137" s="21" t="s">
        <v>12287</v>
      </c>
      <c r="F2137" s="15"/>
      <c r="G2137" s="15"/>
      <c r="H2137" s="46"/>
      <c r="I2137" s="46"/>
      <c r="J2137" s="46"/>
      <c r="K2137" s="46"/>
      <c r="L2137" s="46"/>
      <c r="M2137" s="46"/>
      <c r="N2137" s="46"/>
      <c r="O2137" s="46"/>
      <c r="P2137" s="46"/>
      <c r="Q2137" s="46"/>
      <c r="R2137" s="46"/>
      <c r="S2137" s="46"/>
      <c r="T2137" s="46"/>
      <c r="U2137" s="46"/>
      <c r="V2137" s="46"/>
      <c r="W2137" s="46"/>
      <c r="X2137" s="46"/>
      <c r="Y2137" s="46"/>
      <c r="Z2137" s="46"/>
    </row>
    <row r="2138" ht="22.5" customHeight="1">
      <c r="A2138" s="17">
        <v>2136.0</v>
      </c>
      <c r="B2138" s="20">
        <v>37.0</v>
      </c>
      <c r="C2138" s="21" t="s">
        <v>12873</v>
      </c>
      <c r="D2138" s="21" t="s">
        <v>12874</v>
      </c>
      <c r="E2138" s="21" t="s">
        <v>12875</v>
      </c>
      <c r="F2138" s="15"/>
      <c r="G2138" s="15"/>
      <c r="H2138" s="46"/>
      <c r="I2138" s="46"/>
      <c r="J2138" s="46"/>
      <c r="K2138" s="46"/>
      <c r="L2138" s="46"/>
      <c r="M2138" s="46"/>
      <c r="N2138" s="46"/>
      <c r="O2138" s="46"/>
      <c r="P2138" s="46"/>
      <c r="Q2138" s="46"/>
      <c r="R2138" s="46"/>
      <c r="S2138" s="46"/>
      <c r="T2138" s="46"/>
      <c r="U2138" s="46"/>
      <c r="V2138" s="46"/>
      <c r="W2138" s="46"/>
      <c r="X2138" s="46"/>
      <c r="Y2138" s="46"/>
      <c r="Z2138" s="46"/>
    </row>
    <row r="2139" ht="22.5" customHeight="1">
      <c r="A2139" s="11">
        <v>2137.0</v>
      </c>
      <c r="B2139" s="20">
        <v>37.0</v>
      </c>
      <c r="C2139" s="21" t="s">
        <v>10067</v>
      </c>
      <c r="D2139" s="21" t="s">
        <v>10068</v>
      </c>
      <c r="E2139" s="21" t="s">
        <v>10069</v>
      </c>
      <c r="F2139" s="15"/>
      <c r="G2139" s="15"/>
      <c r="H2139" s="46"/>
      <c r="I2139" s="46"/>
      <c r="J2139" s="46"/>
      <c r="K2139" s="46"/>
      <c r="L2139" s="46"/>
      <c r="M2139" s="46"/>
      <c r="N2139" s="46"/>
      <c r="O2139" s="46"/>
      <c r="P2139" s="46"/>
      <c r="Q2139" s="46"/>
      <c r="R2139" s="46"/>
      <c r="S2139" s="46"/>
      <c r="T2139" s="46"/>
      <c r="U2139" s="46"/>
      <c r="V2139" s="46"/>
      <c r="W2139" s="46"/>
      <c r="X2139" s="46"/>
      <c r="Y2139" s="46"/>
      <c r="Z2139" s="46"/>
    </row>
    <row r="2140" ht="22.5" customHeight="1">
      <c r="A2140" s="17">
        <v>2138.0</v>
      </c>
      <c r="B2140" s="20">
        <v>37.0</v>
      </c>
      <c r="C2140" s="21" t="s">
        <v>12876</v>
      </c>
      <c r="D2140" s="21" t="s">
        <v>12877</v>
      </c>
      <c r="E2140" s="21" t="s">
        <v>12878</v>
      </c>
      <c r="F2140" s="15"/>
      <c r="G2140" s="15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  <c r="S2140" s="46"/>
      <c r="T2140" s="46"/>
      <c r="U2140" s="46"/>
      <c r="V2140" s="46"/>
      <c r="W2140" s="46"/>
      <c r="X2140" s="46"/>
      <c r="Y2140" s="46"/>
      <c r="Z2140" s="46"/>
    </row>
    <row r="2141" ht="22.5" customHeight="1">
      <c r="A2141" s="11">
        <v>2139.0</v>
      </c>
      <c r="B2141" s="20">
        <v>37.0</v>
      </c>
      <c r="C2141" s="21" t="s">
        <v>8768</v>
      </c>
      <c r="D2141" s="21" t="s">
        <v>8769</v>
      </c>
      <c r="E2141" s="21" t="s">
        <v>8770</v>
      </c>
      <c r="F2141" s="15"/>
      <c r="G2141" s="15"/>
      <c r="H2141" s="46"/>
      <c r="I2141" s="46"/>
      <c r="J2141" s="46"/>
      <c r="K2141" s="46"/>
      <c r="L2141" s="46"/>
      <c r="M2141" s="46"/>
      <c r="N2141" s="46"/>
      <c r="O2141" s="46"/>
      <c r="P2141" s="46"/>
      <c r="Q2141" s="46"/>
      <c r="R2141" s="46"/>
      <c r="S2141" s="46"/>
      <c r="T2141" s="46"/>
      <c r="U2141" s="46"/>
      <c r="V2141" s="46"/>
      <c r="W2141" s="46"/>
      <c r="X2141" s="46"/>
      <c r="Y2141" s="46"/>
      <c r="Z2141" s="46"/>
    </row>
    <row r="2142" ht="22.5" customHeight="1">
      <c r="A2142" s="17">
        <v>2140.0</v>
      </c>
      <c r="B2142" s="20">
        <v>37.0</v>
      </c>
      <c r="C2142" s="21" t="s">
        <v>12879</v>
      </c>
      <c r="D2142" s="21" t="s">
        <v>12880</v>
      </c>
      <c r="E2142" s="21" t="s">
        <v>12881</v>
      </c>
      <c r="F2142" s="15"/>
      <c r="G2142" s="15"/>
      <c r="H2142" s="46"/>
      <c r="I2142" s="46"/>
      <c r="J2142" s="46"/>
      <c r="K2142" s="46"/>
      <c r="L2142" s="46"/>
      <c r="M2142" s="46"/>
      <c r="N2142" s="46"/>
      <c r="O2142" s="46"/>
      <c r="P2142" s="46"/>
      <c r="Q2142" s="46"/>
      <c r="R2142" s="46"/>
      <c r="S2142" s="46"/>
      <c r="T2142" s="46"/>
      <c r="U2142" s="46"/>
      <c r="V2142" s="46"/>
      <c r="W2142" s="46"/>
      <c r="X2142" s="46"/>
      <c r="Y2142" s="46"/>
      <c r="Z2142" s="46"/>
    </row>
    <row r="2143" ht="22.5" customHeight="1">
      <c r="A2143" s="11">
        <v>2141.0</v>
      </c>
      <c r="B2143" s="20">
        <v>37.0</v>
      </c>
      <c r="C2143" s="21" t="s">
        <v>12882</v>
      </c>
      <c r="D2143" s="21" t="s">
        <v>12883</v>
      </c>
      <c r="E2143" s="21" t="s">
        <v>12884</v>
      </c>
      <c r="F2143" s="14" t="s">
        <v>18</v>
      </c>
      <c r="G2143" s="15"/>
      <c r="H2143" s="46"/>
      <c r="I2143" s="46"/>
      <c r="J2143" s="46"/>
      <c r="K2143" s="46"/>
      <c r="L2143" s="46"/>
      <c r="M2143" s="46"/>
      <c r="N2143" s="46"/>
      <c r="O2143" s="46"/>
      <c r="P2143" s="46"/>
      <c r="Q2143" s="46"/>
      <c r="R2143" s="46"/>
      <c r="S2143" s="46"/>
      <c r="T2143" s="46"/>
      <c r="U2143" s="46"/>
      <c r="V2143" s="46"/>
      <c r="W2143" s="46"/>
      <c r="X2143" s="46"/>
      <c r="Y2143" s="46"/>
      <c r="Z2143" s="46"/>
    </row>
    <row r="2144" ht="22.5" customHeight="1">
      <c r="A2144" s="17">
        <v>2142.0</v>
      </c>
      <c r="B2144" s="20">
        <v>37.0</v>
      </c>
      <c r="C2144" s="21" t="s">
        <v>12885</v>
      </c>
      <c r="D2144" s="21" t="s">
        <v>12886</v>
      </c>
      <c r="E2144" s="21" t="s">
        <v>12887</v>
      </c>
      <c r="F2144" s="15"/>
      <c r="G2144" s="15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  <c r="S2144" s="46"/>
      <c r="T2144" s="46"/>
      <c r="U2144" s="46"/>
      <c r="V2144" s="46"/>
      <c r="W2144" s="46"/>
      <c r="X2144" s="46"/>
      <c r="Y2144" s="46"/>
      <c r="Z2144" s="46"/>
    </row>
    <row r="2145" ht="22.5" customHeight="1">
      <c r="A2145" s="11">
        <v>2143.0</v>
      </c>
      <c r="B2145" s="20">
        <v>37.0</v>
      </c>
      <c r="C2145" s="21" t="s">
        <v>12888</v>
      </c>
      <c r="D2145" s="21" t="s">
        <v>12889</v>
      </c>
      <c r="E2145" s="21" t="s">
        <v>12890</v>
      </c>
      <c r="F2145" s="14" t="s">
        <v>18</v>
      </c>
      <c r="G2145" s="15"/>
      <c r="H2145" s="46"/>
      <c r="I2145" s="46"/>
      <c r="J2145" s="46"/>
      <c r="K2145" s="46"/>
      <c r="L2145" s="46"/>
      <c r="M2145" s="46"/>
      <c r="N2145" s="46"/>
      <c r="O2145" s="46"/>
      <c r="P2145" s="46"/>
      <c r="Q2145" s="46"/>
      <c r="R2145" s="46"/>
      <c r="S2145" s="46"/>
      <c r="T2145" s="46"/>
      <c r="U2145" s="46"/>
      <c r="V2145" s="46"/>
      <c r="W2145" s="46"/>
      <c r="X2145" s="46"/>
      <c r="Y2145" s="46"/>
      <c r="Z2145" s="46"/>
    </row>
    <row r="2146" ht="22.5" customHeight="1">
      <c r="A2146" s="17">
        <v>2144.0</v>
      </c>
      <c r="B2146" s="20">
        <v>37.0</v>
      </c>
      <c r="C2146" s="21" t="s">
        <v>11359</v>
      </c>
      <c r="D2146" s="21" t="s">
        <v>11360</v>
      </c>
      <c r="E2146" s="21" t="s">
        <v>11361</v>
      </c>
      <c r="F2146" s="15"/>
      <c r="G2146" s="15"/>
      <c r="H2146" s="46"/>
      <c r="I2146" s="46"/>
      <c r="J2146" s="46"/>
      <c r="K2146" s="46"/>
      <c r="L2146" s="46"/>
      <c r="M2146" s="46"/>
      <c r="N2146" s="46"/>
      <c r="O2146" s="46"/>
      <c r="P2146" s="46"/>
      <c r="Q2146" s="46"/>
      <c r="R2146" s="46"/>
      <c r="S2146" s="46"/>
      <c r="T2146" s="46"/>
      <c r="U2146" s="46"/>
      <c r="V2146" s="46"/>
      <c r="W2146" s="46"/>
      <c r="X2146" s="46"/>
      <c r="Y2146" s="46"/>
      <c r="Z2146" s="46"/>
    </row>
    <row r="2147" ht="22.5" customHeight="1">
      <c r="A2147" s="11">
        <v>2145.0</v>
      </c>
      <c r="B2147" s="20">
        <v>37.0</v>
      </c>
      <c r="C2147" s="21" t="s">
        <v>12417</v>
      </c>
      <c r="D2147" s="21" t="s">
        <v>12418</v>
      </c>
      <c r="E2147" s="21" t="s">
        <v>12419</v>
      </c>
      <c r="F2147" s="15"/>
      <c r="G2147" s="15"/>
      <c r="H2147" s="46"/>
      <c r="I2147" s="46"/>
      <c r="J2147" s="46"/>
      <c r="K2147" s="46"/>
      <c r="L2147" s="46"/>
      <c r="M2147" s="46"/>
      <c r="N2147" s="46"/>
      <c r="O2147" s="46"/>
      <c r="P2147" s="46"/>
      <c r="Q2147" s="46"/>
      <c r="R2147" s="46"/>
      <c r="S2147" s="46"/>
      <c r="T2147" s="46"/>
      <c r="U2147" s="46"/>
      <c r="V2147" s="46"/>
      <c r="W2147" s="46"/>
      <c r="X2147" s="46"/>
      <c r="Y2147" s="46"/>
      <c r="Z2147" s="46"/>
    </row>
    <row r="2148" ht="22.5" customHeight="1">
      <c r="A2148" s="17">
        <v>2146.0</v>
      </c>
      <c r="B2148" s="20">
        <v>37.0</v>
      </c>
      <c r="C2148" s="21" t="s">
        <v>6383</v>
      </c>
      <c r="D2148" s="21" t="s">
        <v>12891</v>
      </c>
      <c r="E2148" s="21" t="s">
        <v>12892</v>
      </c>
      <c r="F2148" s="15"/>
      <c r="G2148" s="15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  <c r="S2148" s="46"/>
      <c r="T2148" s="46"/>
      <c r="U2148" s="46"/>
      <c r="V2148" s="46"/>
      <c r="W2148" s="46"/>
      <c r="X2148" s="46"/>
      <c r="Y2148" s="46"/>
      <c r="Z2148" s="46"/>
    </row>
    <row r="2149" ht="22.5" customHeight="1">
      <c r="A2149" s="11">
        <v>2147.0</v>
      </c>
      <c r="B2149" s="20">
        <v>37.0</v>
      </c>
      <c r="C2149" s="21" t="s">
        <v>9802</v>
      </c>
      <c r="D2149" s="21" t="s">
        <v>9803</v>
      </c>
      <c r="E2149" s="21" t="s">
        <v>10003</v>
      </c>
      <c r="F2149" s="15"/>
      <c r="G2149" s="15"/>
      <c r="H2149" s="46"/>
      <c r="I2149" s="46"/>
      <c r="J2149" s="46"/>
      <c r="K2149" s="46"/>
      <c r="L2149" s="46"/>
      <c r="M2149" s="46"/>
      <c r="N2149" s="46"/>
      <c r="O2149" s="46"/>
      <c r="P2149" s="46"/>
      <c r="Q2149" s="46"/>
      <c r="R2149" s="46"/>
      <c r="S2149" s="46"/>
      <c r="T2149" s="46"/>
      <c r="U2149" s="46"/>
      <c r="V2149" s="46"/>
      <c r="W2149" s="46"/>
      <c r="X2149" s="46"/>
      <c r="Y2149" s="46"/>
      <c r="Z2149" s="46"/>
    </row>
    <row r="2150" ht="22.5" customHeight="1">
      <c r="A2150" s="17">
        <v>2148.0</v>
      </c>
      <c r="B2150" s="20">
        <v>37.0</v>
      </c>
      <c r="C2150" s="21" t="s">
        <v>12893</v>
      </c>
      <c r="D2150" s="21" t="s">
        <v>12894</v>
      </c>
      <c r="E2150" s="21" t="s">
        <v>12895</v>
      </c>
      <c r="F2150" s="15"/>
      <c r="G2150" s="15"/>
      <c r="H2150" s="46"/>
      <c r="I2150" s="46"/>
      <c r="J2150" s="46"/>
      <c r="K2150" s="46"/>
      <c r="L2150" s="46"/>
      <c r="M2150" s="46"/>
      <c r="N2150" s="46"/>
      <c r="O2150" s="46"/>
      <c r="P2150" s="46"/>
      <c r="Q2150" s="46"/>
      <c r="R2150" s="46"/>
      <c r="S2150" s="46"/>
      <c r="T2150" s="46"/>
      <c r="U2150" s="46"/>
      <c r="V2150" s="46"/>
      <c r="W2150" s="46"/>
      <c r="X2150" s="46"/>
      <c r="Y2150" s="46"/>
      <c r="Z2150" s="46"/>
    </row>
    <row r="2151" ht="22.5" customHeight="1">
      <c r="A2151" s="11">
        <v>2149.0</v>
      </c>
      <c r="B2151" s="20">
        <v>37.0</v>
      </c>
      <c r="C2151" s="21" t="s">
        <v>12896</v>
      </c>
      <c r="D2151" s="21" t="s">
        <v>12897</v>
      </c>
      <c r="E2151" s="21" t="s">
        <v>12898</v>
      </c>
      <c r="F2151" s="14" t="s">
        <v>18</v>
      </c>
      <c r="G2151" s="15"/>
      <c r="H2151" s="46"/>
      <c r="I2151" s="46"/>
      <c r="J2151" s="46"/>
      <c r="K2151" s="46"/>
      <c r="L2151" s="46"/>
      <c r="M2151" s="46"/>
      <c r="N2151" s="46"/>
      <c r="O2151" s="46"/>
      <c r="P2151" s="46"/>
      <c r="Q2151" s="46"/>
      <c r="R2151" s="46"/>
      <c r="S2151" s="46"/>
      <c r="T2151" s="46"/>
      <c r="U2151" s="46"/>
      <c r="V2151" s="46"/>
      <c r="W2151" s="46"/>
      <c r="X2151" s="46"/>
      <c r="Y2151" s="46"/>
      <c r="Z2151" s="46"/>
    </row>
    <row r="2152" ht="22.5" customHeight="1">
      <c r="A2152" s="17">
        <v>2150.0</v>
      </c>
      <c r="B2152" s="20">
        <v>37.0</v>
      </c>
      <c r="C2152" s="21" t="s">
        <v>12899</v>
      </c>
      <c r="D2152" s="21" t="s">
        <v>12900</v>
      </c>
      <c r="E2152" s="21" t="s">
        <v>12901</v>
      </c>
      <c r="F2152" s="14" t="s">
        <v>18</v>
      </c>
      <c r="G2152" s="15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  <c r="S2152" s="46"/>
      <c r="T2152" s="46"/>
      <c r="U2152" s="46"/>
      <c r="V2152" s="46"/>
      <c r="W2152" s="46"/>
      <c r="X2152" s="46"/>
      <c r="Y2152" s="46"/>
      <c r="Z2152" s="46"/>
    </row>
    <row r="2153" ht="22.5" customHeight="1">
      <c r="A2153" s="11">
        <v>2151.0</v>
      </c>
      <c r="B2153" s="20">
        <v>37.0</v>
      </c>
      <c r="C2153" s="21" t="s">
        <v>12902</v>
      </c>
      <c r="D2153" s="21" t="s">
        <v>12903</v>
      </c>
      <c r="E2153" s="21" t="s">
        <v>12904</v>
      </c>
      <c r="F2153" s="15"/>
      <c r="G2153" s="15"/>
      <c r="H2153" s="46"/>
      <c r="I2153" s="46"/>
      <c r="J2153" s="46"/>
      <c r="K2153" s="46"/>
      <c r="L2153" s="46"/>
      <c r="M2153" s="46"/>
      <c r="N2153" s="46"/>
      <c r="O2153" s="46"/>
      <c r="P2153" s="46"/>
      <c r="Q2153" s="46"/>
      <c r="R2153" s="46"/>
      <c r="S2153" s="46"/>
      <c r="T2153" s="46"/>
      <c r="U2153" s="46"/>
      <c r="V2153" s="46"/>
      <c r="W2153" s="46"/>
      <c r="X2153" s="46"/>
      <c r="Y2153" s="46"/>
      <c r="Z2153" s="46"/>
    </row>
    <row r="2154" ht="22.5" customHeight="1">
      <c r="A2154" s="17">
        <v>2152.0</v>
      </c>
      <c r="B2154" s="20">
        <v>37.0</v>
      </c>
      <c r="C2154" s="21" t="s">
        <v>12905</v>
      </c>
      <c r="D2154" s="21" t="s">
        <v>12906</v>
      </c>
      <c r="E2154" s="21" t="s">
        <v>12907</v>
      </c>
      <c r="F2154" s="15"/>
      <c r="G2154" s="15"/>
      <c r="H2154" s="46"/>
      <c r="I2154" s="46"/>
      <c r="J2154" s="46"/>
      <c r="K2154" s="46"/>
      <c r="L2154" s="46"/>
      <c r="M2154" s="46"/>
      <c r="N2154" s="46"/>
      <c r="O2154" s="46"/>
      <c r="P2154" s="46"/>
      <c r="Q2154" s="46"/>
      <c r="R2154" s="46"/>
      <c r="S2154" s="46"/>
      <c r="T2154" s="46"/>
      <c r="U2154" s="46"/>
      <c r="V2154" s="46"/>
      <c r="W2154" s="46"/>
      <c r="X2154" s="46"/>
      <c r="Y2154" s="46"/>
      <c r="Z2154" s="46"/>
    </row>
    <row r="2155" ht="22.5" customHeight="1">
      <c r="A2155" s="11">
        <v>2153.0</v>
      </c>
      <c r="B2155" s="20">
        <v>37.0</v>
      </c>
      <c r="C2155" s="21" t="s">
        <v>9817</v>
      </c>
      <c r="D2155" s="21" t="s">
        <v>9818</v>
      </c>
      <c r="E2155" s="21" t="s">
        <v>9819</v>
      </c>
      <c r="F2155" s="15"/>
      <c r="G2155" s="15"/>
      <c r="H2155" s="46"/>
      <c r="I2155" s="46"/>
      <c r="J2155" s="46"/>
      <c r="K2155" s="46"/>
      <c r="L2155" s="46"/>
      <c r="M2155" s="46"/>
      <c r="N2155" s="46"/>
      <c r="O2155" s="46"/>
      <c r="P2155" s="46"/>
      <c r="Q2155" s="46"/>
      <c r="R2155" s="46"/>
      <c r="S2155" s="46"/>
      <c r="T2155" s="46"/>
      <c r="U2155" s="46"/>
      <c r="V2155" s="46"/>
      <c r="W2155" s="46"/>
      <c r="X2155" s="46"/>
      <c r="Y2155" s="46"/>
      <c r="Z2155" s="46"/>
    </row>
    <row r="2156" ht="22.5" customHeight="1">
      <c r="A2156" s="17">
        <v>2154.0</v>
      </c>
      <c r="B2156" s="20">
        <v>37.0</v>
      </c>
      <c r="C2156" s="21" t="s">
        <v>12908</v>
      </c>
      <c r="D2156" s="21" t="s">
        <v>12909</v>
      </c>
      <c r="E2156" s="21" t="s">
        <v>12910</v>
      </c>
      <c r="F2156" s="15"/>
      <c r="G2156" s="15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  <c r="S2156" s="46"/>
      <c r="T2156" s="46"/>
      <c r="U2156" s="46"/>
      <c r="V2156" s="46"/>
      <c r="W2156" s="46"/>
      <c r="X2156" s="46"/>
      <c r="Y2156" s="46"/>
      <c r="Z2156" s="46"/>
    </row>
    <row r="2157" ht="22.5" customHeight="1">
      <c r="A2157" s="11">
        <v>2155.0</v>
      </c>
      <c r="B2157" s="20">
        <v>37.0</v>
      </c>
      <c r="C2157" s="21" t="s">
        <v>10145</v>
      </c>
      <c r="D2157" s="21" t="s">
        <v>10146</v>
      </c>
      <c r="E2157" s="21" t="s">
        <v>10147</v>
      </c>
      <c r="F2157" s="15"/>
      <c r="G2157" s="15"/>
      <c r="H2157" s="46"/>
      <c r="I2157" s="46"/>
      <c r="J2157" s="46"/>
      <c r="K2157" s="46"/>
      <c r="L2157" s="46"/>
      <c r="M2157" s="46"/>
      <c r="N2157" s="46"/>
      <c r="O2157" s="46"/>
      <c r="P2157" s="46"/>
      <c r="Q2157" s="46"/>
      <c r="R2157" s="46"/>
      <c r="S2157" s="46"/>
      <c r="T2157" s="46"/>
      <c r="U2157" s="46"/>
      <c r="V2157" s="46"/>
      <c r="W2157" s="46"/>
      <c r="X2157" s="46"/>
      <c r="Y2157" s="46"/>
      <c r="Z2157" s="46"/>
    </row>
    <row r="2158" ht="22.5" customHeight="1">
      <c r="A2158" s="17">
        <v>2156.0</v>
      </c>
      <c r="B2158" s="20">
        <v>37.0</v>
      </c>
      <c r="C2158" s="21" t="s">
        <v>12435</v>
      </c>
      <c r="D2158" s="21" t="s">
        <v>2506</v>
      </c>
      <c r="E2158" s="21" t="s">
        <v>2507</v>
      </c>
      <c r="F2158" s="15"/>
      <c r="G2158" s="15"/>
      <c r="H2158" s="46"/>
      <c r="I2158" s="46"/>
      <c r="J2158" s="46"/>
      <c r="K2158" s="46"/>
      <c r="L2158" s="46"/>
      <c r="M2158" s="46"/>
      <c r="N2158" s="46"/>
      <c r="O2158" s="46"/>
      <c r="P2158" s="46"/>
      <c r="Q2158" s="46"/>
      <c r="R2158" s="46"/>
      <c r="S2158" s="46"/>
      <c r="T2158" s="46"/>
      <c r="U2158" s="46"/>
      <c r="V2158" s="46"/>
      <c r="W2158" s="46"/>
      <c r="X2158" s="46"/>
      <c r="Y2158" s="46"/>
      <c r="Z2158" s="46"/>
    </row>
    <row r="2159" ht="22.5" customHeight="1">
      <c r="A2159" s="11">
        <v>2157.0</v>
      </c>
      <c r="B2159" s="20">
        <v>37.0</v>
      </c>
      <c r="C2159" s="21" t="s">
        <v>9500</v>
      </c>
      <c r="D2159" s="21" t="s">
        <v>9501</v>
      </c>
      <c r="E2159" s="21" t="s">
        <v>9502</v>
      </c>
      <c r="F2159" s="15"/>
      <c r="G2159" s="15"/>
      <c r="H2159" s="46"/>
      <c r="I2159" s="46"/>
      <c r="J2159" s="46"/>
      <c r="K2159" s="46"/>
      <c r="L2159" s="46"/>
      <c r="M2159" s="46"/>
      <c r="N2159" s="46"/>
      <c r="O2159" s="46"/>
      <c r="P2159" s="46"/>
      <c r="Q2159" s="46"/>
      <c r="R2159" s="46"/>
      <c r="S2159" s="46"/>
      <c r="T2159" s="46"/>
      <c r="U2159" s="46"/>
      <c r="V2159" s="46"/>
      <c r="W2159" s="46"/>
      <c r="X2159" s="46"/>
      <c r="Y2159" s="46"/>
      <c r="Z2159" s="46"/>
    </row>
    <row r="2160" ht="22.5" customHeight="1">
      <c r="A2160" s="17">
        <v>2158.0</v>
      </c>
      <c r="B2160" s="20">
        <v>37.0</v>
      </c>
      <c r="C2160" s="21" t="s">
        <v>12911</v>
      </c>
      <c r="D2160" s="21" t="s">
        <v>12912</v>
      </c>
      <c r="E2160" s="21" t="s">
        <v>12913</v>
      </c>
      <c r="F2160" s="14" t="s">
        <v>18</v>
      </c>
      <c r="G2160" s="15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  <c r="S2160" s="46"/>
      <c r="T2160" s="46"/>
      <c r="U2160" s="46"/>
      <c r="V2160" s="46"/>
      <c r="W2160" s="46"/>
      <c r="X2160" s="46"/>
      <c r="Y2160" s="46"/>
      <c r="Z2160" s="46"/>
    </row>
    <row r="2161" ht="22.5" customHeight="1">
      <c r="A2161" s="11">
        <v>2159.0</v>
      </c>
      <c r="B2161" s="20">
        <v>37.0</v>
      </c>
      <c r="C2161" s="21" t="s">
        <v>12914</v>
      </c>
      <c r="D2161" s="21" t="s">
        <v>12915</v>
      </c>
      <c r="E2161" s="21" t="s">
        <v>12916</v>
      </c>
      <c r="F2161" s="15"/>
      <c r="G2161" s="15"/>
      <c r="H2161" s="46"/>
      <c r="I2161" s="46"/>
      <c r="J2161" s="46"/>
      <c r="K2161" s="46"/>
      <c r="L2161" s="46"/>
      <c r="M2161" s="46"/>
      <c r="N2161" s="46"/>
      <c r="O2161" s="46"/>
      <c r="P2161" s="46"/>
      <c r="Q2161" s="46"/>
      <c r="R2161" s="46"/>
      <c r="S2161" s="46"/>
      <c r="T2161" s="46"/>
      <c r="U2161" s="46"/>
      <c r="V2161" s="46"/>
      <c r="W2161" s="46"/>
      <c r="X2161" s="46"/>
      <c r="Y2161" s="46"/>
      <c r="Z2161" s="46"/>
    </row>
    <row r="2162" ht="22.5" customHeight="1">
      <c r="A2162" s="17">
        <v>2160.0</v>
      </c>
      <c r="B2162" s="20">
        <v>37.0</v>
      </c>
      <c r="C2162" s="21" t="s">
        <v>10152</v>
      </c>
      <c r="D2162" s="21" t="s">
        <v>10153</v>
      </c>
      <c r="E2162" s="21" t="s">
        <v>10154</v>
      </c>
      <c r="F2162" s="15"/>
      <c r="G2162" s="15"/>
      <c r="H2162" s="46"/>
      <c r="I2162" s="46"/>
      <c r="J2162" s="46"/>
      <c r="K2162" s="46"/>
      <c r="L2162" s="46"/>
      <c r="M2162" s="46"/>
      <c r="N2162" s="46"/>
      <c r="O2162" s="46"/>
      <c r="P2162" s="46"/>
      <c r="Q2162" s="46"/>
      <c r="R2162" s="46"/>
      <c r="S2162" s="46"/>
      <c r="T2162" s="46"/>
      <c r="U2162" s="46"/>
      <c r="V2162" s="46"/>
      <c r="W2162" s="46"/>
      <c r="X2162" s="46"/>
      <c r="Y2162" s="46"/>
      <c r="Z2162" s="46"/>
    </row>
    <row r="2163" ht="22.5" customHeight="1">
      <c r="A2163" s="11">
        <v>2161.0</v>
      </c>
      <c r="B2163" s="20">
        <v>37.0</v>
      </c>
      <c r="C2163" s="21" t="s">
        <v>8892</v>
      </c>
      <c r="D2163" s="21" t="s">
        <v>8893</v>
      </c>
      <c r="E2163" s="21" t="s">
        <v>12917</v>
      </c>
      <c r="F2163" s="15"/>
      <c r="G2163" s="15"/>
      <c r="H2163" s="46"/>
      <c r="I2163" s="46"/>
      <c r="J2163" s="46"/>
      <c r="K2163" s="46"/>
      <c r="L2163" s="46"/>
      <c r="M2163" s="46"/>
      <c r="N2163" s="46"/>
      <c r="O2163" s="46"/>
      <c r="P2163" s="46"/>
      <c r="Q2163" s="46"/>
      <c r="R2163" s="46"/>
      <c r="S2163" s="46"/>
      <c r="T2163" s="46"/>
      <c r="U2163" s="46"/>
      <c r="V2163" s="46"/>
      <c r="W2163" s="46"/>
      <c r="X2163" s="46"/>
      <c r="Y2163" s="46"/>
      <c r="Z2163" s="46"/>
    </row>
    <row r="2164" ht="22.5" customHeight="1">
      <c r="A2164" s="17">
        <v>2162.0</v>
      </c>
      <c r="B2164" s="20">
        <v>37.0</v>
      </c>
      <c r="C2164" s="21" t="s">
        <v>12918</v>
      </c>
      <c r="D2164" s="21" t="s">
        <v>12919</v>
      </c>
      <c r="E2164" s="21" t="s">
        <v>12920</v>
      </c>
      <c r="F2164" s="14" t="s">
        <v>18</v>
      </c>
      <c r="G2164" s="15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  <c r="S2164" s="46"/>
      <c r="T2164" s="46"/>
      <c r="U2164" s="46"/>
      <c r="V2164" s="46"/>
      <c r="W2164" s="46"/>
      <c r="X2164" s="46"/>
      <c r="Y2164" s="46"/>
      <c r="Z2164" s="46"/>
    </row>
    <row r="2165" ht="22.5" customHeight="1">
      <c r="A2165" s="11">
        <v>2163.0</v>
      </c>
      <c r="B2165" s="20">
        <v>37.0</v>
      </c>
      <c r="C2165" s="21" t="s">
        <v>12921</v>
      </c>
      <c r="D2165" s="21" t="s">
        <v>12922</v>
      </c>
      <c r="E2165" s="21" t="s">
        <v>12923</v>
      </c>
      <c r="F2165" s="14" t="s">
        <v>18</v>
      </c>
      <c r="G2165" s="15"/>
      <c r="H2165" s="46"/>
      <c r="I2165" s="46"/>
      <c r="J2165" s="46"/>
      <c r="K2165" s="46"/>
      <c r="L2165" s="46"/>
      <c r="M2165" s="46"/>
      <c r="N2165" s="46"/>
      <c r="O2165" s="46"/>
      <c r="P2165" s="46"/>
      <c r="Q2165" s="46"/>
      <c r="R2165" s="46"/>
      <c r="S2165" s="46"/>
      <c r="T2165" s="46"/>
      <c r="U2165" s="46"/>
      <c r="V2165" s="46"/>
      <c r="W2165" s="46"/>
      <c r="X2165" s="46"/>
      <c r="Y2165" s="46"/>
      <c r="Z2165" s="46"/>
    </row>
    <row r="2166" ht="22.5" customHeight="1">
      <c r="A2166" s="17">
        <v>2164.0</v>
      </c>
      <c r="B2166" s="20">
        <v>37.0</v>
      </c>
      <c r="C2166" s="21" t="s">
        <v>12924</v>
      </c>
      <c r="D2166" s="21" t="s">
        <v>12925</v>
      </c>
      <c r="E2166" s="21" t="s">
        <v>12926</v>
      </c>
      <c r="F2166" s="14" t="s">
        <v>18</v>
      </c>
      <c r="G2166" s="15"/>
      <c r="H2166" s="46"/>
      <c r="I2166" s="46"/>
      <c r="J2166" s="46"/>
      <c r="K2166" s="46"/>
      <c r="L2166" s="46"/>
      <c r="M2166" s="46"/>
      <c r="N2166" s="46"/>
      <c r="O2166" s="46"/>
      <c r="P2166" s="46"/>
      <c r="Q2166" s="46"/>
      <c r="R2166" s="46"/>
      <c r="S2166" s="46"/>
      <c r="T2166" s="46"/>
      <c r="U2166" s="46"/>
      <c r="V2166" s="46"/>
      <c r="W2166" s="46"/>
      <c r="X2166" s="46"/>
      <c r="Y2166" s="46"/>
      <c r="Z2166" s="46"/>
    </row>
    <row r="2167" ht="22.5" customHeight="1">
      <c r="A2167" s="11">
        <v>2165.0</v>
      </c>
      <c r="B2167" s="20">
        <v>37.0</v>
      </c>
      <c r="C2167" s="21" t="s">
        <v>10061</v>
      </c>
      <c r="D2167" s="21" t="s">
        <v>10062</v>
      </c>
      <c r="E2167" s="21" t="s">
        <v>12927</v>
      </c>
      <c r="F2167" s="15"/>
      <c r="G2167" s="15"/>
      <c r="H2167" s="46"/>
      <c r="I2167" s="46"/>
      <c r="J2167" s="46"/>
      <c r="K2167" s="46"/>
      <c r="L2167" s="46"/>
      <c r="M2167" s="46"/>
      <c r="N2167" s="46"/>
      <c r="O2167" s="46"/>
      <c r="P2167" s="46"/>
      <c r="Q2167" s="46"/>
      <c r="R2167" s="46"/>
      <c r="S2167" s="46"/>
      <c r="T2167" s="46"/>
      <c r="U2167" s="46"/>
      <c r="V2167" s="46"/>
      <c r="W2167" s="46"/>
      <c r="X2167" s="46"/>
      <c r="Y2167" s="46"/>
      <c r="Z2167" s="46"/>
    </row>
    <row r="2168" ht="22.5" customHeight="1">
      <c r="A2168" s="17">
        <v>2166.0</v>
      </c>
      <c r="B2168" s="20">
        <v>36.0</v>
      </c>
      <c r="C2168" s="21" t="s">
        <v>10025</v>
      </c>
      <c r="D2168" s="21" t="s">
        <v>2423</v>
      </c>
      <c r="E2168" s="21" t="s">
        <v>2424</v>
      </c>
      <c r="F2168" s="15"/>
      <c r="G2168" s="15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  <c r="S2168" s="46"/>
      <c r="T2168" s="46"/>
      <c r="U2168" s="46"/>
      <c r="V2168" s="46"/>
      <c r="W2168" s="46"/>
      <c r="X2168" s="46"/>
      <c r="Y2168" s="46"/>
      <c r="Z2168" s="46"/>
    </row>
    <row r="2169" ht="22.5" customHeight="1">
      <c r="A2169" s="11">
        <v>2167.0</v>
      </c>
      <c r="B2169" s="20">
        <v>36.0</v>
      </c>
      <c r="C2169" s="21" t="s">
        <v>12849</v>
      </c>
      <c r="D2169" s="21" t="s">
        <v>12850</v>
      </c>
      <c r="E2169" s="21" t="s">
        <v>12851</v>
      </c>
      <c r="F2169" s="15"/>
      <c r="G2169" s="15"/>
      <c r="H2169" s="46"/>
      <c r="I2169" s="46"/>
      <c r="J2169" s="46"/>
      <c r="K2169" s="46"/>
      <c r="L2169" s="46"/>
      <c r="M2169" s="46"/>
      <c r="N2169" s="46"/>
      <c r="O2169" s="46"/>
      <c r="P2169" s="46"/>
      <c r="Q2169" s="46"/>
      <c r="R2169" s="46"/>
      <c r="S2169" s="46"/>
      <c r="T2169" s="46"/>
      <c r="U2169" s="46"/>
      <c r="V2169" s="46"/>
      <c r="W2169" s="46"/>
      <c r="X2169" s="46"/>
      <c r="Y2169" s="46"/>
      <c r="Z2169" s="46"/>
    </row>
    <row r="2170" ht="22.5" customHeight="1">
      <c r="A2170" s="17">
        <v>2168.0</v>
      </c>
      <c r="B2170" s="20">
        <v>36.0</v>
      </c>
      <c r="C2170" s="21" t="s">
        <v>4772</v>
      </c>
      <c r="D2170" s="21" t="s">
        <v>4771</v>
      </c>
      <c r="E2170" s="21" t="s">
        <v>12848</v>
      </c>
      <c r="F2170" s="15"/>
      <c r="G2170" s="15"/>
      <c r="H2170" s="46"/>
      <c r="I2170" s="46"/>
      <c r="J2170" s="46"/>
      <c r="K2170" s="46"/>
      <c r="L2170" s="46"/>
      <c r="M2170" s="46"/>
      <c r="N2170" s="46"/>
      <c r="O2170" s="46"/>
      <c r="P2170" s="46"/>
      <c r="Q2170" s="46"/>
      <c r="R2170" s="46"/>
      <c r="S2170" s="46"/>
      <c r="T2170" s="46"/>
      <c r="U2170" s="46"/>
      <c r="V2170" s="46"/>
      <c r="W2170" s="46"/>
      <c r="X2170" s="46"/>
      <c r="Y2170" s="46"/>
      <c r="Z2170" s="46"/>
    </row>
    <row r="2171" ht="22.5" customHeight="1">
      <c r="A2171" s="11">
        <v>2169.0</v>
      </c>
      <c r="B2171" s="20">
        <v>36.0</v>
      </c>
      <c r="C2171" s="21" t="s">
        <v>4660</v>
      </c>
      <c r="D2171" s="21" t="s">
        <v>4659</v>
      </c>
      <c r="E2171" s="21" t="s">
        <v>12928</v>
      </c>
      <c r="F2171" s="15"/>
      <c r="G2171" s="15"/>
      <c r="H2171" s="46"/>
      <c r="I2171" s="46"/>
      <c r="J2171" s="46"/>
      <c r="K2171" s="46"/>
      <c r="L2171" s="46"/>
      <c r="M2171" s="46"/>
      <c r="N2171" s="46"/>
      <c r="O2171" s="46"/>
      <c r="P2171" s="46"/>
      <c r="Q2171" s="46"/>
      <c r="R2171" s="46"/>
      <c r="S2171" s="46"/>
      <c r="T2171" s="46"/>
      <c r="U2171" s="46"/>
      <c r="V2171" s="46"/>
      <c r="W2171" s="46"/>
      <c r="X2171" s="46"/>
      <c r="Y2171" s="46"/>
      <c r="Z2171" s="46"/>
    </row>
    <row r="2172" ht="22.5" customHeight="1">
      <c r="A2172" s="17">
        <v>2170.0</v>
      </c>
      <c r="B2172" s="20">
        <v>36.0</v>
      </c>
      <c r="C2172" s="21" t="s">
        <v>8827</v>
      </c>
      <c r="D2172" s="21" t="s">
        <v>8828</v>
      </c>
      <c r="E2172" s="21" t="s">
        <v>8829</v>
      </c>
      <c r="F2172" s="15"/>
      <c r="G2172" s="15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  <c r="S2172" s="46"/>
      <c r="T2172" s="46"/>
      <c r="U2172" s="46"/>
      <c r="V2172" s="46"/>
      <c r="W2172" s="46"/>
      <c r="X2172" s="46"/>
      <c r="Y2172" s="46"/>
      <c r="Z2172" s="46"/>
    </row>
    <row r="2173" ht="22.5" customHeight="1">
      <c r="A2173" s="11">
        <v>2171.0</v>
      </c>
      <c r="B2173" s="20">
        <v>36.0</v>
      </c>
      <c r="C2173" s="21" t="s">
        <v>12929</v>
      </c>
      <c r="D2173" s="21" t="s">
        <v>12930</v>
      </c>
      <c r="E2173" s="21" t="s">
        <v>12931</v>
      </c>
      <c r="F2173" s="15"/>
      <c r="G2173" s="15"/>
      <c r="H2173" s="46"/>
      <c r="I2173" s="46"/>
      <c r="J2173" s="46"/>
      <c r="K2173" s="46"/>
      <c r="L2173" s="46"/>
      <c r="M2173" s="46"/>
      <c r="N2173" s="46"/>
      <c r="O2173" s="46"/>
      <c r="P2173" s="46"/>
      <c r="Q2173" s="46"/>
      <c r="R2173" s="46"/>
      <c r="S2173" s="46"/>
      <c r="T2173" s="46"/>
      <c r="U2173" s="46"/>
      <c r="V2173" s="46"/>
      <c r="W2173" s="46"/>
      <c r="X2173" s="46"/>
      <c r="Y2173" s="46"/>
      <c r="Z2173" s="46"/>
    </row>
    <row r="2174" ht="22.5" customHeight="1">
      <c r="A2174" s="17">
        <v>2172.0</v>
      </c>
      <c r="B2174" s="20">
        <v>36.0</v>
      </c>
      <c r="C2174" s="21" t="s">
        <v>12932</v>
      </c>
      <c r="D2174" s="21" t="s">
        <v>12933</v>
      </c>
      <c r="E2174" s="21" t="s">
        <v>12934</v>
      </c>
      <c r="F2174" s="14" t="s">
        <v>18</v>
      </c>
      <c r="G2174" s="15"/>
      <c r="H2174" s="46"/>
      <c r="I2174" s="46"/>
      <c r="J2174" s="46"/>
      <c r="K2174" s="46"/>
      <c r="L2174" s="46"/>
      <c r="M2174" s="46"/>
      <c r="N2174" s="46"/>
      <c r="O2174" s="46"/>
      <c r="P2174" s="46"/>
      <c r="Q2174" s="46"/>
      <c r="R2174" s="46"/>
      <c r="S2174" s="46"/>
      <c r="T2174" s="46"/>
      <c r="U2174" s="46"/>
      <c r="V2174" s="46"/>
      <c r="W2174" s="46"/>
      <c r="X2174" s="46"/>
      <c r="Y2174" s="46"/>
      <c r="Z2174" s="46"/>
    </row>
    <row r="2175" ht="22.5" customHeight="1">
      <c r="A2175" s="11">
        <v>2173.0</v>
      </c>
      <c r="B2175" s="20">
        <v>36.0</v>
      </c>
      <c r="C2175" s="21" t="s">
        <v>12935</v>
      </c>
      <c r="D2175" s="21" t="s">
        <v>12936</v>
      </c>
      <c r="E2175" s="21" t="s">
        <v>12937</v>
      </c>
      <c r="F2175" s="15"/>
      <c r="G2175" s="15"/>
      <c r="H2175" s="46"/>
      <c r="I2175" s="46"/>
      <c r="J2175" s="46"/>
      <c r="K2175" s="46"/>
      <c r="L2175" s="46"/>
      <c r="M2175" s="46"/>
      <c r="N2175" s="46"/>
      <c r="O2175" s="46"/>
      <c r="P2175" s="46"/>
      <c r="Q2175" s="46"/>
      <c r="R2175" s="46"/>
      <c r="S2175" s="46"/>
      <c r="T2175" s="46"/>
      <c r="U2175" s="46"/>
      <c r="V2175" s="46"/>
      <c r="W2175" s="46"/>
      <c r="X2175" s="46"/>
      <c r="Y2175" s="46"/>
      <c r="Z2175" s="46"/>
    </row>
    <row r="2176" ht="22.5" customHeight="1">
      <c r="A2176" s="17">
        <v>2174.0</v>
      </c>
      <c r="B2176" s="20">
        <v>36.0</v>
      </c>
      <c r="C2176" s="21" t="s">
        <v>4769</v>
      </c>
      <c r="D2176" s="21" t="s">
        <v>4768</v>
      </c>
      <c r="E2176" s="21" t="s">
        <v>12938</v>
      </c>
      <c r="F2176" s="14" t="s">
        <v>18</v>
      </c>
      <c r="G2176" s="15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  <c r="S2176" s="46"/>
      <c r="T2176" s="46"/>
      <c r="U2176" s="46"/>
      <c r="V2176" s="46"/>
      <c r="W2176" s="46"/>
      <c r="X2176" s="46"/>
      <c r="Y2176" s="46"/>
      <c r="Z2176" s="46"/>
    </row>
    <row r="2177" ht="22.5" customHeight="1">
      <c r="A2177" s="11">
        <v>2175.0</v>
      </c>
      <c r="B2177" s="20">
        <v>36.0</v>
      </c>
      <c r="C2177" s="21" t="s">
        <v>12939</v>
      </c>
      <c r="D2177" s="21" t="s">
        <v>12940</v>
      </c>
      <c r="E2177" s="21" t="s">
        <v>12941</v>
      </c>
      <c r="F2177" s="15"/>
      <c r="G2177" s="15"/>
      <c r="H2177" s="46"/>
      <c r="I2177" s="46"/>
      <c r="J2177" s="46"/>
      <c r="K2177" s="46"/>
      <c r="L2177" s="46"/>
      <c r="M2177" s="46"/>
      <c r="N2177" s="46"/>
      <c r="O2177" s="46"/>
      <c r="P2177" s="46"/>
      <c r="Q2177" s="46"/>
      <c r="R2177" s="46"/>
      <c r="S2177" s="46"/>
      <c r="T2177" s="46"/>
      <c r="U2177" s="46"/>
      <c r="V2177" s="46"/>
      <c r="W2177" s="46"/>
      <c r="X2177" s="46"/>
      <c r="Y2177" s="46"/>
      <c r="Z2177" s="46"/>
    </row>
    <row r="2178" ht="22.5" customHeight="1">
      <c r="A2178" s="17">
        <v>2176.0</v>
      </c>
      <c r="B2178" s="20">
        <v>36.0</v>
      </c>
      <c r="C2178" s="21" t="s">
        <v>12707</v>
      </c>
      <c r="D2178" s="21" t="s">
        <v>12708</v>
      </c>
      <c r="E2178" s="21" t="s">
        <v>12942</v>
      </c>
      <c r="F2178" s="15"/>
      <c r="G2178" s="15"/>
      <c r="H2178" s="46"/>
      <c r="I2178" s="46"/>
      <c r="J2178" s="46"/>
      <c r="K2178" s="46"/>
      <c r="L2178" s="46"/>
      <c r="M2178" s="46"/>
      <c r="N2178" s="46"/>
      <c r="O2178" s="46"/>
      <c r="P2178" s="46"/>
      <c r="Q2178" s="46"/>
      <c r="R2178" s="46"/>
      <c r="S2178" s="46"/>
      <c r="T2178" s="46"/>
      <c r="U2178" s="46"/>
      <c r="V2178" s="46"/>
      <c r="W2178" s="46"/>
      <c r="X2178" s="46"/>
      <c r="Y2178" s="46"/>
      <c r="Z2178" s="46"/>
    </row>
    <row r="2179" ht="22.5" customHeight="1">
      <c r="A2179" s="11">
        <v>2177.0</v>
      </c>
      <c r="B2179" s="20">
        <v>36.0</v>
      </c>
      <c r="C2179" s="21" t="s">
        <v>12102</v>
      </c>
      <c r="D2179" s="21" t="s">
        <v>12103</v>
      </c>
      <c r="E2179" s="21" t="s">
        <v>12104</v>
      </c>
      <c r="F2179" s="15"/>
      <c r="G2179" s="15"/>
      <c r="H2179" s="46"/>
      <c r="I2179" s="46"/>
      <c r="J2179" s="46"/>
      <c r="K2179" s="46"/>
      <c r="L2179" s="46"/>
      <c r="M2179" s="46"/>
      <c r="N2179" s="46"/>
      <c r="O2179" s="46"/>
      <c r="P2179" s="46"/>
      <c r="Q2179" s="46"/>
      <c r="R2179" s="46"/>
      <c r="S2179" s="46"/>
      <c r="T2179" s="46"/>
      <c r="U2179" s="46"/>
      <c r="V2179" s="46"/>
      <c r="W2179" s="46"/>
      <c r="X2179" s="46"/>
      <c r="Y2179" s="46"/>
      <c r="Z2179" s="46"/>
    </row>
    <row r="2180" ht="22.5" customHeight="1">
      <c r="A2180" s="17">
        <v>2178.0</v>
      </c>
      <c r="B2180" s="20">
        <v>36.0</v>
      </c>
      <c r="C2180" s="21" t="s">
        <v>5602</v>
      </c>
      <c r="D2180" s="21" t="s">
        <v>5601</v>
      </c>
      <c r="E2180" s="21" t="s">
        <v>11222</v>
      </c>
      <c r="F2180" s="15"/>
      <c r="G2180" s="15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  <c r="S2180" s="46"/>
      <c r="T2180" s="46"/>
      <c r="U2180" s="46"/>
      <c r="V2180" s="46"/>
      <c r="W2180" s="46"/>
      <c r="X2180" s="46"/>
      <c r="Y2180" s="46"/>
      <c r="Z2180" s="46"/>
    </row>
    <row r="2181" ht="22.5" customHeight="1">
      <c r="A2181" s="11">
        <v>2179.0</v>
      </c>
      <c r="B2181" s="20">
        <v>36.0</v>
      </c>
      <c r="C2181" s="21" t="s">
        <v>12943</v>
      </c>
      <c r="D2181" s="21" t="s">
        <v>12944</v>
      </c>
      <c r="E2181" s="21" t="s">
        <v>12945</v>
      </c>
      <c r="F2181" s="15"/>
      <c r="G2181" s="15"/>
      <c r="H2181" s="46"/>
      <c r="I2181" s="46"/>
      <c r="J2181" s="46"/>
      <c r="K2181" s="46"/>
      <c r="L2181" s="46"/>
      <c r="M2181" s="46"/>
      <c r="N2181" s="46"/>
      <c r="O2181" s="46"/>
      <c r="P2181" s="46"/>
      <c r="Q2181" s="46"/>
      <c r="R2181" s="46"/>
      <c r="S2181" s="46"/>
      <c r="T2181" s="46"/>
      <c r="U2181" s="46"/>
      <c r="V2181" s="46"/>
      <c r="W2181" s="46"/>
      <c r="X2181" s="46"/>
      <c r="Y2181" s="46"/>
      <c r="Z2181" s="46"/>
    </row>
    <row r="2182" ht="22.5" customHeight="1">
      <c r="A2182" s="17">
        <v>2180.0</v>
      </c>
      <c r="B2182" s="20">
        <v>36.0</v>
      </c>
      <c r="C2182" s="21" t="s">
        <v>12946</v>
      </c>
      <c r="D2182" s="21" t="s">
        <v>12947</v>
      </c>
      <c r="E2182" s="21" t="s">
        <v>12948</v>
      </c>
      <c r="F2182" s="14" t="s">
        <v>18</v>
      </c>
      <c r="G2182" s="15"/>
      <c r="H2182" s="46"/>
      <c r="I2182" s="46"/>
      <c r="J2182" s="46"/>
      <c r="K2182" s="46"/>
      <c r="L2182" s="46"/>
      <c r="M2182" s="46"/>
      <c r="N2182" s="46"/>
      <c r="O2182" s="46"/>
      <c r="P2182" s="46"/>
      <c r="Q2182" s="46"/>
      <c r="R2182" s="46"/>
      <c r="S2182" s="46"/>
      <c r="T2182" s="46"/>
      <c r="U2182" s="46"/>
      <c r="V2182" s="46"/>
      <c r="W2182" s="46"/>
      <c r="X2182" s="46"/>
      <c r="Y2182" s="46"/>
      <c r="Z2182" s="46"/>
    </row>
    <row r="2183" ht="22.5" customHeight="1">
      <c r="A2183" s="11">
        <v>2181.0</v>
      </c>
      <c r="B2183" s="20">
        <v>36.0</v>
      </c>
      <c r="C2183" s="21" t="s">
        <v>12949</v>
      </c>
      <c r="D2183" s="21" t="s">
        <v>12950</v>
      </c>
      <c r="E2183" s="21" t="s">
        <v>12951</v>
      </c>
      <c r="F2183" s="15"/>
      <c r="G2183" s="15"/>
      <c r="H2183" s="46"/>
      <c r="I2183" s="46"/>
      <c r="J2183" s="46"/>
      <c r="K2183" s="46"/>
      <c r="L2183" s="46"/>
      <c r="M2183" s="46"/>
      <c r="N2183" s="46"/>
      <c r="O2183" s="46"/>
      <c r="P2183" s="46"/>
      <c r="Q2183" s="46"/>
      <c r="R2183" s="46"/>
      <c r="S2183" s="46"/>
      <c r="T2183" s="46"/>
      <c r="U2183" s="46"/>
      <c r="V2183" s="46"/>
      <c r="W2183" s="46"/>
      <c r="X2183" s="46"/>
      <c r="Y2183" s="46"/>
      <c r="Z2183" s="46"/>
    </row>
    <row r="2184" ht="22.5" customHeight="1">
      <c r="A2184" s="17">
        <v>2182.0</v>
      </c>
      <c r="B2184" s="20">
        <v>36.0</v>
      </c>
      <c r="C2184" s="21" t="s">
        <v>12952</v>
      </c>
      <c r="D2184" s="21" t="s">
        <v>12953</v>
      </c>
      <c r="E2184" s="21" t="s">
        <v>12954</v>
      </c>
      <c r="F2184" s="15"/>
      <c r="G2184" s="15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  <c r="S2184" s="46"/>
      <c r="T2184" s="46"/>
      <c r="U2184" s="46"/>
      <c r="V2184" s="46"/>
      <c r="W2184" s="46"/>
      <c r="X2184" s="46"/>
      <c r="Y2184" s="46"/>
      <c r="Z2184" s="46"/>
    </row>
    <row r="2185" ht="22.5" customHeight="1">
      <c r="A2185" s="11">
        <v>2183.0</v>
      </c>
      <c r="B2185" s="20">
        <v>36.0</v>
      </c>
      <c r="C2185" s="21" t="s">
        <v>10422</v>
      </c>
      <c r="D2185" s="21" t="s">
        <v>10423</v>
      </c>
      <c r="E2185" s="21" t="s">
        <v>10424</v>
      </c>
      <c r="F2185" s="15"/>
      <c r="G2185" s="15"/>
      <c r="H2185" s="46"/>
      <c r="I2185" s="46"/>
      <c r="J2185" s="46"/>
      <c r="K2185" s="46"/>
      <c r="L2185" s="46"/>
      <c r="M2185" s="46"/>
      <c r="N2185" s="46"/>
      <c r="O2185" s="46"/>
      <c r="P2185" s="46"/>
      <c r="Q2185" s="46"/>
      <c r="R2185" s="46"/>
      <c r="S2185" s="46"/>
      <c r="T2185" s="46"/>
      <c r="U2185" s="46"/>
      <c r="V2185" s="46"/>
      <c r="W2185" s="46"/>
      <c r="X2185" s="46"/>
      <c r="Y2185" s="46"/>
      <c r="Z2185" s="46"/>
    </row>
    <row r="2186" ht="22.5" customHeight="1">
      <c r="A2186" s="17">
        <v>2184.0</v>
      </c>
      <c r="B2186" s="20">
        <v>35.0</v>
      </c>
      <c r="C2186" s="21" t="s">
        <v>8823</v>
      </c>
      <c r="D2186" s="21" t="s">
        <v>1627</v>
      </c>
      <c r="E2186" s="21" t="s">
        <v>1941</v>
      </c>
      <c r="F2186" s="15"/>
      <c r="G2186" s="15"/>
      <c r="H2186" s="46"/>
      <c r="I2186" s="46"/>
      <c r="J2186" s="46"/>
      <c r="K2186" s="46"/>
      <c r="L2186" s="46"/>
      <c r="M2186" s="46"/>
      <c r="N2186" s="46"/>
      <c r="O2186" s="46"/>
      <c r="P2186" s="46"/>
      <c r="Q2186" s="46"/>
      <c r="R2186" s="46"/>
      <c r="S2186" s="46"/>
      <c r="T2186" s="46"/>
      <c r="U2186" s="46"/>
      <c r="V2186" s="46"/>
      <c r="W2186" s="46"/>
      <c r="X2186" s="46"/>
      <c r="Y2186" s="46"/>
      <c r="Z2186" s="46"/>
    </row>
    <row r="2187" ht="22.5" customHeight="1">
      <c r="A2187" s="11">
        <v>2185.0</v>
      </c>
      <c r="B2187" s="20">
        <v>35.0</v>
      </c>
      <c r="C2187" s="21" t="s">
        <v>12955</v>
      </c>
      <c r="D2187" s="21" t="s">
        <v>12956</v>
      </c>
      <c r="E2187" s="21" t="s">
        <v>12957</v>
      </c>
      <c r="F2187" s="14" t="s">
        <v>18</v>
      </c>
      <c r="G2187" s="15"/>
      <c r="H2187" s="46"/>
      <c r="I2187" s="46"/>
      <c r="J2187" s="46"/>
      <c r="K2187" s="46"/>
      <c r="L2187" s="46"/>
      <c r="M2187" s="46"/>
      <c r="N2187" s="46"/>
      <c r="O2187" s="46"/>
      <c r="P2187" s="46"/>
      <c r="Q2187" s="46"/>
      <c r="R2187" s="46"/>
      <c r="S2187" s="46"/>
      <c r="T2187" s="46"/>
      <c r="U2187" s="46"/>
      <c r="V2187" s="46"/>
      <c r="W2187" s="46"/>
      <c r="X2187" s="46"/>
      <c r="Y2187" s="46"/>
      <c r="Z2187" s="46"/>
    </row>
    <row r="2188" ht="22.5" customHeight="1">
      <c r="A2188" s="17">
        <v>2186.0</v>
      </c>
      <c r="B2188" s="20">
        <v>35.0</v>
      </c>
      <c r="C2188" s="21" t="s">
        <v>10854</v>
      </c>
      <c r="D2188" s="21" t="s">
        <v>12958</v>
      </c>
      <c r="E2188" s="21" t="s">
        <v>12959</v>
      </c>
      <c r="F2188" s="15"/>
      <c r="G2188" s="15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  <c r="S2188" s="46"/>
      <c r="T2188" s="46"/>
      <c r="U2188" s="46"/>
      <c r="V2188" s="46"/>
      <c r="W2188" s="46"/>
      <c r="X2188" s="46"/>
      <c r="Y2188" s="46"/>
      <c r="Z2188" s="46"/>
    </row>
    <row r="2189" ht="22.5" customHeight="1">
      <c r="A2189" s="11">
        <v>2187.0</v>
      </c>
      <c r="B2189" s="20">
        <v>35.0</v>
      </c>
      <c r="C2189" s="21" t="s">
        <v>12960</v>
      </c>
      <c r="D2189" s="21" t="s">
        <v>12961</v>
      </c>
      <c r="E2189" s="21" t="s">
        <v>12962</v>
      </c>
      <c r="F2189" s="14" t="s">
        <v>18</v>
      </c>
      <c r="G2189" s="15"/>
      <c r="H2189" s="46"/>
      <c r="I2189" s="46"/>
      <c r="J2189" s="46"/>
      <c r="K2189" s="46"/>
      <c r="L2189" s="46"/>
      <c r="M2189" s="46"/>
      <c r="N2189" s="46"/>
      <c r="O2189" s="46"/>
      <c r="P2189" s="46"/>
      <c r="Q2189" s="46"/>
      <c r="R2189" s="46"/>
      <c r="S2189" s="46"/>
      <c r="T2189" s="46"/>
      <c r="U2189" s="46"/>
      <c r="V2189" s="46"/>
      <c r="W2189" s="46"/>
      <c r="X2189" s="46"/>
      <c r="Y2189" s="46"/>
      <c r="Z2189" s="46"/>
    </row>
    <row r="2190" ht="22.5" customHeight="1">
      <c r="A2190" s="17">
        <v>2188.0</v>
      </c>
      <c r="B2190" s="20">
        <v>35.0</v>
      </c>
      <c r="C2190" s="21" t="s">
        <v>9680</v>
      </c>
      <c r="D2190" s="21" t="s">
        <v>9681</v>
      </c>
      <c r="E2190" s="21" t="s">
        <v>9682</v>
      </c>
      <c r="F2190" s="15"/>
      <c r="G2190" s="15"/>
      <c r="H2190" s="46"/>
      <c r="I2190" s="46"/>
      <c r="J2190" s="46"/>
      <c r="K2190" s="46"/>
      <c r="L2190" s="46"/>
      <c r="M2190" s="46"/>
      <c r="N2190" s="46"/>
      <c r="O2190" s="46"/>
      <c r="P2190" s="46"/>
      <c r="Q2190" s="46"/>
      <c r="R2190" s="46"/>
      <c r="S2190" s="46"/>
      <c r="T2190" s="46"/>
      <c r="U2190" s="46"/>
      <c r="V2190" s="46"/>
      <c r="W2190" s="46"/>
      <c r="X2190" s="46"/>
      <c r="Y2190" s="46"/>
      <c r="Z2190" s="46"/>
    </row>
    <row r="2191" ht="22.5" customHeight="1">
      <c r="A2191" s="11">
        <v>2189.0</v>
      </c>
      <c r="B2191" s="20">
        <v>35.0</v>
      </c>
      <c r="C2191" s="21" t="s">
        <v>12963</v>
      </c>
      <c r="D2191" s="21" t="s">
        <v>12964</v>
      </c>
      <c r="E2191" s="21" t="s">
        <v>12965</v>
      </c>
      <c r="F2191" s="14" t="s">
        <v>18</v>
      </c>
      <c r="G2191" s="15"/>
      <c r="H2191" s="46"/>
      <c r="I2191" s="46"/>
      <c r="J2191" s="46"/>
      <c r="K2191" s="46"/>
      <c r="L2191" s="46"/>
      <c r="M2191" s="46"/>
      <c r="N2191" s="46"/>
      <c r="O2191" s="46"/>
      <c r="P2191" s="46"/>
      <c r="Q2191" s="46"/>
      <c r="R2191" s="46"/>
      <c r="S2191" s="46"/>
      <c r="T2191" s="46"/>
      <c r="U2191" s="46"/>
      <c r="V2191" s="46"/>
      <c r="W2191" s="46"/>
      <c r="X2191" s="46"/>
      <c r="Y2191" s="46"/>
      <c r="Z2191" s="46"/>
    </row>
    <row r="2192" ht="22.5" customHeight="1">
      <c r="A2192" s="17">
        <v>2190.0</v>
      </c>
      <c r="B2192" s="20">
        <v>35.0</v>
      </c>
      <c r="C2192" s="21" t="s">
        <v>10737</v>
      </c>
      <c r="D2192" s="21" t="s">
        <v>10738</v>
      </c>
      <c r="E2192" s="21" t="s">
        <v>10739</v>
      </c>
      <c r="F2192" s="15"/>
      <c r="G2192" s="15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  <c r="S2192" s="46"/>
      <c r="T2192" s="46"/>
      <c r="U2192" s="46"/>
      <c r="V2192" s="46"/>
      <c r="W2192" s="46"/>
      <c r="X2192" s="46"/>
      <c r="Y2192" s="46"/>
      <c r="Z2192" s="46"/>
    </row>
    <row r="2193" ht="22.5" customHeight="1">
      <c r="A2193" s="11">
        <v>2191.0</v>
      </c>
      <c r="B2193" s="20">
        <v>35.0</v>
      </c>
      <c r="C2193" s="21" t="s">
        <v>8830</v>
      </c>
      <c r="D2193" s="21" t="s">
        <v>8831</v>
      </c>
      <c r="E2193" s="21" t="s">
        <v>8832</v>
      </c>
      <c r="F2193" s="15"/>
      <c r="G2193" s="15"/>
      <c r="H2193" s="46"/>
      <c r="I2193" s="46"/>
      <c r="J2193" s="46"/>
      <c r="K2193" s="46"/>
      <c r="L2193" s="46"/>
      <c r="M2193" s="46"/>
      <c r="N2193" s="46"/>
      <c r="O2193" s="46"/>
      <c r="P2193" s="46"/>
      <c r="Q2193" s="46"/>
      <c r="R2193" s="46"/>
      <c r="S2193" s="46"/>
      <c r="T2193" s="46"/>
      <c r="U2193" s="46"/>
      <c r="V2193" s="46"/>
      <c r="W2193" s="46"/>
      <c r="X2193" s="46"/>
      <c r="Y2193" s="46"/>
      <c r="Z2193" s="46"/>
    </row>
    <row r="2194" ht="22.5" customHeight="1">
      <c r="A2194" s="17">
        <v>2192.0</v>
      </c>
      <c r="B2194" s="20">
        <v>35.0</v>
      </c>
      <c r="C2194" s="21" t="s">
        <v>12966</v>
      </c>
      <c r="D2194" s="21" t="s">
        <v>12967</v>
      </c>
      <c r="E2194" s="21" t="s">
        <v>12968</v>
      </c>
      <c r="F2194" s="15"/>
      <c r="G2194" s="15"/>
      <c r="H2194" s="46"/>
      <c r="I2194" s="46"/>
      <c r="J2194" s="46"/>
      <c r="K2194" s="46"/>
      <c r="L2194" s="46"/>
      <c r="M2194" s="46"/>
      <c r="N2194" s="46"/>
      <c r="O2194" s="46"/>
      <c r="P2194" s="46"/>
      <c r="Q2194" s="46"/>
      <c r="R2194" s="46"/>
      <c r="S2194" s="46"/>
      <c r="T2194" s="46"/>
      <c r="U2194" s="46"/>
      <c r="V2194" s="46"/>
      <c r="W2194" s="46"/>
      <c r="X2194" s="46"/>
      <c r="Y2194" s="46"/>
      <c r="Z2194" s="46"/>
    </row>
    <row r="2195" ht="22.5" customHeight="1">
      <c r="A2195" s="11">
        <v>2193.0</v>
      </c>
      <c r="B2195" s="20">
        <v>35.0</v>
      </c>
      <c r="C2195" s="21" t="s">
        <v>6223</v>
      </c>
      <c r="D2195" s="21" t="s">
        <v>6222</v>
      </c>
      <c r="E2195" s="21" t="s">
        <v>10132</v>
      </c>
      <c r="F2195" s="15"/>
      <c r="G2195" s="15"/>
      <c r="H2195" s="46"/>
      <c r="I2195" s="46"/>
      <c r="J2195" s="46"/>
      <c r="K2195" s="46"/>
      <c r="L2195" s="46"/>
      <c r="M2195" s="46"/>
      <c r="N2195" s="46"/>
      <c r="O2195" s="46"/>
      <c r="P2195" s="46"/>
      <c r="Q2195" s="46"/>
      <c r="R2195" s="46"/>
      <c r="S2195" s="46"/>
      <c r="T2195" s="46"/>
      <c r="U2195" s="46"/>
      <c r="V2195" s="46"/>
      <c r="W2195" s="46"/>
      <c r="X2195" s="46"/>
      <c r="Y2195" s="46"/>
      <c r="Z2195" s="46"/>
    </row>
    <row r="2196" ht="22.5" customHeight="1">
      <c r="A2196" s="17">
        <v>2194.0</v>
      </c>
      <c r="B2196" s="20">
        <v>35.0</v>
      </c>
      <c r="C2196" s="21" t="s">
        <v>12969</v>
      </c>
      <c r="D2196" s="21" t="s">
        <v>12970</v>
      </c>
      <c r="E2196" s="21" t="s">
        <v>12971</v>
      </c>
      <c r="F2196" s="14" t="s">
        <v>18</v>
      </c>
      <c r="G2196" s="15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  <c r="S2196" s="46"/>
      <c r="T2196" s="46"/>
      <c r="U2196" s="46"/>
      <c r="V2196" s="46"/>
      <c r="W2196" s="46"/>
      <c r="X2196" s="46"/>
      <c r="Y2196" s="46"/>
      <c r="Z2196" s="46"/>
    </row>
    <row r="2197" ht="22.5" customHeight="1">
      <c r="A2197" s="11">
        <v>2195.0</v>
      </c>
      <c r="B2197" s="20">
        <v>35.0</v>
      </c>
      <c r="C2197" s="21" t="s">
        <v>12123</v>
      </c>
      <c r="D2197" s="21" t="s">
        <v>12124</v>
      </c>
      <c r="E2197" s="21" t="s">
        <v>12125</v>
      </c>
      <c r="F2197" s="15"/>
      <c r="G2197" s="15"/>
      <c r="H2197" s="46"/>
      <c r="I2197" s="46"/>
      <c r="J2197" s="46"/>
      <c r="K2197" s="46"/>
      <c r="L2197" s="46"/>
      <c r="M2197" s="46"/>
      <c r="N2197" s="46"/>
      <c r="O2197" s="46"/>
      <c r="P2197" s="46"/>
      <c r="Q2197" s="46"/>
      <c r="R2197" s="46"/>
      <c r="S2197" s="46"/>
      <c r="T2197" s="46"/>
      <c r="U2197" s="46"/>
      <c r="V2197" s="46"/>
      <c r="W2197" s="46"/>
      <c r="X2197" s="46"/>
      <c r="Y2197" s="46"/>
      <c r="Z2197" s="46"/>
    </row>
    <row r="2198" ht="22.5" customHeight="1">
      <c r="A2198" s="17">
        <v>2196.0</v>
      </c>
      <c r="B2198" s="20">
        <v>35.0</v>
      </c>
      <c r="C2198" s="21" t="s">
        <v>12972</v>
      </c>
      <c r="D2198" s="21" t="s">
        <v>12973</v>
      </c>
      <c r="E2198" s="21" t="s">
        <v>12974</v>
      </c>
      <c r="F2198" s="15"/>
      <c r="G2198" s="15"/>
      <c r="H2198" s="46"/>
      <c r="I2198" s="46"/>
      <c r="J2198" s="46"/>
      <c r="K2198" s="46"/>
      <c r="L2198" s="46"/>
      <c r="M2198" s="46"/>
      <c r="N2198" s="46"/>
      <c r="O2198" s="46"/>
      <c r="P2198" s="46"/>
      <c r="Q2198" s="46"/>
      <c r="R2198" s="46"/>
      <c r="S2198" s="46"/>
      <c r="T2198" s="46"/>
      <c r="U2198" s="46"/>
      <c r="V2198" s="46"/>
      <c r="W2198" s="46"/>
      <c r="X2198" s="46"/>
      <c r="Y2198" s="46"/>
      <c r="Z2198" s="46"/>
    </row>
    <row r="2199" ht="22.5" customHeight="1">
      <c r="A2199" s="11">
        <v>2197.0</v>
      </c>
      <c r="B2199" s="20">
        <v>35.0</v>
      </c>
      <c r="C2199" s="21" t="s">
        <v>12975</v>
      </c>
      <c r="D2199" s="21" t="s">
        <v>12976</v>
      </c>
      <c r="E2199" s="21" t="s">
        <v>12977</v>
      </c>
      <c r="F2199" s="14" t="s">
        <v>18</v>
      </c>
      <c r="G2199" s="15"/>
      <c r="H2199" s="46"/>
      <c r="I2199" s="46"/>
      <c r="J2199" s="46"/>
      <c r="K2199" s="46"/>
      <c r="L2199" s="46"/>
      <c r="M2199" s="46"/>
      <c r="N2199" s="46"/>
      <c r="O2199" s="46"/>
      <c r="P2199" s="46"/>
      <c r="Q2199" s="46"/>
      <c r="R2199" s="46"/>
      <c r="S2199" s="46"/>
      <c r="T2199" s="46"/>
      <c r="U2199" s="46"/>
      <c r="V2199" s="46"/>
      <c r="W2199" s="46"/>
      <c r="X2199" s="46"/>
      <c r="Y2199" s="46"/>
      <c r="Z2199" s="46"/>
    </row>
    <row r="2200" ht="22.5" customHeight="1">
      <c r="A2200" s="17">
        <v>2198.0</v>
      </c>
      <c r="B2200" s="20">
        <v>35.0</v>
      </c>
      <c r="C2200" s="21" t="s">
        <v>8762</v>
      </c>
      <c r="D2200" s="21" t="s">
        <v>8763</v>
      </c>
      <c r="E2200" s="21" t="s">
        <v>8764</v>
      </c>
      <c r="F2200" s="15"/>
      <c r="G2200" s="15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  <c r="S2200" s="46"/>
      <c r="T2200" s="46"/>
      <c r="U2200" s="46"/>
      <c r="V2200" s="46"/>
      <c r="W2200" s="46"/>
      <c r="X2200" s="46"/>
      <c r="Y2200" s="46"/>
      <c r="Z2200" s="46"/>
    </row>
    <row r="2201" ht="22.5" customHeight="1">
      <c r="A2201" s="11">
        <v>2199.0</v>
      </c>
      <c r="B2201" s="20">
        <v>35.0</v>
      </c>
      <c r="C2201" s="21" t="s">
        <v>5518</v>
      </c>
      <c r="D2201" s="21" t="s">
        <v>2094</v>
      </c>
      <c r="E2201" s="21" t="s">
        <v>2095</v>
      </c>
      <c r="F2201" s="15"/>
      <c r="G2201" s="15"/>
      <c r="H2201" s="46"/>
      <c r="I2201" s="46"/>
      <c r="J2201" s="46"/>
      <c r="K2201" s="46"/>
      <c r="L2201" s="46"/>
      <c r="M2201" s="46"/>
      <c r="N2201" s="46"/>
      <c r="O2201" s="46"/>
      <c r="P2201" s="46"/>
      <c r="Q2201" s="46"/>
      <c r="R2201" s="46"/>
      <c r="S2201" s="46"/>
      <c r="T2201" s="46"/>
      <c r="U2201" s="46"/>
      <c r="V2201" s="46"/>
      <c r="W2201" s="46"/>
      <c r="X2201" s="46"/>
      <c r="Y2201" s="46"/>
      <c r="Z2201" s="46"/>
    </row>
    <row r="2202" ht="22.5" customHeight="1">
      <c r="A2202" s="17">
        <v>2200.0</v>
      </c>
      <c r="B2202" s="20">
        <v>35.0</v>
      </c>
      <c r="C2202" s="21" t="s">
        <v>6213</v>
      </c>
      <c r="D2202" s="21" t="s">
        <v>12978</v>
      </c>
      <c r="E2202" s="21" t="s">
        <v>12979</v>
      </c>
      <c r="F2202" s="15"/>
      <c r="G2202" s="15"/>
      <c r="H2202" s="46"/>
      <c r="I2202" s="46"/>
      <c r="J2202" s="46"/>
      <c r="K2202" s="46"/>
      <c r="L2202" s="46"/>
      <c r="M2202" s="46"/>
      <c r="N2202" s="46"/>
      <c r="O2202" s="46"/>
      <c r="P2202" s="46"/>
      <c r="Q2202" s="46"/>
      <c r="R2202" s="46"/>
      <c r="S2202" s="46"/>
      <c r="T2202" s="46"/>
      <c r="U2202" s="46"/>
      <c r="V2202" s="46"/>
      <c r="W2202" s="46"/>
      <c r="X2202" s="46"/>
      <c r="Y2202" s="46"/>
      <c r="Z2202" s="46"/>
    </row>
    <row r="2203" ht="22.5" customHeight="1">
      <c r="A2203" s="11">
        <v>2201.0</v>
      </c>
      <c r="B2203" s="20">
        <v>35.0</v>
      </c>
      <c r="C2203" s="21" t="s">
        <v>12980</v>
      </c>
      <c r="D2203" s="21" t="s">
        <v>12981</v>
      </c>
      <c r="E2203" s="21" t="s">
        <v>12982</v>
      </c>
      <c r="F2203" s="15"/>
      <c r="G2203" s="15"/>
      <c r="H2203" s="46"/>
      <c r="I2203" s="46"/>
      <c r="J2203" s="46"/>
      <c r="K2203" s="46"/>
      <c r="L2203" s="46"/>
      <c r="M2203" s="46"/>
      <c r="N2203" s="46"/>
      <c r="O2203" s="46"/>
      <c r="P2203" s="46"/>
      <c r="Q2203" s="46"/>
      <c r="R2203" s="46"/>
      <c r="S2203" s="46"/>
      <c r="T2203" s="46"/>
      <c r="U2203" s="46"/>
      <c r="V2203" s="46"/>
      <c r="W2203" s="46"/>
      <c r="X2203" s="46"/>
      <c r="Y2203" s="46"/>
      <c r="Z2203" s="46"/>
    </row>
    <row r="2204" ht="22.5" customHeight="1">
      <c r="A2204" s="17">
        <v>2202.0</v>
      </c>
      <c r="B2204" s="20">
        <v>35.0</v>
      </c>
      <c r="C2204" s="21" t="s">
        <v>10076</v>
      </c>
      <c r="D2204" s="21" t="s">
        <v>10077</v>
      </c>
      <c r="E2204" s="21" t="s">
        <v>10078</v>
      </c>
      <c r="F2204" s="15"/>
      <c r="G2204" s="15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  <c r="S2204" s="46"/>
      <c r="T2204" s="46"/>
      <c r="U2204" s="46"/>
      <c r="V2204" s="46"/>
      <c r="W2204" s="46"/>
      <c r="X2204" s="46"/>
      <c r="Y2204" s="46"/>
      <c r="Z2204" s="46"/>
    </row>
    <row r="2205" ht="22.5" customHeight="1">
      <c r="A2205" s="11">
        <v>2203.0</v>
      </c>
      <c r="B2205" s="20">
        <v>35.0</v>
      </c>
      <c r="C2205" s="21" t="s">
        <v>12983</v>
      </c>
      <c r="D2205" s="21" t="s">
        <v>12984</v>
      </c>
      <c r="E2205" s="21" t="s">
        <v>12985</v>
      </c>
      <c r="F2205" s="14" t="s">
        <v>18</v>
      </c>
      <c r="G2205" s="15"/>
      <c r="H2205" s="46"/>
      <c r="I2205" s="46"/>
      <c r="J2205" s="46"/>
      <c r="K2205" s="46"/>
      <c r="L2205" s="46"/>
      <c r="M2205" s="46"/>
      <c r="N2205" s="46"/>
      <c r="O2205" s="46"/>
      <c r="P2205" s="46"/>
      <c r="Q2205" s="46"/>
      <c r="R2205" s="46"/>
      <c r="S2205" s="46"/>
      <c r="T2205" s="46"/>
      <c r="U2205" s="46"/>
      <c r="V2205" s="46"/>
      <c r="W2205" s="46"/>
      <c r="X2205" s="46"/>
      <c r="Y2205" s="46"/>
      <c r="Z2205" s="46"/>
    </row>
    <row r="2206" ht="22.5" customHeight="1">
      <c r="A2206" s="17">
        <v>2204.0</v>
      </c>
      <c r="B2206" s="20">
        <v>35.0</v>
      </c>
      <c r="C2206" s="21" t="s">
        <v>9047</v>
      </c>
      <c r="D2206" s="21" t="s">
        <v>9048</v>
      </c>
      <c r="E2206" s="21" t="s">
        <v>9049</v>
      </c>
      <c r="F2206" s="15"/>
      <c r="G2206" s="15"/>
      <c r="H2206" s="46"/>
      <c r="I2206" s="46"/>
      <c r="J2206" s="46"/>
      <c r="K2206" s="46"/>
      <c r="L2206" s="46"/>
      <c r="M2206" s="46"/>
      <c r="N2206" s="46"/>
      <c r="O2206" s="46"/>
      <c r="P2206" s="46"/>
      <c r="Q2206" s="46"/>
      <c r="R2206" s="46"/>
      <c r="S2206" s="46"/>
      <c r="T2206" s="46"/>
      <c r="U2206" s="46"/>
      <c r="V2206" s="46"/>
      <c r="W2206" s="46"/>
      <c r="X2206" s="46"/>
      <c r="Y2206" s="46"/>
      <c r="Z2206" s="46"/>
    </row>
    <row r="2207" ht="22.5" customHeight="1">
      <c r="A2207" s="11">
        <v>2205.0</v>
      </c>
      <c r="B2207" s="20">
        <v>35.0</v>
      </c>
      <c r="C2207" s="21" t="s">
        <v>11315</v>
      </c>
      <c r="D2207" s="21" t="s">
        <v>11316</v>
      </c>
      <c r="E2207" s="21" t="s">
        <v>11317</v>
      </c>
      <c r="F2207" s="15"/>
      <c r="G2207" s="15"/>
      <c r="H2207" s="46"/>
      <c r="I2207" s="46"/>
      <c r="J2207" s="46"/>
      <c r="K2207" s="46"/>
      <c r="L2207" s="46"/>
      <c r="M2207" s="46"/>
      <c r="N2207" s="46"/>
      <c r="O2207" s="46"/>
      <c r="P2207" s="46"/>
      <c r="Q2207" s="46"/>
      <c r="R2207" s="46"/>
      <c r="S2207" s="46"/>
      <c r="T2207" s="46"/>
      <c r="U2207" s="46"/>
      <c r="V2207" s="46"/>
      <c r="W2207" s="46"/>
      <c r="X2207" s="46"/>
      <c r="Y2207" s="46"/>
      <c r="Z2207" s="46"/>
    </row>
    <row r="2208" ht="22.5" customHeight="1">
      <c r="A2208" s="17">
        <v>2206.0</v>
      </c>
      <c r="B2208" s="20">
        <v>35.0</v>
      </c>
      <c r="C2208" s="21" t="s">
        <v>12986</v>
      </c>
      <c r="D2208" s="21" t="s">
        <v>12987</v>
      </c>
      <c r="E2208" s="21" t="s">
        <v>12988</v>
      </c>
      <c r="F2208" s="15"/>
      <c r="G2208" s="15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  <c r="S2208" s="46"/>
      <c r="T2208" s="46"/>
      <c r="U2208" s="46"/>
      <c r="V2208" s="46"/>
      <c r="W2208" s="46"/>
      <c r="X2208" s="46"/>
      <c r="Y2208" s="46"/>
      <c r="Z2208" s="46"/>
    </row>
    <row r="2209" ht="22.5" customHeight="1">
      <c r="A2209" s="11">
        <v>2207.0</v>
      </c>
      <c r="B2209" s="20">
        <v>35.0</v>
      </c>
      <c r="C2209" s="21" t="s">
        <v>5889</v>
      </c>
      <c r="D2209" s="21" t="s">
        <v>5888</v>
      </c>
      <c r="E2209" s="21" t="s">
        <v>12279</v>
      </c>
      <c r="F2209" s="15"/>
      <c r="G2209" s="15"/>
      <c r="H2209" s="46"/>
      <c r="I2209" s="46"/>
      <c r="J2209" s="46"/>
      <c r="K2209" s="46"/>
      <c r="L2209" s="46"/>
      <c r="M2209" s="46"/>
      <c r="N2209" s="46"/>
      <c r="O2209" s="46"/>
      <c r="P2209" s="46"/>
      <c r="Q2209" s="46"/>
      <c r="R2209" s="46"/>
      <c r="S2209" s="46"/>
      <c r="T2209" s="46"/>
      <c r="U2209" s="46"/>
      <c r="V2209" s="46"/>
      <c r="W2209" s="46"/>
      <c r="X2209" s="46"/>
      <c r="Y2209" s="46"/>
      <c r="Z2209" s="46"/>
    </row>
    <row r="2210" ht="22.5" customHeight="1">
      <c r="A2210" s="17">
        <v>2208.0</v>
      </c>
      <c r="B2210" s="20">
        <v>35.0</v>
      </c>
      <c r="C2210" s="21" t="s">
        <v>9305</v>
      </c>
      <c r="D2210" s="21" t="s">
        <v>9306</v>
      </c>
      <c r="E2210" s="21" t="s">
        <v>12989</v>
      </c>
      <c r="F2210" s="15"/>
      <c r="G2210" s="15"/>
      <c r="H2210" s="46"/>
      <c r="I2210" s="46"/>
      <c r="J2210" s="46"/>
      <c r="K2210" s="46"/>
      <c r="L2210" s="46"/>
      <c r="M2210" s="46"/>
      <c r="N2210" s="46"/>
      <c r="O2210" s="46"/>
      <c r="P2210" s="46"/>
      <c r="Q2210" s="46"/>
      <c r="R2210" s="46"/>
      <c r="S2210" s="46"/>
      <c r="T2210" s="46"/>
      <c r="U2210" s="46"/>
      <c r="V2210" s="46"/>
      <c r="W2210" s="46"/>
      <c r="X2210" s="46"/>
      <c r="Y2210" s="46"/>
      <c r="Z2210" s="46"/>
    </row>
    <row r="2211" ht="22.5" customHeight="1">
      <c r="A2211" s="11">
        <v>2209.0</v>
      </c>
      <c r="B2211" s="20">
        <v>35.0</v>
      </c>
      <c r="C2211" s="21" t="s">
        <v>9183</v>
      </c>
      <c r="D2211" s="21" t="s">
        <v>9184</v>
      </c>
      <c r="E2211" s="21" t="s">
        <v>9185</v>
      </c>
      <c r="F2211" s="15"/>
      <c r="G2211" s="15"/>
      <c r="H2211" s="46"/>
      <c r="I2211" s="46"/>
      <c r="J2211" s="46"/>
      <c r="K2211" s="46"/>
      <c r="L2211" s="46"/>
      <c r="M2211" s="46"/>
      <c r="N2211" s="46"/>
      <c r="O2211" s="46"/>
      <c r="P2211" s="46"/>
      <c r="Q2211" s="46"/>
      <c r="R2211" s="46"/>
      <c r="S2211" s="46"/>
      <c r="T2211" s="46"/>
      <c r="U2211" s="46"/>
      <c r="V2211" s="46"/>
      <c r="W2211" s="46"/>
      <c r="X2211" s="46"/>
      <c r="Y2211" s="46"/>
      <c r="Z2211" s="46"/>
    </row>
    <row r="2212" ht="22.5" customHeight="1">
      <c r="A2212" s="17">
        <v>2210.0</v>
      </c>
      <c r="B2212" s="20">
        <v>35.0</v>
      </c>
      <c r="C2212" s="21" t="s">
        <v>5094</v>
      </c>
      <c r="D2212" s="21" t="s">
        <v>3486</v>
      </c>
      <c r="E2212" s="21" t="s">
        <v>10168</v>
      </c>
      <c r="F2212" s="15"/>
      <c r="G2212" s="15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  <c r="S2212" s="46"/>
      <c r="T2212" s="46"/>
      <c r="U2212" s="46"/>
      <c r="V2212" s="46"/>
      <c r="W2212" s="46"/>
      <c r="X2212" s="46"/>
      <c r="Y2212" s="46"/>
      <c r="Z2212" s="46"/>
    </row>
    <row r="2213" ht="22.5" customHeight="1">
      <c r="A2213" s="11">
        <v>2211.0</v>
      </c>
      <c r="B2213" s="20">
        <v>35.0</v>
      </c>
      <c r="C2213" s="21" t="s">
        <v>9009</v>
      </c>
      <c r="D2213" s="21" t="s">
        <v>9010</v>
      </c>
      <c r="E2213" s="21" t="s">
        <v>9011</v>
      </c>
      <c r="F2213" s="15"/>
      <c r="G2213" s="15"/>
      <c r="H2213" s="46"/>
      <c r="I2213" s="46"/>
      <c r="J2213" s="46"/>
      <c r="K2213" s="46"/>
      <c r="L2213" s="46"/>
      <c r="M2213" s="46"/>
      <c r="N2213" s="46"/>
      <c r="O2213" s="46"/>
      <c r="P2213" s="46"/>
      <c r="Q2213" s="46"/>
      <c r="R2213" s="46"/>
      <c r="S2213" s="46"/>
      <c r="T2213" s="46"/>
      <c r="U2213" s="46"/>
      <c r="V2213" s="46"/>
      <c r="W2213" s="46"/>
      <c r="X2213" s="46"/>
      <c r="Y2213" s="46"/>
      <c r="Z2213" s="46"/>
    </row>
    <row r="2214" ht="22.5" customHeight="1">
      <c r="A2214" s="17">
        <v>2212.0</v>
      </c>
      <c r="B2214" s="20">
        <v>35.0</v>
      </c>
      <c r="C2214" s="21" t="s">
        <v>12990</v>
      </c>
      <c r="D2214" s="21" t="s">
        <v>12991</v>
      </c>
      <c r="E2214" s="21" t="s">
        <v>12992</v>
      </c>
      <c r="F2214" s="15"/>
      <c r="G2214" s="15"/>
      <c r="H2214" s="46"/>
      <c r="I2214" s="46"/>
      <c r="J2214" s="46"/>
      <c r="K2214" s="46"/>
      <c r="L2214" s="46"/>
      <c r="M2214" s="46"/>
      <c r="N2214" s="46"/>
      <c r="O2214" s="46"/>
      <c r="P2214" s="46"/>
      <c r="Q2214" s="46"/>
      <c r="R2214" s="46"/>
      <c r="S2214" s="46"/>
      <c r="T2214" s="46"/>
      <c r="U2214" s="46"/>
      <c r="V2214" s="46"/>
      <c r="W2214" s="46"/>
      <c r="X2214" s="46"/>
      <c r="Y2214" s="46"/>
      <c r="Z2214" s="46"/>
    </row>
    <row r="2215" ht="22.5" customHeight="1">
      <c r="A2215" s="11">
        <v>2213.0</v>
      </c>
      <c r="B2215" s="20">
        <v>35.0</v>
      </c>
      <c r="C2215" s="21" t="s">
        <v>9287</v>
      </c>
      <c r="D2215" s="21" t="s">
        <v>9288</v>
      </c>
      <c r="E2215" s="21" t="s">
        <v>12993</v>
      </c>
      <c r="F2215" s="15"/>
      <c r="G2215" s="15"/>
      <c r="H2215" s="46"/>
      <c r="I2215" s="46"/>
      <c r="J2215" s="46"/>
      <c r="K2215" s="46"/>
      <c r="L2215" s="46"/>
      <c r="M2215" s="46"/>
      <c r="N2215" s="46"/>
      <c r="O2215" s="46"/>
      <c r="P2215" s="46"/>
      <c r="Q2215" s="46"/>
      <c r="R2215" s="46"/>
      <c r="S2215" s="46"/>
      <c r="T2215" s="46"/>
      <c r="U2215" s="46"/>
      <c r="V2215" s="46"/>
      <c r="W2215" s="46"/>
      <c r="X2215" s="46"/>
      <c r="Y2215" s="46"/>
      <c r="Z2215" s="46"/>
    </row>
    <row r="2216" ht="22.5" customHeight="1">
      <c r="A2216" s="17">
        <v>2214.0</v>
      </c>
      <c r="B2216" s="20">
        <v>35.0</v>
      </c>
      <c r="C2216" s="21" t="s">
        <v>12994</v>
      </c>
      <c r="D2216" s="21" t="s">
        <v>12995</v>
      </c>
      <c r="E2216" s="21" t="s">
        <v>12996</v>
      </c>
      <c r="F2216" s="15"/>
      <c r="G2216" s="15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  <c r="S2216" s="46"/>
      <c r="T2216" s="46"/>
      <c r="U2216" s="46"/>
      <c r="V2216" s="46"/>
      <c r="W2216" s="46"/>
      <c r="X2216" s="46"/>
      <c r="Y2216" s="46"/>
      <c r="Z2216" s="46"/>
    </row>
    <row r="2217" ht="22.5" customHeight="1">
      <c r="A2217" s="11">
        <v>2215.0</v>
      </c>
      <c r="B2217" s="20">
        <v>35.0</v>
      </c>
      <c r="C2217" s="21" t="s">
        <v>12997</v>
      </c>
      <c r="D2217" s="21" t="s">
        <v>12998</v>
      </c>
      <c r="E2217" s="21" t="s">
        <v>12999</v>
      </c>
      <c r="F2217" s="15"/>
      <c r="G2217" s="15"/>
      <c r="H2217" s="46"/>
      <c r="I2217" s="46"/>
      <c r="J2217" s="46"/>
      <c r="K2217" s="46"/>
      <c r="L2217" s="46"/>
      <c r="M2217" s="46"/>
      <c r="N2217" s="46"/>
      <c r="O2217" s="46"/>
      <c r="P2217" s="46"/>
      <c r="Q2217" s="46"/>
      <c r="R2217" s="46"/>
      <c r="S2217" s="46"/>
      <c r="T2217" s="46"/>
      <c r="U2217" s="46"/>
      <c r="V2217" s="46"/>
      <c r="W2217" s="46"/>
      <c r="X2217" s="46"/>
      <c r="Y2217" s="46"/>
      <c r="Z2217" s="46"/>
    </row>
    <row r="2218" ht="22.5" customHeight="1">
      <c r="A2218" s="17">
        <v>2216.0</v>
      </c>
      <c r="B2218" s="20">
        <v>35.0</v>
      </c>
      <c r="C2218" s="21" t="s">
        <v>13000</v>
      </c>
      <c r="D2218" s="21" t="s">
        <v>13001</v>
      </c>
      <c r="E2218" s="21" t="s">
        <v>13002</v>
      </c>
      <c r="F2218" s="14" t="s">
        <v>18</v>
      </c>
      <c r="G2218" s="15"/>
      <c r="H2218" s="46"/>
      <c r="I2218" s="46"/>
      <c r="J2218" s="46"/>
      <c r="K2218" s="46"/>
      <c r="L2218" s="46"/>
      <c r="M2218" s="46"/>
      <c r="N2218" s="46"/>
      <c r="O2218" s="46"/>
      <c r="P2218" s="46"/>
      <c r="Q2218" s="46"/>
      <c r="R2218" s="46"/>
      <c r="S2218" s="46"/>
      <c r="T2218" s="46"/>
      <c r="U2218" s="46"/>
      <c r="V2218" s="46"/>
      <c r="W2218" s="46"/>
      <c r="X2218" s="46"/>
      <c r="Y2218" s="46"/>
      <c r="Z2218" s="46"/>
    </row>
    <row r="2219" ht="22.5" customHeight="1">
      <c r="A2219" s="11">
        <v>2217.0</v>
      </c>
      <c r="B2219" s="20">
        <v>35.0</v>
      </c>
      <c r="C2219" s="21" t="s">
        <v>13003</v>
      </c>
      <c r="D2219" s="21" t="s">
        <v>13004</v>
      </c>
      <c r="E2219" s="21" t="s">
        <v>13005</v>
      </c>
      <c r="F2219" s="15"/>
      <c r="G2219" s="15"/>
      <c r="H2219" s="46"/>
      <c r="I2219" s="46"/>
      <c r="J2219" s="46"/>
      <c r="K2219" s="46"/>
      <c r="L2219" s="46"/>
      <c r="M2219" s="46"/>
      <c r="N2219" s="46"/>
      <c r="O2219" s="46"/>
      <c r="P2219" s="46"/>
      <c r="Q2219" s="46"/>
      <c r="R2219" s="46"/>
      <c r="S2219" s="46"/>
      <c r="T2219" s="46"/>
      <c r="U2219" s="46"/>
      <c r="V2219" s="46"/>
      <c r="W2219" s="46"/>
      <c r="X2219" s="46"/>
      <c r="Y2219" s="46"/>
      <c r="Z2219" s="46"/>
    </row>
    <row r="2220" ht="22.5" customHeight="1">
      <c r="A2220" s="17">
        <v>2218.0</v>
      </c>
      <c r="B2220" s="20">
        <v>35.0</v>
      </c>
      <c r="C2220" s="21" t="s">
        <v>13006</v>
      </c>
      <c r="D2220" s="21" t="s">
        <v>13007</v>
      </c>
      <c r="E2220" s="21" t="s">
        <v>13008</v>
      </c>
      <c r="F2220" s="15"/>
      <c r="G2220" s="15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  <c r="S2220" s="46"/>
      <c r="T2220" s="46"/>
      <c r="U2220" s="46"/>
      <c r="V2220" s="46"/>
      <c r="W2220" s="46"/>
      <c r="X2220" s="46"/>
      <c r="Y2220" s="46"/>
      <c r="Z2220" s="46"/>
    </row>
    <row r="2221" ht="22.5" customHeight="1">
      <c r="A2221" s="11">
        <v>2219.0</v>
      </c>
      <c r="B2221" s="20">
        <v>35.0</v>
      </c>
      <c r="C2221" s="21" t="s">
        <v>13009</v>
      </c>
      <c r="D2221" s="21" t="s">
        <v>13010</v>
      </c>
      <c r="E2221" s="21" t="s">
        <v>13011</v>
      </c>
      <c r="F2221" s="15"/>
      <c r="G2221" s="15"/>
      <c r="H2221" s="46"/>
      <c r="I2221" s="46"/>
      <c r="J2221" s="46"/>
      <c r="K2221" s="46"/>
      <c r="L2221" s="46"/>
      <c r="M2221" s="46"/>
      <c r="N2221" s="46"/>
      <c r="O2221" s="46"/>
      <c r="P2221" s="46"/>
      <c r="Q2221" s="46"/>
      <c r="R2221" s="46"/>
      <c r="S2221" s="46"/>
      <c r="T2221" s="46"/>
      <c r="U2221" s="46"/>
      <c r="V2221" s="46"/>
      <c r="W2221" s="46"/>
      <c r="X2221" s="46"/>
      <c r="Y2221" s="46"/>
      <c r="Z2221" s="46"/>
    </row>
    <row r="2222" ht="22.5" customHeight="1">
      <c r="A2222" s="17">
        <v>2220.0</v>
      </c>
      <c r="B2222" s="20">
        <v>35.0</v>
      </c>
      <c r="C2222" s="21" t="s">
        <v>8774</v>
      </c>
      <c r="D2222" s="21" t="s">
        <v>8775</v>
      </c>
      <c r="E2222" s="21" t="s">
        <v>8776</v>
      </c>
      <c r="F2222" s="15"/>
      <c r="G2222" s="15"/>
      <c r="H2222" s="46"/>
      <c r="I2222" s="46"/>
      <c r="J2222" s="46"/>
      <c r="K2222" s="46"/>
      <c r="L2222" s="46"/>
      <c r="M2222" s="46"/>
      <c r="N2222" s="46"/>
      <c r="O2222" s="46"/>
      <c r="P2222" s="46"/>
      <c r="Q2222" s="46"/>
      <c r="R2222" s="46"/>
      <c r="S2222" s="46"/>
      <c r="T2222" s="46"/>
      <c r="U2222" s="46"/>
      <c r="V2222" s="46"/>
      <c r="W2222" s="46"/>
      <c r="X2222" s="46"/>
      <c r="Y2222" s="46"/>
      <c r="Z2222" s="46"/>
    </row>
    <row r="2223" ht="22.5" customHeight="1">
      <c r="A2223" s="11">
        <v>2221.0</v>
      </c>
      <c r="B2223" s="20">
        <v>35.0</v>
      </c>
      <c r="C2223" s="21" t="s">
        <v>13012</v>
      </c>
      <c r="D2223" s="21" t="s">
        <v>13013</v>
      </c>
      <c r="E2223" s="21" t="s">
        <v>13014</v>
      </c>
      <c r="F2223" s="15"/>
      <c r="G2223" s="15"/>
      <c r="H2223" s="46"/>
      <c r="I2223" s="46"/>
      <c r="J2223" s="46"/>
      <c r="K2223" s="46"/>
      <c r="L2223" s="46"/>
      <c r="M2223" s="46"/>
      <c r="N2223" s="46"/>
      <c r="O2223" s="46"/>
      <c r="P2223" s="46"/>
      <c r="Q2223" s="46"/>
      <c r="R2223" s="46"/>
      <c r="S2223" s="46"/>
      <c r="T2223" s="46"/>
      <c r="U2223" s="46"/>
      <c r="V2223" s="46"/>
      <c r="W2223" s="46"/>
      <c r="X2223" s="46"/>
      <c r="Y2223" s="46"/>
      <c r="Z2223" s="46"/>
    </row>
    <row r="2224" ht="22.5" customHeight="1">
      <c r="A2224" s="17">
        <v>2222.0</v>
      </c>
      <c r="B2224" s="20">
        <v>35.0</v>
      </c>
      <c r="C2224" s="21" t="s">
        <v>9085</v>
      </c>
      <c r="D2224" s="21" t="s">
        <v>9086</v>
      </c>
      <c r="E2224" s="21" t="s">
        <v>10596</v>
      </c>
      <c r="F2224" s="15"/>
      <c r="G2224" s="15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  <c r="S2224" s="46"/>
      <c r="T2224" s="46"/>
      <c r="U2224" s="46"/>
      <c r="V2224" s="46"/>
      <c r="W2224" s="46"/>
      <c r="X2224" s="46"/>
      <c r="Y2224" s="46"/>
      <c r="Z2224" s="46"/>
    </row>
    <row r="2225" ht="22.5" customHeight="1">
      <c r="A2225" s="11">
        <v>2223.0</v>
      </c>
      <c r="B2225" s="20">
        <v>35.0</v>
      </c>
      <c r="C2225" s="21" t="s">
        <v>2021</v>
      </c>
      <c r="D2225" s="21" t="s">
        <v>4792</v>
      </c>
      <c r="E2225" s="21" t="s">
        <v>9852</v>
      </c>
      <c r="F2225" s="15"/>
      <c r="G2225" s="15"/>
      <c r="H2225" s="46"/>
      <c r="I2225" s="46"/>
      <c r="J2225" s="46"/>
      <c r="K2225" s="46"/>
      <c r="L2225" s="46"/>
      <c r="M2225" s="46"/>
      <c r="N2225" s="46"/>
      <c r="O2225" s="46"/>
      <c r="P2225" s="46"/>
      <c r="Q2225" s="46"/>
      <c r="R2225" s="46"/>
      <c r="S2225" s="46"/>
      <c r="T2225" s="46"/>
      <c r="U2225" s="46"/>
      <c r="V2225" s="46"/>
      <c r="W2225" s="46"/>
      <c r="X2225" s="46"/>
      <c r="Y2225" s="46"/>
      <c r="Z2225" s="46"/>
    </row>
    <row r="2226" ht="22.5" customHeight="1">
      <c r="A2226" s="17">
        <v>2224.0</v>
      </c>
      <c r="B2226" s="20">
        <v>35.0</v>
      </c>
      <c r="C2226" s="21" t="s">
        <v>13015</v>
      </c>
      <c r="D2226" s="21" t="s">
        <v>13016</v>
      </c>
      <c r="E2226" s="21" t="s">
        <v>13017</v>
      </c>
      <c r="F2226" s="15"/>
      <c r="G2226" s="15"/>
      <c r="H2226" s="46"/>
      <c r="I2226" s="46"/>
      <c r="J2226" s="46"/>
      <c r="K2226" s="46"/>
      <c r="L2226" s="46"/>
      <c r="M2226" s="46"/>
      <c r="N2226" s="46"/>
      <c r="O2226" s="46"/>
      <c r="P2226" s="46"/>
      <c r="Q2226" s="46"/>
      <c r="R2226" s="46"/>
      <c r="S2226" s="46"/>
      <c r="T2226" s="46"/>
      <c r="U2226" s="46"/>
      <c r="V2226" s="46"/>
      <c r="W2226" s="46"/>
      <c r="X2226" s="46"/>
      <c r="Y2226" s="46"/>
      <c r="Z2226" s="46"/>
    </row>
    <row r="2227" ht="22.5" customHeight="1">
      <c r="A2227" s="11">
        <v>2225.0</v>
      </c>
      <c r="B2227" s="20">
        <v>35.0</v>
      </c>
      <c r="C2227" s="21" t="s">
        <v>10677</v>
      </c>
      <c r="D2227" s="21" t="s">
        <v>10678</v>
      </c>
      <c r="E2227" s="21" t="s">
        <v>10679</v>
      </c>
      <c r="F2227" s="15"/>
      <c r="G2227" s="15"/>
      <c r="H2227" s="46"/>
      <c r="I2227" s="46"/>
      <c r="J2227" s="46"/>
      <c r="K2227" s="46"/>
      <c r="L2227" s="46"/>
      <c r="M2227" s="46"/>
      <c r="N2227" s="46"/>
      <c r="O2227" s="46"/>
      <c r="P2227" s="46"/>
      <c r="Q2227" s="46"/>
      <c r="R2227" s="46"/>
      <c r="S2227" s="46"/>
      <c r="T2227" s="46"/>
      <c r="U2227" s="46"/>
      <c r="V2227" s="46"/>
      <c r="W2227" s="46"/>
      <c r="X2227" s="46"/>
      <c r="Y2227" s="46"/>
      <c r="Z2227" s="46"/>
    </row>
    <row r="2228" ht="22.5" customHeight="1">
      <c r="A2228" s="17">
        <v>2226.0</v>
      </c>
      <c r="B2228" s="20">
        <v>112.0</v>
      </c>
      <c r="C2228" s="21" t="s">
        <v>8762</v>
      </c>
      <c r="D2228" s="21" t="s">
        <v>8763</v>
      </c>
      <c r="E2228" s="23" t="s">
        <v>8764</v>
      </c>
      <c r="F2228" s="15"/>
      <c r="G2228" s="15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  <c r="S2228" s="46"/>
      <c r="T2228" s="46"/>
      <c r="U2228" s="46"/>
      <c r="V2228" s="46"/>
      <c r="W2228" s="46"/>
      <c r="X2228" s="46"/>
      <c r="Y2228" s="46"/>
      <c r="Z2228" s="46"/>
    </row>
    <row r="2229" ht="22.5" customHeight="1">
      <c r="A2229" s="11">
        <v>2227.0</v>
      </c>
      <c r="B2229" s="20">
        <v>112.0</v>
      </c>
      <c r="C2229" s="21" t="s">
        <v>9082</v>
      </c>
      <c r="D2229" s="21" t="s">
        <v>9083</v>
      </c>
      <c r="E2229" s="23" t="s">
        <v>9084</v>
      </c>
      <c r="F2229" s="15"/>
      <c r="G2229" s="15"/>
      <c r="H2229" s="46"/>
      <c r="I2229" s="46"/>
      <c r="J2229" s="46"/>
      <c r="K2229" s="46"/>
      <c r="L2229" s="46"/>
      <c r="M2229" s="46"/>
      <c r="N2229" s="46"/>
      <c r="O2229" s="46"/>
      <c r="P2229" s="46"/>
      <c r="Q2229" s="46"/>
      <c r="R2229" s="46"/>
      <c r="S2229" s="46"/>
      <c r="T2229" s="46"/>
      <c r="U2229" s="46"/>
      <c r="V2229" s="46"/>
      <c r="W2229" s="46"/>
      <c r="X2229" s="46"/>
      <c r="Y2229" s="46"/>
      <c r="Z2229" s="46"/>
    </row>
    <row r="2230" ht="22.5" customHeight="1">
      <c r="A2230" s="17">
        <v>2228.0</v>
      </c>
      <c r="B2230" s="20">
        <v>112.0</v>
      </c>
      <c r="C2230" s="21" t="s">
        <v>10873</v>
      </c>
      <c r="D2230" s="21" t="s">
        <v>10874</v>
      </c>
      <c r="E2230" s="23" t="s">
        <v>10875</v>
      </c>
      <c r="F2230" s="15"/>
      <c r="G2230" s="15"/>
      <c r="H2230" s="46"/>
      <c r="I2230" s="46"/>
      <c r="J2230" s="46"/>
      <c r="K2230" s="46"/>
      <c r="L2230" s="46"/>
      <c r="M2230" s="46"/>
      <c r="N2230" s="46"/>
      <c r="O2230" s="46"/>
      <c r="P2230" s="46"/>
      <c r="Q2230" s="46"/>
      <c r="R2230" s="46"/>
      <c r="S2230" s="46"/>
      <c r="T2230" s="46"/>
      <c r="U2230" s="46"/>
      <c r="V2230" s="46"/>
      <c r="W2230" s="46"/>
      <c r="X2230" s="46"/>
      <c r="Y2230" s="46"/>
      <c r="Z2230" s="46"/>
    </row>
    <row r="2231" ht="22.5" customHeight="1">
      <c r="A2231" s="11">
        <v>2229.0</v>
      </c>
      <c r="B2231" s="20">
        <v>112.0</v>
      </c>
      <c r="C2231" s="21" t="s">
        <v>13018</v>
      </c>
      <c r="D2231" s="21" t="s">
        <v>13019</v>
      </c>
      <c r="E2231" s="23" t="s">
        <v>13020</v>
      </c>
      <c r="F2231" s="15"/>
      <c r="G2231" s="15"/>
      <c r="H2231" s="46"/>
      <c r="I2231" s="46"/>
      <c r="J2231" s="46"/>
      <c r="K2231" s="46"/>
      <c r="L2231" s="46"/>
      <c r="M2231" s="46"/>
      <c r="N2231" s="46"/>
      <c r="O2231" s="46"/>
      <c r="P2231" s="46"/>
      <c r="Q2231" s="46"/>
      <c r="R2231" s="46"/>
      <c r="S2231" s="46"/>
      <c r="T2231" s="46"/>
      <c r="U2231" s="46"/>
      <c r="V2231" s="46"/>
      <c r="W2231" s="46"/>
      <c r="X2231" s="46"/>
      <c r="Y2231" s="46"/>
      <c r="Z2231" s="46"/>
    </row>
    <row r="2232" ht="22.5" customHeight="1">
      <c r="A2232" s="17">
        <v>2230.0</v>
      </c>
      <c r="B2232" s="20">
        <v>112.0</v>
      </c>
      <c r="C2232" s="21" t="s">
        <v>4516</v>
      </c>
      <c r="D2232" s="21" t="s">
        <v>4515</v>
      </c>
      <c r="E2232" s="23" t="s">
        <v>13021</v>
      </c>
      <c r="F2232" s="15"/>
      <c r="G2232" s="15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  <c r="S2232" s="46"/>
      <c r="T2232" s="46"/>
      <c r="U2232" s="46"/>
      <c r="V2232" s="46"/>
      <c r="W2232" s="46"/>
      <c r="X2232" s="46"/>
      <c r="Y2232" s="46"/>
      <c r="Z2232" s="46"/>
    </row>
    <row r="2233" ht="22.5" customHeight="1">
      <c r="A2233" s="11">
        <v>2231.0</v>
      </c>
      <c r="B2233" s="20">
        <v>112.0</v>
      </c>
      <c r="C2233" s="21" t="s">
        <v>13022</v>
      </c>
      <c r="D2233" s="21" t="s">
        <v>13023</v>
      </c>
      <c r="E2233" s="23" t="s">
        <v>13024</v>
      </c>
      <c r="F2233" s="15"/>
      <c r="G2233" s="15"/>
      <c r="H2233" s="46"/>
      <c r="I2233" s="46"/>
      <c r="J2233" s="46"/>
      <c r="K2233" s="46"/>
      <c r="L2233" s="46"/>
      <c r="M2233" s="46"/>
      <c r="N2233" s="46"/>
      <c r="O2233" s="46"/>
      <c r="P2233" s="46"/>
      <c r="Q2233" s="46"/>
      <c r="R2233" s="46"/>
      <c r="S2233" s="46"/>
      <c r="T2233" s="46"/>
      <c r="U2233" s="46"/>
      <c r="V2233" s="46"/>
      <c r="W2233" s="46"/>
      <c r="X2233" s="46"/>
      <c r="Y2233" s="46"/>
      <c r="Z2233" s="46"/>
    </row>
    <row r="2234" ht="22.5" customHeight="1">
      <c r="A2234" s="17">
        <v>2232.0</v>
      </c>
      <c r="B2234" s="20">
        <v>112.0</v>
      </c>
      <c r="C2234" s="21" t="s">
        <v>13025</v>
      </c>
      <c r="D2234" s="21" t="s">
        <v>13026</v>
      </c>
      <c r="E2234" s="23" t="s">
        <v>13027</v>
      </c>
      <c r="F2234" s="15"/>
      <c r="G2234" s="15"/>
      <c r="H2234" s="46"/>
      <c r="I2234" s="46"/>
      <c r="J2234" s="46"/>
      <c r="K2234" s="46"/>
      <c r="L2234" s="46"/>
      <c r="M2234" s="46"/>
      <c r="N2234" s="46"/>
      <c r="O2234" s="46"/>
      <c r="P2234" s="46"/>
      <c r="Q2234" s="46"/>
      <c r="R2234" s="46"/>
      <c r="S2234" s="46"/>
      <c r="T2234" s="46"/>
      <c r="U2234" s="46"/>
      <c r="V2234" s="46"/>
      <c r="W2234" s="46"/>
      <c r="X2234" s="46"/>
      <c r="Y2234" s="46"/>
      <c r="Z2234" s="46"/>
    </row>
    <row r="2235" ht="22.5" customHeight="1">
      <c r="A2235" s="11">
        <v>2233.0</v>
      </c>
      <c r="B2235" s="20">
        <v>112.0</v>
      </c>
      <c r="C2235" s="21" t="s">
        <v>13028</v>
      </c>
      <c r="D2235" s="21" t="s">
        <v>13029</v>
      </c>
      <c r="E2235" s="23" t="s">
        <v>13030</v>
      </c>
      <c r="F2235" s="15"/>
      <c r="G2235" s="15"/>
      <c r="H2235" s="46"/>
      <c r="I2235" s="46"/>
      <c r="J2235" s="46"/>
      <c r="K2235" s="46"/>
      <c r="L2235" s="46"/>
      <c r="M2235" s="46"/>
      <c r="N2235" s="46"/>
      <c r="O2235" s="46"/>
      <c r="P2235" s="46"/>
      <c r="Q2235" s="46"/>
      <c r="R2235" s="46"/>
      <c r="S2235" s="46"/>
      <c r="T2235" s="46"/>
      <c r="U2235" s="46"/>
      <c r="V2235" s="46"/>
      <c r="W2235" s="46"/>
      <c r="X2235" s="46"/>
      <c r="Y2235" s="46"/>
      <c r="Z2235" s="46"/>
    </row>
    <row r="2236" ht="22.5" customHeight="1">
      <c r="A2236" s="17">
        <v>2234.0</v>
      </c>
      <c r="B2236" s="20">
        <v>112.0</v>
      </c>
      <c r="C2236" s="21" t="s">
        <v>8990</v>
      </c>
      <c r="D2236" s="21" t="s">
        <v>8991</v>
      </c>
      <c r="E2236" s="23" t="s">
        <v>8992</v>
      </c>
      <c r="F2236" s="15"/>
      <c r="G2236" s="15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  <c r="S2236" s="46"/>
      <c r="T2236" s="46"/>
      <c r="U2236" s="46"/>
      <c r="V2236" s="46"/>
      <c r="W2236" s="46"/>
      <c r="X2236" s="46"/>
      <c r="Y2236" s="46"/>
      <c r="Z2236" s="46"/>
    </row>
    <row r="2237" ht="22.5" customHeight="1">
      <c r="A2237" s="11">
        <v>2235.0</v>
      </c>
      <c r="B2237" s="20">
        <v>112.0</v>
      </c>
      <c r="C2237" s="21" t="s">
        <v>13031</v>
      </c>
      <c r="D2237" s="21" t="s">
        <v>13032</v>
      </c>
      <c r="E2237" s="23" t="s">
        <v>13033</v>
      </c>
      <c r="F2237" s="15"/>
      <c r="G2237" s="15"/>
      <c r="H2237" s="46"/>
      <c r="I2237" s="46"/>
      <c r="J2237" s="46"/>
      <c r="K2237" s="46"/>
      <c r="L2237" s="46"/>
      <c r="M2237" s="46"/>
      <c r="N2237" s="46"/>
      <c r="O2237" s="46"/>
      <c r="P2237" s="46"/>
      <c r="Q2237" s="46"/>
      <c r="R2237" s="46"/>
      <c r="S2237" s="46"/>
      <c r="T2237" s="46"/>
      <c r="U2237" s="46"/>
      <c r="V2237" s="46"/>
      <c r="W2237" s="46"/>
      <c r="X2237" s="46"/>
      <c r="Y2237" s="46"/>
      <c r="Z2237" s="46"/>
    </row>
    <row r="2238" ht="22.5" customHeight="1">
      <c r="A2238" s="17">
        <v>2236.0</v>
      </c>
      <c r="B2238" s="20">
        <v>112.0</v>
      </c>
      <c r="C2238" s="21" t="s">
        <v>10726</v>
      </c>
      <c r="D2238" s="21" t="s">
        <v>10727</v>
      </c>
      <c r="E2238" s="23" t="s">
        <v>10728</v>
      </c>
      <c r="F2238" s="15"/>
      <c r="G2238" s="15"/>
      <c r="H2238" s="46"/>
      <c r="I2238" s="46"/>
      <c r="J2238" s="46"/>
      <c r="K2238" s="46"/>
      <c r="L2238" s="46"/>
      <c r="M2238" s="46"/>
      <c r="N2238" s="46"/>
      <c r="O2238" s="46"/>
      <c r="P2238" s="46"/>
      <c r="Q2238" s="46"/>
      <c r="R2238" s="46"/>
      <c r="S2238" s="46"/>
      <c r="T2238" s="46"/>
      <c r="U2238" s="46"/>
      <c r="V2238" s="46"/>
      <c r="W2238" s="46"/>
      <c r="X2238" s="46"/>
      <c r="Y2238" s="46"/>
      <c r="Z2238" s="46"/>
    </row>
    <row r="2239" ht="22.5" customHeight="1">
      <c r="A2239" s="11">
        <v>2237.0</v>
      </c>
      <c r="B2239" s="20">
        <v>112.0</v>
      </c>
      <c r="C2239" s="21" t="s">
        <v>13034</v>
      </c>
      <c r="D2239" s="21" t="s">
        <v>13035</v>
      </c>
      <c r="E2239" s="23" t="s">
        <v>13036</v>
      </c>
      <c r="F2239" s="15"/>
      <c r="G2239" s="15"/>
      <c r="H2239" s="46"/>
      <c r="I2239" s="46"/>
      <c r="J2239" s="46"/>
      <c r="K2239" s="46"/>
      <c r="L2239" s="46"/>
      <c r="M2239" s="46"/>
      <c r="N2239" s="46"/>
      <c r="O2239" s="46"/>
      <c r="P2239" s="46"/>
      <c r="Q2239" s="46"/>
      <c r="R2239" s="46"/>
      <c r="S2239" s="46"/>
      <c r="T2239" s="46"/>
      <c r="U2239" s="46"/>
      <c r="V2239" s="46"/>
      <c r="W2239" s="46"/>
      <c r="X2239" s="46"/>
      <c r="Y2239" s="46"/>
      <c r="Z2239" s="46"/>
    </row>
    <row r="2240" ht="22.5" customHeight="1">
      <c r="A2240" s="17">
        <v>2238.0</v>
      </c>
      <c r="B2240" s="20">
        <v>112.0</v>
      </c>
      <c r="C2240" s="21" t="s">
        <v>8845</v>
      </c>
      <c r="D2240" s="21" t="s">
        <v>8846</v>
      </c>
      <c r="E2240" s="23" t="s">
        <v>8847</v>
      </c>
      <c r="F2240" s="15"/>
      <c r="G2240" s="15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  <c r="S2240" s="46"/>
      <c r="T2240" s="46"/>
      <c r="U2240" s="46"/>
      <c r="V2240" s="46"/>
      <c r="W2240" s="46"/>
      <c r="X2240" s="46"/>
      <c r="Y2240" s="46"/>
      <c r="Z2240" s="46"/>
    </row>
    <row r="2241" ht="22.5" customHeight="1">
      <c r="A2241" s="11">
        <v>2239.0</v>
      </c>
      <c r="B2241" s="20">
        <v>112.0</v>
      </c>
      <c r="C2241" s="21" t="s">
        <v>9218</v>
      </c>
      <c r="D2241" s="21" t="s">
        <v>9219</v>
      </c>
      <c r="E2241" s="23" t="s">
        <v>9220</v>
      </c>
      <c r="F2241" s="15"/>
      <c r="G2241" s="15"/>
      <c r="H2241" s="46"/>
      <c r="I2241" s="46"/>
      <c r="J2241" s="46"/>
      <c r="K2241" s="46"/>
      <c r="L2241" s="46"/>
      <c r="M2241" s="46"/>
      <c r="N2241" s="46"/>
      <c r="O2241" s="46"/>
      <c r="P2241" s="46"/>
      <c r="Q2241" s="46"/>
      <c r="R2241" s="46"/>
      <c r="S2241" s="46"/>
      <c r="T2241" s="46"/>
      <c r="U2241" s="46"/>
      <c r="V2241" s="46"/>
      <c r="W2241" s="46"/>
      <c r="X2241" s="46"/>
      <c r="Y2241" s="46"/>
      <c r="Z2241" s="46"/>
    </row>
    <row r="2242" ht="22.5" customHeight="1">
      <c r="A2242" s="17">
        <v>2240.0</v>
      </c>
      <c r="B2242" s="20">
        <v>112.0</v>
      </c>
      <c r="C2242" s="21" t="s">
        <v>8792</v>
      </c>
      <c r="D2242" s="21" t="s">
        <v>8793</v>
      </c>
      <c r="E2242" s="23" t="s">
        <v>8794</v>
      </c>
      <c r="F2242" s="15"/>
      <c r="G2242" s="15"/>
      <c r="H2242" s="46"/>
      <c r="I2242" s="46"/>
      <c r="J2242" s="46"/>
      <c r="K2242" s="46"/>
      <c r="L2242" s="46"/>
      <c r="M2242" s="46"/>
      <c r="N2242" s="46"/>
      <c r="O2242" s="46"/>
      <c r="P2242" s="46"/>
      <c r="Q2242" s="46"/>
      <c r="R2242" s="46"/>
      <c r="S2242" s="46"/>
      <c r="T2242" s="46"/>
      <c r="U2242" s="46"/>
      <c r="V2242" s="46"/>
      <c r="W2242" s="46"/>
      <c r="X2242" s="46"/>
      <c r="Y2242" s="46"/>
      <c r="Z2242" s="46"/>
    </row>
    <row r="2243" ht="22.5" customHeight="1">
      <c r="A2243" s="11">
        <v>2241.0</v>
      </c>
      <c r="B2243" s="20">
        <v>112.0</v>
      </c>
      <c r="C2243" s="21" t="s">
        <v>13037</v>
      </c>
      <c r="D2243" s="21" t="s">
        <v>13038</v>
      </c>
      <c r="E2243" s="23" t="s">
        <v>13039</v>
      </c>
      <c r="F2243" s="15"/>
      <c r="G2243" s="15"/>
      <c r="H2243" s="46"/>
      <c r="I2243" s="46"/>
      <c r="J2243" s="46"/>
      <c r="K2243" s="46"/>
      <c r="L2243" s="46"/>
      <c r="M2243" s="46"/>
      <c r="N2243" s="46"/>
      <c r="O2243" s="46"/>
      <c r="P2243" s="46"/>
      <c r="Q2243" s="46"/>
      <c r="R2243" s="46"/>
      <c r="S2243" s="46"/>
      <c r="T2243" s="46"/>
      <c r="U2243" s="46"/>
      <c r="V2243" s="46"/>
      <c r="W2243" s="46"/>
      <c r="X2243" s="46"/>
      <c r="Y2243" s="46"/>
      <c r="Z2243" s="46"/>
    </row>
    <row r="2244" ht="22.5" customHeight="1">
      <c r="A2244" s="17">
        <v>2242.0</v>
      </c>
      <c r="B2244" s="20">
        <v>112.0</v>
      </c>
      <c r="C2244" s="21" t="s">
        <v>8753</v>
      </c>
      <c r="D2244" s="21" t="s">
        <v>9346</v>
      </c>
      <c r="E2244" s="23" t="s">
        <v>8755</v>
      </c>
      <c r="F2244" s="15"/>
      <c r="G2244" s="15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  <c r="S2244" s="46"/>
      <c r="T2244" s="46"/>
      <c r="U2244" s="46"/>
      <c r="V2244" s="46"/>
      <c r="W2244" s="46"/>
      <c r="X2244" s="46"/>
      <c r="Y2244" s="46"/>
      <c r="Z2244" s="46"/>
    </row>
    <row r="2245" ht="22.5" customHeight="1">
      <c r="A2245" s="11">
        <v>2243.0</v>
      </c>
      <c r="B2245" s="20">
        <v>112.0</v>
      </c>
      <c r="C2245" s="21" t="s">
        <v>13040</v>
      </c>
      <c r="D2245" s="21" t="s">
        <v>13041</v>
      </c>
      <c r="E2245" s="23" t="s">
        <v>13042</v>
      </c>
      <c r="F2245" s="15"/>
      <c r="G2245" s="15"/>
      <c r="H2245" s="46"/>
      <c r="I2245" s="46"/>
      <c r="J2245" s="46"/>
      <c r="K2245" s="46"/>
      <c r="L2245" s="46"/>
      <c r="M2245" s="46"/>
      <c r="N2245" s="46"/>
      <c r="O2245" s="46"/>
      <c r="P2245" s="46"/>
      <c r="Q2245" s="46"/>
      <c r="R2245" s="46"/>
      <c r="S2245" s="46"/>
      <c r="T2245" s="46"/>
      <c r="U2245" s="46"/>
      <c r="V2245" s="46"/>
      <c r="W2245" s="46"/>
      <c r="X2245" s="46"/>
      <c r="Y2245" s="46"/>
      <c r="Z2245" s="46"/>
    </row>
    <row r="2246" ht="22.5" customHeight="1">
      <c r="A2246" s="17">
        <v>2244.0</v>
      </c>
      <c r="B2246" s="20">
        <v>112.0</v>
      </c>
      <c r="C2246" s="21" t="s">
        <v>9034</v>
      </c>
      <c r="D2246" s="21" t="s">
        <v>9035</v>
      </c>
      <c r="E2246" s="23" t="s">
        <v>10640</v>
      </c>
      <c r="F2246" s="15"/>
      <c r="G2246" s="15"/>
      <c r="H2246" s="46"/>
      <c r="I2246" s="46"/>
      <c r="J2246" s="46"/>
      <c r="K2246" s="46"/>
      <c r="L2246" s="46"/>
      <c r="M2246" s="46"/>
      <c r="N2246" s="46"/>
      <c r="O2246" s="46"/>
      <c r="P2246" s="46"/>
      <c r="Q2246" s="46"/>
      <c r="R2246" s="46"/>
      <c r="S2246" s="46"/>
      <c r="T2246" s="46"/>
      <c r="U2246" s="46"/>
      <c r="V2246" s="46"/>
      <c r="W2246" s="46"/>
      <c r="X2246" s="46"/>
      <c r="Y2246" s="46"/>
      <c r="Z2246" s="46"/>
    </row>
    <row r="2247" ht="22.5" customHeight="1">
      <c r="A2247" s="11">
        <v>2245.0</v>
      </c>
      <c r="B2247" s="20">
        <v>112.0</v>
      </c>
      <c r="C2247" s="21" t="s">
        <v>8929</v>
      </c>
      <c r="D2247" s="21" t="s">
        <v>8930</v>
      </c>
      <c r="E2247" s="23" t="s">
        <v>8931</v>
      </c>
      <c r="F2247" s="15"/>
      <c r="G2247" s="15"/>
      <c r="H2247" s="46"/>
      <c r="I2247" s="46"/>
      <c r="J2247" s="46"/>
      <c r="K2247" s="46"/>
      <c r="L2247" s="46"/>
      <c r="M2247" s="46"/>
      <c r="N2247" s="46"/>
      <c r="O2247" s="46"/>
      <c r="P2247" s="46"/>
      <c r="Q2247" s="46"/>
      <c r="R2247" s="46"/>
      <c r="S2247" s="46"/>
      <c r="T2247" s="46"/>
      <c r="U2247" s="46"/>
      <c r="V2247" s="46"/>
      <c r="W2247" s="46"/>
      <c r="X2247" s="46"/>
      <c r="Y2247" s="46"/>
      <c r="Z2247" s="46"/>
    </row>
    <row r="2248" ht="22.5" customHeight="1">
      <c r="A2248" s="17">
        <v>2246.0</v>
      </c>
      <c r="B2248" s="20">
        <v>112.0</v>
      </c>
      <c r="C2248" s="21" t="s">
        <v>10733</v>
      </c>
      <c r="D2248" s="21" t="s">
        <v>10734</v>
      </c>
      <c r="E2248" s="23" t="s">
        <v>10735</v>
      </c>
      <c r="F2248" s="15"/>
      <c r="G2248" s="15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  <c r="S2248" s="46"/>
      <c r="T2248" s="46"/>
      <c r="U2248" s="46"/>
      <c r="V2248" s="46"/>
      <c r="W2248" s="46"/>
      <c r="X2248" s="46"/>
      <c r="Y2248" s="46"/>
      <c r="Z2248" s="46"/>
    </row>
    <row r="2249" ht="22.5" customHeight="1">
      <c r="A2249" s="11">
        <v>2247.0</v>
      </c>
      <c r="B2249" s="20">
        <v>112.0</v>
      </c>
      <c r="C2249" s="21" t="s">
        <v>10297</v>
      </c>
      <c r="D2249" s="21" t="s">
        <v>10298</v>
      </c>
      <c r="E2249" s="23" t="s">
        <v>10299</v>
      </c>
      <c r="F2249" s="15"/>
      <c r="G2249" s="15"/>
      <c r="H2249" s="46"/>
      <c r="I2249" s="46"/>
      <c r="J2249" s="46"/>
      <c r="K2249" s="46"/>
      <c r="L2249" s="46"/>
      <c r="M2249" s="46"/>
      <c r="N2249" s="46"/>
      <c r="O2249" s="46"/>
      <c r="P2249" s="46"/>
      <c r="Q2249" s="46"/>
      <c r="R2249" s="46"/>
      <c r="S2249" s="46"/>
      <c r="T2249" s="46"/>
      <c r="U2249" s="46"/>
      <c r="V2249" s="46"/>
      <c r="W2249" s="46"/>
      <c r="X2249" s="46"/>
      <c r="Y2249" s="46"/>
      <c r="Z2249" s="46"/>
    </row>
    <row r="2250" ht="22.5" customHeight="1">
      <c r="A2250" s="17">
        <v>2248.0</v>
      </c>
      <c r="B2250" s="20">
        <v>112.0</v>
      </c>
      <c r="C2250" s="21" t="s">
        <v>13043</v>
      </c>
      <c r="D2250" s="21" t="s">
        <v>13044</v>
      </c>
      <c r="E2250" s="23" t="s">
        <v>13045</v>
      </c>
      <c r="F2250" s="15"/>
      <c r="G2250" s="15"/>
      <c r="H2250" s="46"/>
      <c r="I2250" s="46"/>
      <c r="J2250" s="46"/>
      <c r="K2250" s="46"/>
      <c r="L2250" s="46"/>
      <c r="M2250" s="46"/>
      <c r="N2250" s="46"/>
      <c r="O2250" s="46"/>
      <c r="P2250" s="46"/>
      <c r="Q2250" s="46"/>
      <c r="R2250" s="46"/>
      <c r="S2250" s="46"/>
      <c r="T2250" s="46"/>
      <c r="U2250" s="46"/>
      <c r="V2250" s="46"/>
      <c r="W2250" s="46"/>
      <c r="X2250" s="46"/>
      <c r="Y2250" s="46"/>
      <c r="Z2250" s="46"/>
    </row>
    <row r="2251" ht="22.5" customHeight="1">
      <c r="A2251" s="11">
        <v>2249.0</v>
      </c>
      <c r="B2251" s="20">
        <v>112.0</v>
      </c>
      <c r="C2251" s="21" t="s">
        <v>9370</v>
      </c>
      <c r="D2251" s="21" t="s">
        <v>9371</v>
      </c>
      <c r="E2251" s="23" t="s">
        <v>13046</v>
      </c>
      <c r="F2251" s="15"/>
      <c r="G2251" s="15"/>
      <c r="H2251" s="46"/>
      <c r="I2251" s="46"/>
      <c r="J2251" s="46"/>
      <c r="K2251" s="46"/>
      <c r="L2251" s="46"/>
      <c r="M2251" s="46"/>
      <c r="N2251" s="46"/>
      <c r="O2251" s="46"/>
      <c r="P2251" s="46"/>
      <c r="Q2251" s="46"/>
      <c r="R2251" s="46"/>
      <c r="S2251" s="46"/>
      <c r="T2251" s="46"/>
      <c r="U2251" s="46"/>
      <c r="V2251" s="46"/>
      <c r="W2251" s="46"/>
      <c r="X2251" s="46"/>
      <c r="Y2251" s="46"/>
      <c r="Z2251" s="46"/>
    </row>
    <row r="2252" ht="22.5" customHeight="1">
      <c r="A2252" s="17">
        <v>2250.0</v>
      </c>
      <c r="B2252" s="20">
        <v>112.0</v>
      </c>
      <c r="C2252" s="21" t="s">
        <v>13047</v>
      </c>
      <c r="D2252" s="21" t="s">
        <v>13048</v>
      </c>
      <c r="E2252" s="23" t="s">
        <v>13049</v>
      </c>
      <c r="F2252" s="15"/>
      <c r="G2252" s="15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  <c r="S2252" s="46"/>
      <c r="T2252" s="46"/>
      <c r="U2252" s="46"/>
      <c r="V2252" s="46"/>
      <c r="W2252" s="46"/>
      <c r="X2252" s="46"/>
      <c r="Y2252" s="46"/>
      <c r="Z2252" s="46"/>
    </row>
    <row r="2253" ht="22.5" customHeight="1">
      <c r="A2253" s="11">
        <v>2251.0</v>
      </c>
      <c r="B2253" s="20">
        <v>112.0</v>
      </c>
      <c r="C2253" s="21" t="s">
        <v>10266</v>
      </c>
      <c r="D2253" s="21" t="s">
        <v>10267</v>
      </c>
      <c r="E2253" s="23" t="s">
        <v>12468</v>
      </c>
      <c r="F2253" s="15"/>
      <c r="G2253" s="15"/>
      <c r="H2253" s="46"/>
      <c r="I2253" s="46"/>
      <c r="J2253" s="46"/>
      <c r="K2253" s="46"/>
      <c r="L2253" s="46"/>
      <c r="M2253" s="46"/>
      <c r="N2253" s="46"/>
      <c r="O2253" s="46"/>
      <c r="P2253" s="46"/>
      <c r="Q2253" s="46"/>
      <c r="R2253" s="46"/>
      <c r="S2253" s="46"/>
      <c r="T2253" s="46"/>
      <c r="U2253" s="46"/>
      <c r="V2253" s="46"/>
      <c r="W2253" s="46"/>
      <c r="X2253" s="46"/>
      <c r="Y2253" s="46"/>
      <c r="Z2253" s="46"/>
    </row>
    <row r="2254" ht="22.5" customHeight="1">
      <c r="A2254" s="17">
        <v>2252.0</v>
      </c>
      <c r="B2254" s="20">
        <v>112.0</v>
      </c>
      <c r="C2254" s="21" t="s">
        <v>6103</v>
      </c>
      <c r="D2254" s="21" t="s">
        <v>6102</v>
      </c>
      <c r="E2254" s="23" t="s">
        <v>13050</v>
      </c>
      <c r="F2254" s="15"/>
      <c r="G2254" s="15"/>
      <c r="H2254" s="46"/>
      <c r="I2254" s="46"/>
      <c r="J2254" s="46"/>
      <c r="K2254" s="46"/>
      <c r="L2254" s="46"/>
      <c r="M2254" s="46"/>
      <c r="N2254" s="46"/>
      <c r="O2254" s="46"/>
      <c r="P2254" s="46"/>
      <c r="Q2254" s="46"/>
      <c r="R2254" s="46"/>
      <c r="S2254" s="46"/>
      <c r="T2254" s="46"/>
      <c r="U2254" s="46"/>
      <c r="V2254" s="46"/>
      <c r="W2254" s="46"/>
      <c r="X2254" s="46"/>
      <c r="Y2254" s="46"/>
      <c r="Z2254" s="46"/>
    </row>
    <row r="2255" ht="22.5" customHeight="1">
      <c r="A2255" s="11">
        <v>2253.0</v>
      </c>
      <c r="B2255" s="20">
        <v>112.0</v>
      </c>
      <c r="C2255" s="21" t="s">
        <v>12800</v>
      </c>
      <c r="D2255" s="21" t="s">
        <v>13051</v>
      </c>
      <c r="E2255" s="23" t="s">
        <v>13052</v>
      </c>
      <c r="F2255" s="15"/>
      <c r="G2255" s="15"/>
      <c r="H2255" s="46"/>
      <c r="I2255" s="46"/>
      <c r="J2255" s="46"/>
      <c r="K2255" s="46"/>
      <c r="L2255" s="46"/>
      <c r="M2255" s="46"/>
      <c r="N2255" s="46"/>
      <c r="O2255" s="46"/>
      <c r="P2255" s="46"/>
      <c r="Q2255" s="46"/>
      <c r="R2255" s="46"/>
      <c r="S2255" s="46"/>
      <c r="T2255" s="46"/>
      <c r="U2255" s="46"/>
      <c r="V2255" s="46"/>
      <c r="W2255" s="46"/>
      <c r="X2255" s="46"/>
      <c r="Y2255" s="46"/>
      <c r="Z2255" s="46"/>
    </row>
    <row r="2256" ht="22.5" customHeight="1">
      <c r="A2256" s="17">
        <v>2254.0</v>
      </c>
      <c r="B2256" s="20">
        <v>112.0</v>
      </c>
      <c r="C2256" s="21" t="s">
        <v>13053</v>
      </c>
      <c r="D2256" s="21" t="s">
        <v>13054</v>
      </c>
      <c r="E2256" s="23" t="s">
        <v>13055</v>
      </c>
      <c r="F2256" s="15"/>
      <c r="G2256" s="15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  <c r="S2256" s="46"/>
      <c r="T2256" s="46"/>
      <c r="U2256" s="46"/>
      <c r="V2256" s="46"/>
      <c r="W2256" s="46"/>
      <c r="X2256" s="46"/>
      <c r="Y2256" s="46"/>
      <c r="Z2256" s="46"/>
    </row>
    <row r="2257" ht="22.5" customHeight="1">
      <c r="A2257" s="11">
        <v>2255.0</v>
      </c>
      <c r="B2257" s="20">
        <v>112.0</v>
      </c>
      <c r="C2257" s="21" t="s">
        <v>13056</v>
      </c>
      <c r="D2257" s="21" t="s">
        <v>13057</v>
      </c>
      <c r="E2257" s="23" t="s">
        <v>13058</v>
      </c>
      <c r="F2257" s="15"/>
      <c r="G2257" s="15"/>
      <c r="H2257" s="46"/>
      <c r="I2257" s="46"/>
      <c r="J2257" s="46"/>
      <c r="K2257" s="46"/>
      <c r="L2257" s="46"/>
      <c r="M2257" s="46"/>
      <c r="N2257" s="46"/>
      <c r="O2257" s="46"/>
      <c r="P2257" s="46"/>
      <c r="Q2257" s="46"/>
      <c r="R2257" s="46"/>
      <c r="S2257" s="46"/>
      <c r="T2257" s="46"/>
      <c r="U2257" s="46"/>
      <c r="V2257" s="46"/>
      <c r="W2257" s="46"/>
      <c r="X2257" s="46"/>
      <c r="Y2257" s="46"/>
      <c r="Z2257" s="46"/>
    </row>
    <row r="2258" ht="22.5" customHeight="1">
      <c r="A2258" s="17"/>
      <c r="B2258" s="20"/>
      <c r="C2258" s="13"/>
      <c r="D2258" s="13"/>
      <c r="E2258" s="26"/>
      <c r="F2258" s="15"/>
      <c r="G2258" s="15"/>
      <c r="H2258" s="46"/>
      <c r="I2258" s="46"/>
      <c r="J2258" s="46"/>
      <c r="K2258" s="46"/>
      <c r="L2258" s="46"/>
      <c r="M2258" s="46"/>
      <c r="N2258" s="46"/>
      <c r="O2258" s="46"/>
      <c r="P2258" s="46"/>
      <c r="Q2258" s="46"/>
      <c r="R2258" s="46"/>
      <c r="S2258" s="46"/>
      <c r="T2258" s="46"/>
      <c r="U2258" s="46"/>
      <c r="V2258" s="46"/>
      <c r="W2258" s="46"/>
      <c r="X2258" s="46"/>
      <c r="Y2258" s="46"/>
      <c r="Z2258" s="46"/>
    </row>
    <row r="2259" ht="22.5" customHeight="1">
      <c r="A2259" s="17"/>
      <c r="B2259" s="20"/>
      <c r="C2259" s="13"/>
      <c r="D2259" s="13"/>
      <c r="E2259" s="61"/>
      <c r="F2259" s="15"/>
      <c r="G2259" s="15"/>
      <c r="H2259" s="46"/>
      <c r="I2259" s="46"/>
      <c r="J2259" s="46"/>
      <c r="K2259" s="46"/>
      <c r="L2259" s="46"/>
      <c r="M2259" s="46"/>
      <c r="N2259" s="46"/>
      <c r="O2259" s="46"/>
      <c r="P2259" s="46"/>
      <c r="Q2259" s="46"/>
      <c r="R2259" s="46"/>
      <c r="S2259" s="46"/>
      <c r="T2259" s="46"/>
      <c r="U2259" s="46"/>
      <c r="V2259" s="46"/>
      <c r="W2259" s="46"/>
      <c r="X2259" s="46"/>
      <c r="Y2259" s="46"/>
      <c r="Z2259" s="46"/>
    </row>
    <row r="2260" ht="22.5" customHeight="1">
      <c r="A2260" s="17"/>
      <c r="B2260" s="20"/>
      <c r="C2260" s="13"/>
      <c r="D2260" s="13"/>
      <c r="E2260" s="26"/>
      <c r="F2260" s="15"/>
      <c r="G2260" s="15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  <c r="S2260" s="46"/>
      <c r="T2260" s="46"/>
      <c r="U2260" s="46"/>
      <c r="V2260" s="46"/>
      <c r="W2260" s="46"/>
      <c r="X2260" s="46"/>
      <c r="Y2260" s="46"/>
      <c r="Z2260" s="46"/>
    </row>
    <row r="2261" ht="22.5" customHeight="1">
      <c r="A2261" s="17"/>
      <c r="B2261" s="20"/>
      <c r="C2261" s="13"/>
      <c r="D2261" s="13"/>
      <c r="E2261" s="61"/>
      <c r="F2261" s="15"/>
      <c r="G2261" s="15"/>
      <c r="H2261" s="46"/>
      <c r="I2261" s="46"/>
      <c r="J2261" s="46"/>
      <c r="K2261" s="46"/>
      <c r="L2261" s="46"/>
      <c r="M2261" s="46"/>
      <c r="N2261" s="46"/>
      <c r="O2261" s="46"/>
      <c r="P2261" s="46"/>
      <c r="Q2261" s="46"/>
      <c r="R2261" s="46"/>
      <c r="S2261" s="46"/>
      <c r="T2261" s="46"/>
      <c r="U2261" s="46"/>
      <c r="V2261" s="46"/>
      <c r="W2261" s="46"/>
      <c r="X2261" s="46"/>
      <c r="Y2261" s="46"/>
      <c r="Z2261" s="46"/>
    </row>
    <row r="2262" ht="22.5" customHeight="1">
      <c r="A2262" s="17"/>
      <c r="B2262" s="20"/>
      <c r="C2262" s="13"/>
      <c r="D2262" s="13"/>
      <c r="E2262" s="26"/>
      <c r="F2262" s="15"/>
      <c r="G2262" s="15"/>
      <c r="H2262" s="46"/>
      <c r="I2262" s="46"/>
      <c r="J2262" s="46"/>
      <c r="K2262" s="46"/>
      <c r="L2262" s="46"/>
      <c r="M2262" s="46"/>
      <c r="N2262" s="46"/>
      <c r="O2262" s="46"/>
      <c r="P2262" s="46"/>
      <c r="Q2262" s="46"/>
      <c r="R2262" s="46"/>
      <c r="S2262" s="46"/>
      <c r="T2262" s="46"/>
      <c r="U2262" s="46"/>
      <c r="V2262" s="46"/>
      <c r="W2262" s="46"/>
      <c r="X2262" s="46"/>
      <c r="Y2262" s="46"/>
      <c r="Z2262" s="46"/>
    </row>
    <row r="2263" ht="22.5" customHeight="1">
      <c r="A2263" s="17"/>
      <c r="B2263" s="20"/>
      <c r="C2263" s="13"/>
      <c r="D2263" s="13"/>
      <c r="E2263" s="61"/>
      <c r="F2263" s="15"/>
      <c r="G2263" s="15"/>
      <c r="H2263" s="46"/>
      <c r="I2263" s="46"/>
      <c r="J2263" s="46"/>
      <c r="K2263" s="46"/>
      <c r="L2263" s="46"/>
      <c r="M2263" s="46"/>
      <c r="N2263" s="46"/>
      <c r="O2263" s="46"/>
      <c r="P2263" s="46"/>
      <c r="Q2263" s="46"/>
      <c r="R2263" s="46"/>
      <c r="S2263" s="46"/>
      <c r="T2263" s="46"/>
      <c r="U2263" s="46"/>
      <c r="V2263" s="46"/>
      <c r="W2263" s="46"/>
      <c r="X2263" s="46"/>
      <c r="Y2263" s="46"/>
      <c r="Z2263" s="46"/>
    </row>
    <row r="2264" ht="22.5" customHeight="1">
      <c r="A2264" s="17"/>
      <c r="B2264" s="20"/>
      <c r="C2264" s="13"/>
      <c r="D2264" s="13"/>
      <c r="E2264" s="26"/>
      <c r="F2264" s="15"/>
      <c r="G2264" s="15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  <c r="S2264" s="46"/>
      <c r="T2264" s="46"/>
      <c r="U2264" s="46"/>
      <c r="V2264" s="46"/>
      <c r="W2264" s="46"/>
      <c r="X2264" s="46"/>
      <c r="Y2264" s="46"/>
      <c r="Z2264" s="46"/>
    </row>
    <row r="2265" ht="22.5" customHeight="1">
      <c r="A2265" s="17"/>
      <c r="B2265" s="20"/>
      <c r="C2265" s="13"/>
      <c r="D2265" s="13"/>
      <c r="E2265" s="61"/>
      <c r="F2265" s="15"/>
      <c r="G2265" s="15"/>
      <c r="H2265" s="46"/>
      <c r="I2265" s="46"/>
      <c r="J2265" s="46"/>
      <c r="K2265" s="46"/>
      <c r="L2265" s="46"/>
      <c r="M2265" s="46"/>
      <c r="N2265" s="46"/>
      <c r="O2265" s="46"/>
      <c r="P2265" s="46"/>
      <c r="Q2265" s="46"/>
      <c r="R2265" s="46"/>
      <c r="S2265" s="46"/>
      <c r="T2265" s="46"/>
      <c r="U2265" s="46"/>
      <c r="V2265" s="46"/>
      <c r="W2265" s="46"/>
      <c r="X2265" s="46"/>
      <c r="Y2265" s="46"/>
      <c r="Z2265" s="46"/>
    </row>
    <row r="2266" ht="22.5" customHeight="1">
      <c r="A2266" s="17"/>
      <c r="B2266" s="20"/>
      <c r="C2266" s="13"/>
      <c r="D2266" s="13"/>
      <c r="E2266" s="26"/>
      <c r="F2266" s="15"/>
      <c r="G2266" s="15"/>
      <c r="H2266" s="46"/>
      <c r="I2266" s="46"/>
      <c r="J2266" s="46"/>
      <c r="K2266" s="46"/>
      <c r="L2266" s="46"/>
      <c r="M2266" s="46"/>
      <c r="N2266" s="46"/>
      <c r="O2266" s="46"/>
      <c r="P2266" s="46"/>
      <c r="Q2266" s="46"/>
      <c r="R2266" s="46"/>
      <c r="S2266" s="46"/>
      <c r="T2266" s="46"/>
      <c r="U2266" s="46"/>
      <c r="V2266" s="46"/>
      <c r="W2266" s="46"/>
      <c r="X2266" s="46"/>
      <c r="Y2266" s="46"/>
      <c r="Z2266" s="46"/>
    </row>
    <row r="2267" ht="22.5" customHeight="1">
      <c r="A2267" s="17"/>
      <c r="B2267" s="20"/>
      <c r="C2267" s="13"/>
      <c r="D2267" s="13"/>
      <c r="E2267" s="61"/>
      <c r="F2267" s="15"/>
      <c r="G2267" s="15"/>
      <c r="H2267" s="46"/>
      <c r="I2267" s="46"/>
      <c r="J2267" s="46"/>
      <c r="K2267" s="46"/>
      <c r="L2267" s="46"/>
      <c r="M2267" s="46"/>
      <c r="N2267" s="46"/>
      <c r="O2267" s="46"/>
      <c r="P2267" s="46"/>
      <c r="Q2267" s="46"/>
      <c r="R2267" s="46"/>
      <c r="S2267" s="46"/>
      <c r="T2267" s="46"/>
      <c r="U2267" s="46"/>
      <c r="V2267" s="46"/>
      <c r="W2267" s="46"/>
      <c r="X2267" s="46"/>
      <c r="Y2267" s="46"/>
      <c r="Z2267" s="46"/>
    </row>
    <row r="2268" ht="22.5" customHeight="1">
      <c r="A2268" s="17"/>
      <c r="B2268" s="20"/>
      <c r="C2268" s="13"/>
      <c r="D2268" s="13"/>
      <c r="E2268" s="26"/>
      <c r="F2268" s="15"/>
      <c r="G2268" s="15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  <c r="S2268" s="46"/>
      <c r="T2268" s="46"/>
      <c r="U2268" s="46"/>
      <c r="V2268" s="46"/>
      <c r="W2268" s="46"/>
      <c r="X2268" s="46"/>
      <c r="Y2268" s="46"/>
      <c r="Z2268" s="46"/>
    </row>
    <row r="2269" ht="22.5" customHeight="1">
      <c r="A2269" s="17"/>
      <c r="B2269" s="20"/>
      <c r="C2269" s="13"/>
      <c r="D2269" s="13"/>
      <c r="E2269" s="61"/>
      <c r="F2269" s="15"/>
      <c r="G2269" s="15"/>
      <c r="H2269" s="46"/>
      <c r="I2269" s="46"/>
      <c r="J2269" s="46"/>
      <c r="K2269" s="46"/>
      <c r="L2269" s="46"/>
      <c r="M2269" s="46"/>
      <c r="N2269" s="46"/>
      <c r="O2269" s="46"/>
      <c r="P2269" s="46"/>
      <c r="Q2269" s="46"/>
      <c r="R2269" s="46"/>
      <c r="S2269" s="46"/>
      <c r="T2269" s="46"/>
      <c r="U2269" s="46"/>
      <c r="V2269" s="46"/>
      <c r="W2269" s="46"/>
      <c r="X2269" s="46"/>
      <c r="Y2269" s="46"/>
      <c r="Z2269" s="46"/>
    </row>
    <row r="2270" ht="22.5" customHeight="1">
      <c r="A2270" s="17"/>
      <c r="B2270" s="20"/>
      <c r="C2270" s="13"/>
      <c r="D2270" s="13"/>
      <c r="E2270" s="26"/>
      <c r="F2270" s="15"/>
      <c r="G2270" s="15"/>
      <c r="H2270" s="46"/>
      <c r="I2270" s="46"/>
      <c r="J2270" s="46"/>
      <c r="K2270" s="46"/>
      <c r="L2270" s="46"/>
      <c r="M2270" s="46"/>
      <c r="N2270" s="46"/>
      <c r="O2270" s="46"/>
      <c r="P2270" s="46"/>
      <c r="Q2270" s="46"/>
      <c r="R2270" s="46"/>
      <c r="S2270" s="46"/>
      <c r="T2270" s="46"/>
      <c r="U2270" s="46"/>
      <c r="V2270" s="46"/>
      <c r="W2270" s="46"/>
      <c r="X2270" s="46"/>
      <c r="Y2270" s="46"/>
      <c r="Z2270" s="46"/>
    </row>
    <row r="2271" ht="22.5" customHeight="1">
      <c r="A2271" s="17"/>
      <c r="B2271" s="20"/>
      <c r="C2271" s="13"/>
      <c r="D2271" s="13"/>
      <c r="E2271" s="61"/>
      <c r="F2271" s="15"/>
      <c r="G2271" s="15"/>
      <c r="H2271" s="46"/>
      <c r="I2271" s="46"/>
      <c r="J2271" s="46"/>
      <c r="K2271" s="46"/>
      <c r="L2271" s="46"/>
      <c r="M2271" s="46"/>
      <c r="N2271" s="46"/>
      <c r="O2271" s="46"/>
      <c r="P2271" s="46"/>
      <c r="Q2271" s="46"/>
      <c r="R2271" s="46"/>
      <c r="S2271" s="46"/>
      <c r="T2271" s="46"/>
      <c r="U2271" s="46"/>
      <c r="V2271" s="46"/>
      <c r="W2271" s="46"/>
      <c r="X2271" s="46"/>
      <c r="Y2271" s="46"/>
      <c r="Z2271" s="46"/>
    </row>
    <row r="2272" ht="22.5" customHeight="1">
      <c r="A2272" s="17"/>
      <c r="B2272" s="20"/>
      <c r="C2272" s="13"/>
      <c r="D2272" s="13"/>
      <c r="E2272" s="26"/>
      <c r="F2272" s="15"/>
      <c r="G2272" s="15"/>
      <c r="H2272" s="46"/>
      <c r="I2272" s="46"/>
      <c r="J2272" s="46"/>
      <c r="K2272" s="46"/>
      <c r="L2272" s="46"/>
      <c r="M2272" s="46"/>
      <c r="N2272" s="46"/>
      <c r="O2272" s="46"/>
      <c r="P2272" s="46"/>
      <c r="Q2272" s="46"/>
      <c r="R2272" s="46"/>
      <c r="S2272" s="46"/>
      <c r="T2272" s="46"/>
      <c r="U2272" s="46"/>
      <c r="V2272" s="46"/>
      <c r="W2272" s="46"/>
      <c r="X2272" s="46"/>
      <c r="Y2272" s="46"/>
      <c r="Z2272" s="46"/>
    </row>
    <row r="2273" ht="22.5" customHeight="1">
      <c r="A2273" s="17"/>
      <c r="B2273" s="20"/>
      <c r="C2273" s="13"/>
      <c r="D2273" s="13"/>
      <c r="E2273" s="61"/>
      <c r="F2273" s="15"/>
      <c r="G2273" s="15"/>
      <c r="H2273" s="46"/>
      <c r="I2273" s="46"/>
      <c r="J2273" s="46"/>
      <c r="K2273" s="46"/>
      <c r="L2273" s="46"/>
      <c r="M2273" s="46"/>
      <c r="N2273" s="46"/>
      <c r="O2273" s="46"/>
      <c r="P2273" s="46"/>
      <c r="Q2273" s="46"/>
      <c r="R2273" s="46"/>
      <c r="S2273" s="46"/>
      <c r="T2273" s="46"/>
      <c r="U2273" s="46"/>
      <c r="V2273" s="46"/>
      <c r="W2273" s="46"/>
      <c r="X2273" s="46"/>
      <c r="Y2273" s="46"/>
      <c r="Z2273" s="46"/>
    </row>
    <row r="2274" ht="22.5" customHeight="1">
      <c r="A2274" s="17"/>
      <c r="B2274" s="20"/>
      <c r="C2274" s="13"/>
      <c r="D2274" s="13"/>
      <c r="E2274" s="26"/>
      <c r="F2274" s="15"/>
      <c r="G2274" s="15"/>
      <c r="H2274" s="46"/>
      <c r="I2274" s="46"/>
      <c r="J2274" s="46"/>
      <c r="K2274" s="46"/>
      <c r="L2274" s="46"/>
      <c r="M2274" s="46"/>
      <c r="N2274" s="46"/>
      <c r="O2274" s="46"/>
      <c r="P2274" s="46"/>
      <c r="Q2274" s="46"/>
      <c r="R2274" s="46"/>
      <c r="S2274" s="46"/>
      <c r="T2274" s="46"/>
      <c r="U2274" s="46"/>
      <c r="V2274" s="46"/>
      <c r="W2274" s="46"/>
      <c r="X2274" s="46"/>
      <c r="Y2274" s="46"/>
      <c r="Z2274" s="46"/>
    </row>
    <row r="2275" ht="22.5" customHeight="1">
      <c r="A2275" s="17"/>
      <c r="B2275" s="20"/>
      <c r="C2275" s="13"/>
      <c r="D2275" s="13"/>
      <c r="E2275" s="61"/>
      <c r="F2275" s="15"/>
      <c r="G2275" s="15"/>
      <c r="H2275" s="46"/>
      <c r="I2275" s="46"/>
      <c r="J2275" s="46"/>
      <c r="K2275" s="46"/>
      <c r="L2275" s="46"/>
      <c r="M2275" s="46"/>
      <c r="N2275" s="46"/>
      <c r="O2275" s="46"/>
      <c r="P2275" s="46"/>
      <c r="Q2275" s="46"/>
      <c r="R2275" s="46"/>
      <c r="S2275" s="46"/>
      <c r="T2275" s="46"/>
      <c r="U2275" s="46"/>
      <c r="V2275" s="46"/>
      <c r="W2275" s="46"/>
      <c r="X2275" s="46"/>
      <c r="Y2275" s="46"/>
      <c r="Z2275" s="46"/>
    </row>
    <row r="2276" ht="22.5" customHeight="1">
      <c r="A2276" s="17"/>
      <c r="B2276" s="20"/>
      <c r="C2276" s="13"/>
      <c r="D2276" s="13"/>
      <c r="E2276" s="26"/>
      <c r="F2276" s="15"/>
      <c r="G2276" s="15"/>
      <c r="H2276" s="46"/>
      <c r="I2276" s="46"/>
      <c r="J2276" s="46"/>
      <c r="K2276" s="46"/>
      <c r="L2276" s="46"/>
      <c r="M2276" s="46"/>
      <c r="N2276" s="46"/>
      <c r="O2276" s="46"/>
      <c r="P2276" s="46"/>
      <c r="Q2276" s="46"/>
      <c r="R2276" s="46"/>
      <c r="S2276" s="46"/>
      <c r="T2276" s="46"/>
      <c r="U2276" s="46"/>
      <c r="V2276" s="46"/>
      <c r="W2276" s="46"/>
      <c r="X2276" s="46"/>
      <c r="Y2276" s="46"/>
      <c r="Z2276" s="46"/>
    </row>
    <row r="2277" ht="22.5" customHeight="1">
      <c r="A2277" s="17"/>
      <c r="B2277" s="20"/>
      <c r="C2277" s="13"/>
      <c r="D2277" s="13"/>
      <c r="E2277" s="61"/>
      <c r="F2277" s="15"/>
      <c r="G2277" s="15"/>
      <c r="H2277" s="46"/>
      <c r="I2277" s="46"/>
      <c r="J2277" s="46"/>
      <c r="K2277" s="46"/>
      <c r="L2277" s="46"/>
      <c r="M2277" s="46"/>
      <c r="N2277" s="46"/>
      <c r="O2277" s="46"/>
      <c r="P2277" s="46"/>
      <c r="Q2277" s="46"/>
      <c r="R2277" s="46"/>
      <c r="S2277" s="46"/>
      <c r="T2277" s="46"/>
      <c r="U2277" s="46"/>
      <c r="V2277" s="46"/>
      <c r="W2277" s="46"/>
      <c r="X2277" s="46"/>
      <c r="Y2277" s="46"/>
      <c r="Z2277" s="46"/>
    </row>
    <row r="2278" ht="22.5" customHeight="1">
      <c r="A2278" s="17"/>
      <c r="B2278" s="20"/>
      <c r="C2278" s="13"/>
      <c r="D2278" s="13"/>
      <c r="E2278" s="26"/>
      <c r="F2278" s="15"/>
      <c r="G2278" s="15"/>
      <c r="H2278" s="46"/>
      <c r="I2278" s="46"/>
      <c r="J2278" s="46"/>
      <c r="K2278" s="46"/>
      <c r="L2278" s="46"/>
      <c r="M2278" s="46"/>
      <c r="N2278" s="46"/>
      <c r="O2278" s="46"/>
      <c r="P2278" s="46"/>
      <c r="Q2278" s="46"/>
      <c r="R2278" s="46"/>
      <c r="S2278" s="46"/>
      <c r="T2278" s="46"/>
      <c r="U2278" s="46"/>
      <c r="V2278" s="46"/>
      <c r="W2278" s="46"/>
      <c r="X2278" s="46"/>
      <c r="Y2278" s="46"/>
      <c r="Z2278" s="46"/>
    </row>
    <row r="2279" ht="22.5" customHeight="1">
      <c r="A2279" s="17"/>
      <c r="B2279" s="20"/>
      <c r="C2279" s="13"/>
      <c r="D2279" s="13"/>
      <c r="E2279" s="61"/>
      <c r="F2279" s="15"/>
      <c r="G2279" s="15"/>
      <c r="H2279" s="46"/>
      <c r="I2279" s="46"/>
      <c r="J2279" s="46"/>
      <c r="K2279" s="46"/>
      <c r="L2279" s="46"/>
      <c r="M2279" s="46"/>
      <c r="N2279" s="46"/>
      <c r="O2279" s="46"/>
      <c r="P2279" s="46"/>
      <c r="Q2279" s="46"/>
      <c r="R2279" s="46"/>
      <c r="S2279" s="46"/>
      <c r="T2279" s="46"/>
      <c r="U2279" s="46"/>
      <c r="V2279" s="46"/>
      <c r="W2279" s="46"/>
      <c r="X2279" s="46"/>
      <c r="Y2279" s="46"/>
      <c r="Z2279" s="46"/>
    </row>
    <row r="2280" ht="22.5" customHeight="1">
      <c r="A2280" s="17"/>
      <c r="B2280" s="20"/>
      <c r="C2280" s="13"/>
      <c r="D2280" s="13"/>
      <c r="E2280" s="26"/>
      <c r="F2280" s="15"/>
      <c r="G2280" s="15"/>
      <c r="H2280" s="46"/>
      <c r="I2280" s="46"/>
      <c r="J2280" s="46"/>
      <c r="K2280" s="46"/>
      <c r="L2280" s="46"/>
      <c r="M2280" s="46"/>
      <c r="N2280" s="46"/>
      <c r="O2280" s="46"/>
      <c r="P2280" s="46"/>
      <c r="Q2280" s="46"/>
      <c r="R2280" s="46"/>
      <c r="S2280" s="46"/>
      <c r="T2280" s="46"/>
      <c r="U2280" s="46"/>
      <c r="V2280" s="46"/>
      <c r="W2280" s="46"/>
      <c r="X2280" s="46"/>
      <c r="Y2280" s="46"/>
      <c r="Z2280" s="46"/>
    </row>
    <row r="2281" ht="22.5" customHeight="1">
      <c r="A2281" s="17"/>
      <c r="B2281" s="20"/>
      <c r="C2281" s="13"/>
      <c r="D2281" s="13"/>
      <c r="E2281" s="61"/>
      <c r="F2281" s="15"/>
      <c r="G2281" s="15"/>
      <c r="H2281" s="46"/>
      <c r="I2281" s="46"/>
      <c r="J2281" s="46"/>
      <c r="K2281" s="46"/>
      <c r="L2281" s="46"/>
      <c r="M2281" s="46"/>
      <c r="N2281" s="46"/>
      <c r="O2281" s="46"/>
      <c r="P2281" s="46"/>
      <c r="Q2281" s="46"/>
      <c r="R2281" s="46"/>
      <c r="S2281" s="46"/>
      <c r="T2281" s="46"/>
      <c r="U2281" s="46"/>
      <c r="V2281" s="46"/>
      <c r="W2281" s="46"/>
      <c r="X2281" s="46"/>
      <c r="Y2281" s="46"/>
      <c r="Z2281" s="46"/>
    </row>
    <row r="2282" ht="22.5" customHeight="1">
      <c r="A2282" s="17"/>
      <c r="B2282" s="20"/>
      <c r="C2282" s="13"/>
      <c r="D2282" s="13"/>
      <c r="E2282" s="26"/>
      <c r="F2282" s="15"/>
      <c r="G2282" s="15"/>
      <c r="H2282" s="46"/>
      <c r="I2282" s="46"/>
      <c r="J2282" s="46"/>
      <c r="K2282" s="46"/>
      <c r="L2282" s="46"/>
      <c r="M2282" s="46"/>
      <c r="N2282" s="46"/>
      <c r="O2282" s="46"/>
      <c r="P2282" s="46"/>
      <c r="Q2282" s="46"/>
      <c r="R2282" s="46"/>
      <c r="S2282" s="46"/>
      <c r="T2282" s="46"/>
      <c r="U2282" s="46"/>
      <c r="V2282" s="46"/>
      <c r="W2282" s="46"/>
      <c r="X2282" s="46"/>
      <c r="Y2282" s="46"/>
      <c r="Z2282" s="46"/>
    </row>
    <row r="2283" ht="22.5" customHeight="1">
      <c r="A2283" s="17"/>
      <c r="B2283" s="20"/>
      <c r="C2283" s="13"/>
      <c r="D2283" s="13"/>
      <c r="E2283" s="61"/>
      <c r="F2283" s="15"/>
      <c r="G2283" s="15"/>
      <c r="H2283" s="46"/>
      <c r="I2283" s="46"/>
      <c r="J2283" s="46"/>
      <c r="K2283" s="46"/>
      <c r="L2283" s="46"/>
      <c r="M2283" s="46"/>
      <c r="N2283" s="46"/>
      <c r="O2283" s="46"/>
      <c r="P2283" s="46"/>
      <c r="Q2283" s="46"/>
      <c r="R2283" s="46"/>
      <c r="S2283" s="46"/>
      <c r="T2283" s="46"/>
      <c r="U2283" s="46"/>
      <c r="V2283" s="46"/>
      <c r="W2283" s="46"/>
      <c r="X2283" s="46"/>
      <c r="Y2283" s="46"/>
      <c r="Z2283" s="46"/>
    </row>
    <row r="2284" ht="22.5" customHeight="1">
      <c r="A2284" s="17"/>
      <c r="B2284" s="20"/>
      <c r="C2284" s="13"/>
      <c r="D2284" s="13"/>
      <c r="E2284" s="26"/>
      <c r="F2284" s="15"/>
      <c r="G2284" s="15"/>
      <c r="H2284" s="46"/>
      <c r="I2284" s="46"/>
      <c r="J2284" s="46"/>
      <c r="K2284" s="46"/>
      <c r="L2284" s="46"/>
      <c r="M2284" s="46"/>
      <c r="N2284" s="46"/>
      <c r="O2284" s="46"/>
      <c r="P2284" s="46"/>
      <c r="Q2284" s="46"/>
      <c r="R2284" s="46"/>
      <c r="S2284" s="46"/>
      <c r="T2284" s="46"/>
      <c r="U2284" s="46"/>
      <c r="V2284" s="46"/>
      <c r="W2284" s="46"/>
      <c r="X2284" s="46"/>
      <c r="Y2284" s="46"/>
      <c r="Z2284" s="46"/>
    </row>
    <row r="2285" ht="22.5" customHeight="1">
      <c r="A2285" s="17"/>
      <c r="B2285" s="20"/>
      <c r="C2285" s="13"/>
      <c r="D2285" s="13"/>
      <c r="E2285" s="61"/>
      <c r="F2285" s="15"/>
      <c r="G2285" s="15"/>
      <c r="H2285" s="46"/>
      <c r="I2285" s="46"/>
      <c r="J2285" s="46"/>
      <c r="K2285" s="46"/>
      <c r="L2285" s="46"/>
      <c r="M2285" s="46"/>
      <c r="N2285" s="46"/>
      <c r="O2285" s="46"/>
      <c r="P2285" s="46"/>
      <c r="Q2285" s="46"/>
      <c r="R2285" s="46"/>
      <c r="S2285" s="46"/>
      <c r="T2285" s="46"/>
      <c r="U2285" s="46"/>
      <c r="V2285" s="46"/>
      <c r="W2285" s="46"/>
      <c r="X2285" s="46"/>
      <c r="Y2285" s="46"/>
      <c r="Z2285" s="46"/>
    </row>
    <row r="2286" ht="22.5" customHeight="1">
      <c r="A2286" s="17"/>
      <c r="B2286" s="20"/>
      <c r="C2286" s="13"/>
      <c r="D2286" s="13"/>
      <c r="E2286" s="26"/>
      <c r="F2286" s="15"/>
      <c r="G2286" s="15"/>
      <c r="H2286" s="46"/>
      <c r="I2286" s="46"/>
      <c r="J2286" s="46"/>
      <c r="K2286" s="46"/>
      <c r="L2286" s="46"/>
      <c r="M2286" s="46"/>
      <c r="N2286" s="46"/>
      <c r="O2286" s="46"/>
      <c r="P2286" s="46"/>
      <c r="Q2286" s="46"/>
      <c r="R2286" s="46"/>
      <c r="S2286" s="46"/>
      <c r="T2286" s="46"/>
      <c r="U2286" s="46"/>
      <c r="V2286" s="46"/>
      <c r="W2286" s="46"/>
      <c r="X2286" s="46"/>
      <c r="Y2286" s="46"/>
      <c r="Z2286" s="46"/>
    </row>
    <row r="2287" ht="22.5" customHeight="1">
      <c r="A2287" s="17"/>
      <c r="B2287" s="20"/>
      <c r="C2287" s="13"/>
      <c r="D2287" s="13"/>
      <c r="E2287" s="13"/>
      <c r="F2287" s="15"/>
      <c r="G2287" s="15"/>
      <c r="H2287" s="46"/>
      <c r="I2287" s="46"/>
      <c r="J2287" s="46"/>
      <c r="K2287" s="46"/>
      <c r="L2287" s="46"/>
      <c r="M2287" s="46"/>
      <c r="N2287" s="46"/>
      <c r="O2287" s="46"/>
      <c r="P2287" s="46"/>
      <c r="Q2287" s="46"/>
      <c r="R2287" s="46"/>
      <c r="S2287" s="46"/>
      <c r="T2287" s="46"/>
      <c r="U2287" s="46"/>
      <c r="V2287" s="46"/>
      <c r="W2287" s="46"/>
      <c r="X2287" s="46"/>
      <c r="Y2287" s="46"/>
      <c r="Z2287" s="46"/>
    </row>
    <row r="2288" ht="22.5" customHeight="1">
      <c r="A2288" s="17"/>
      <c r="B2288" s="20"/>
      <c r="C2288" s="13"/>
      <c r="D2288" s="13"/>
      <c r="E2288" s="13"/>
      <c r="F2288" s="15"/>
      <c r="G2288" s="15"/>
      <c r="H2288" s="46"/>
      <c r="I2288" s="46"/>
      <c r="J2288" s="46"/>
      <c r="K2288" s="46"/>
      <c r="L2288" s="46"/>
      <c r="M2288" s="46"/>
      <c r="N2288" s="46"/>
      <c r="O2288" s="46"/>
      <c r="P2288" s="46"/>
      <c r="Q2288" s="46"/>
      <c r="R2288" s="46"/>
      <c r="S2288" s="46"/>
      <c r="T2288" s="46"/>
      <c r="U2288" s="46"/>
      <c r="V2288" s="46"/>
      <c r="W2288" s="46"/>
      <c r="X2288" s="46"/>
      <c r="Y2288" s="46"/>
      <c r="Z2288" s="46"/>
    </row>
    <row r="2289" ht="22.5" customHeight="1">
      <c r="A2289" s="17"/>
      <c r="B2289" s="20"/>
      <c r="C2289" s="13"/>
      <c r="D2289" s="13"/>
      <c r="E2289" s="13"/>
      <c r="F2289" s="15"/>
      <c r="G2289" s="15"/>
      <c r="H2289" s="46"/>
      <c r="I2289" s="46"/>
      <c r="J2289" s="46"/>
      <c r="K2289" s="46"/>
      <c r="L2289" s="46"/>
      <c r="M2289" s="46"/>
      <c r="N2289" s="46"/>
      <c r="O2289" s="46"/>
      <c r="P2289" s="46"/>
      <c r="Q2289" s="46"/>
      <c r="R2289" s="46"/>
      <c r="S2289" s="46"/>
      <c r="T2289" s="46"/>
      <c r="U2289" s="46"/>
      <c r="V2289" s="46"/>
      <c r="W2289" s="46"/>
      <c r="X2289" s="46"/>
      <c r="Y2289" s="46"/>
      <c r="Z2289" s="46"/>
    </row>
    <row r="2290" ht="22.5" customHeight="1">
      <c r="A2290" s="17"/>
      <c r="B2290" s="20"/>
      <c r="C2290" s="13"/>
      <c r="D2290" s="13"/>
      <c r="E2290" s="13"/>
      <c r="F2290" s="15"/>
      <c r="G2290" s="15"/>
      <c r="H2290" s="46"/>
      <c r="I2290" s="46"/>
      <c r="J2290" s="46"/>
      <c r="K2290" s="46"/>
      <c r="L2290" s="46"/>
      <c r="M2290" s="46"/>
      <c r="N2290" s="46"/>
      <c r="O2290" s="46"/>
      <c r="P2290" s="46"/>
      <c r="Q2290" s="46"/>
      <c r="R2290" s="46"/>
      <c r="S2290" s="46"/>
      <c r="T2290" s="46"/>
      <c r="U2290" s="46"/>
      <c r="V2290" s="46"/>
      <c r="W2290" s="46"/>
      <c r="X2290" s="46"/>
      <c r="Y2290" s="46"/>
      <c r="Z2290" s="46"/>
    </row>
    <row r="2291" ht="22.5" customHeight="1">
      <c r="A2291" s="17"/>
      <c r="B2291" s="20"/>
      <c r="C2291" s="13"/>
      <c r="D2291" s="13"/>
      <c r="E2291" s="13"/>
      <c r="F2291" s="15"/>
      <c r="G2291" s="15"/>
      <c r="H2291" s="46"/>
      <c r="I2291" s="46"/>
      <c r="J2291" s="46"/>
      <c r="K2291" s="46"/>
      <c r="L2291" s="46"/>
      <c r="M2291" s="46"/>
      <c r="N2291" s="46"/>
      <c r="O2291" s="46"/>
      <c r="P2291" s="46"/>
      <c r="Q2291" s="46"/>
      <c r="R2291" s="46"/>
      <c r="S2291" s="46"/>
      <c r="T2291" s="46"/>
      <c r="U2291" s="46"/>
      <c r="V2291" s="46"/>
      <c r="W2291" s="46"/>
      <c r="X2291" s="46"/>
      <c r="Y2291" s="46"/>
      <c r="Z2291" s="46"/>
    </row>
    <row r="2292" ht="22.5" customHeight="1">
      <c r="A2292" s="17"/>
      <c r="B2292" s="20"/>
      <c r="C2292" s="13"/>
      <c r="D2292" s="13"/>
      <c r="E2292" s="13"/>
      <c r="F2292" s="15"/>
      <c r="G2292" s="15"/>
      <c r="H2292" s="46"/>
      <c r="I2292" s="46"/>
      <c r="J2292" s="46"/>
      <c r="K2292" s="46"/>
      <c r="L2292" s="46"/>
      <c r="M2292" s="46"/>
      <c r="N2292" s="46"/>
      <c r="O2292" s="46"/>
      <c r="P2292" s="46"/>
      <c r="Q2292" s="46"/>
      <c r="R2292" s="46"/>
      <c r="S2292" s="46"/>
      <c r="T2292" s="46"/>
      <c r="U2292" s="46"/>
      <c r="V2292" s="46"/>
      <c r="W2292" s="46"/>
      <c r="X2292" s="46"/>
      <c r="Y2292" s="46"/>
      <c r="Z2292" s="46"/>
    </row>
    <row r="2293" ht="22.5" customHeight="1">
      <c r="A2293" s="17"/>
      <c r="B2293" s="20"/>
      <c r="C2293" s="13"/>
      <c r="D2293" s="13"/>
      <c r="E2293" s="13"/>
      <c r="F2293" s="15"/>
      <c r="G2293" s="15"/>
      <c r="H2293" s="46"/>
      <c r="I2293" s="46"/>
      <c r="J2293" s="46"/>
      <c r="K2293" s="46"/>
      <c r="L2293" s="46"/>
      <c r="M2293" s="46"/>
      <c r="N2293" s="46"/>
      <c r="O2293" s="46"/>
      <c r="P2293" s="46"/>
      <c r="Q2293" s="46"/>
      <c r="R2293" s="46"/>
      <c r="S2293" s="46"/>
      <c r="T2293" s="46"/>
      <c r="U2293" s="46"/>
      <c r="V2293" s="46"/>
      <c r="W2293" s="46"/>
      <c r="X2293" s="46"/>
      <c r="Y2293" s="46"/>
      <c r="Z2293" s="46"/>
    </row>
    <row r="2294" ht="22.5" customHeight="1">
      <c r="A2294" s="17"/>
      <c r="B2294" s="20"/>
      <c r="C2294" s="13"/>
      <c r="D2294" s="13"/>
      <c r="E2294" s="13"/>
      <c r="F2294" s="15"/>
      <c r="G2294" s="15"/>
      <c r="H2294" s="46"/>
      <c r="I2294" s="46"/>
      <c r="J2294" s="46"/>
      <c r="K2294" s="46"/>
      <c r="L2294" s="46"/>
      <c r="M2294" s="46"/>
      <c r="N2294" s="46"/>
      <c r="O2294" s="46"/>
      <c r="P2294" s="46"/>
      <c r="Q2294" s="46"/>
      <c r="R2294" s="46"/>
      <c r="S2294" s="46"/>
      <c r="T2294" s="46"/>
      <c r="U2294" s="46"/>
      <c r="V2294" s="46"/>
      <c r="W2294" s="46"/>
      <c r="X2294" s="46"/>
      <c r="Y2294" s="46"/>
      <c r="Z2294" s="46"/>
    </row>
    <row r="2295" ht="22.5" customHeight="1">
      <c r="A2295" s="17"/>
      <c r="B2295" s="20"/>
      <c r="C2295" s="13"/>
      <c r="D2295" s="13"/>
      <c r="E2295" s="13"/>
      <c r="F2295" s="15"/>
      <c r="G2295" s="15"/>
      <c r="H2295" s="46"/>
      <c r="I2295" s="46"/>
      <c r="J2295" s="46"/>
      <c r="K2295" s="46"/>
      <c r="L2295" s="46"/>
      <c r="M2295" s="46"/>
      <c r="N2295" s="46"/>
      <c r="O2295" s="46"/>
      <c r="P2295" s="46"/>
      <c r="Q2295" s="46"/>
      <c r="R2295" s="46"/>
      <c r="S2295" s="46"/>
      <c r="T2295" s="46"/>
      <c r="U2295" s="46"/>
      <c r="V2295" s="46"/>
      <c r="W2295" s="46"/>
      <c r="X2295" s="46"/>
      <c r="Y2295" s="46"/>
      <c r="Z2295" s="46"/>
    </row>
    <row r="2296" ht="22.5" customHeight="1">
      <c r="A2296" s="17"/>
      <c r="B2296" s="20"/>
      <c r="C2296" s="13"/>
      <c r="D2296" s="13"/>
      <c r="E2296" s="13"/>
      <c r="F2296" s="15"/>
      <c r="G2296" s="15"/>
      <c r="H2296" s="46"/>
      <c r="I2296" s="46"/>
      <c r="J2296" s="46"/>
      <c r="K2296" s="46"/>
      <c r="L2296" s="46"/>
      <c r="M2296" s="46"/>
      <c r="N2296" s="46"/>
      <c r="O2296" s="46"/>
      <c r="P2296" s="46"/>
      <c r="Q2296" s="46"/>
      <c r="R2296" s="46"/>
      <c r="S2296" s="46"/>
      <c r="T2296" s="46"/>
      <c r="U2296" s="46"/>
      <c r="V2296" s="46"/>
      <c r="W2296" s="46"/>
      <c r="X2296" s="46"/>
      <c r="Y2296" s="46"/>
      <c r="Z2296" s="46"/>
    </row>
    <row r="2297" ht="22.5" customHeight="1">
      <c r="A2297" s="17"/>
      <c r="B2297" s="20"/>
      <c r="C2297" s="13"/>
      <c r="D2297" s="13"/>
      <c r="E2297" s="13"/>
      <c r="F2297" s="15"/>
      <c r="G2297" s="15"/>
      <c r="H2297" s="46"/>
      <c r="I2297" s="46"/>
      <c r="J2297" s="46"/>
      <c r="K2297" s="46"/>
      <c r="L2297" s="46"/>
      <c r="M2297" s="46"/>
      <c r="N2297" s="46"/>
      <c r="O2297" s="46"/>
      <c r="P2297" s="46"/>
      <c r="Q2297" s="46"/>
      <c r="R2297" s="46"/>
      <c r="S2297" s="46"/>
      <c r="T2297" s="46"/>
      <c r="U2297" s="46"/>
      <c r="V2297" s="46"/>
      <c r="W2297" s="46"/>
      <c r="X2297" s="46"/>
      <c r="Y2297" s="46"/>
      <c r="Z2297" s="46"/>
    </row>
    <row r="2298" ht="22.5" customHeight="1">
      <c r="A2298" s="17"/>
      <c r="B2298" s="20"/>
      <c r="C2298" s="13"/>
      <c r="D2298" s="13"/>
      <c r="E2298" s="13"/>
      <c r="F2298" s="15"/>
      <c r="G2298" s="15"/>
      <c r="H2298" s="46"/>
      <c r="I2298" s="46"/>
      <c r="J2298" s="46"/>
      <c r="K2298" s="46"/>
      <c r="L2298" s="46"/>
      <c r="M2298" s="46"/>
      <c r="N2298" s="46"/>
      <c r="O2298" s="46"/>
      <c r="P2298" s="46"/>
      <c r="Q2298" s="46"/>
      <c r="R2298" s="46"/>
      <c r="S2298" s="46"/>
      <c r="T2298" s="46"/>
      <c r="U2298" s="46"/>
      <c r="V2298" s="46"/>
      <c r="W2298" s="46"/>
      <c r="X2298" s="46"/>
      <c r="Y2298" s="46"/>
      <c r="Z2298" s="46"/>
    </row>
    <row r="2299" ht="22.5" customHeight="1">
      <c r="A2299" s="17"/>
      <c r="B2299" s="20"/>
      <c r="C2299" s="13"/>
      <c r="D2299" s="13"/>
      <c r="E2299" s="13"/>
      <c r="F2299" s="15"/>
      <c r="G2299" s="15"/>
      <c r="H2299" s="46"/>
      <c r="I2299" s="46"/>
      <c r="J2299" s="46"/>
      <c r="K2299" s="46"/>
      <c r="L2299" s="46"/>
      <c r="M2299" s="46"/>
      <c r="N2299" s="46"/>
      <c r="O2299" s="46"/>
      <c r="P2299" s="46"/>
      <c r="Q2299" s="46"/>
      <c r="R2299" s="46"/>
      <c r="S2299" s="46"/>
      <c r="T2299" s="46"/>
      <c r="U2299" s="46"/>
      <c r="V2299" s="46"/>
      <c r="W2299" s="46"/>
      <c r="X2299" s="46"/>
      <c r="Y2299" s="46"/>
      <c r="Z2299" s="46"/>
    </row>
    <row r="2300" ht="22.5" customHeight="1">
      <c r="A2300" s="17"/>
      <c r="B2300" s="20"/>
      <c r="C2300" s="13"/>
      <c r="D2300" s="13"/>
      <c r="E2300" s="13"/>
      <c r="F2300" s="15"/>
      <c r="G2300" s="15"/>
      <c r="H2300" s="46"/>
      <c r="I2300" s="46"/>
      <c r="J2300" s="46"/>
      <c r="K2300" s="46"/>
      <c r="L2300" s="46"/>
      <c r="M2300" s="46"/>
      <c r="N2300" s="46"/>
      <c r="O2300" s="46"/>
      <c r="P2300" s="46"/>
      <c r="Q2300" s="46"/>
      <c r="R2300" s="46"/>
      <c r="S2300" s="46"/>
      <c r="T2300" s="46"/>
      <c r="U2300" s="46"/>
      <c r="V2300" s="46"/>
      <c r="W2300" s="46"/>
      <c r="X2300" s="46"/>
      <c r="Y2300" s="46"/>
      <c r="Z2300" s="46"/>
    </row>
    <row r="2301" ht="22.5" customHeight="1">
      <c r="A2301" s="17"/>
      <c r="B2301" s="20"/>
      <c r="C2301" s="13"/>
      <c r="D2301" s="13"/>
      <c r="E2301" s="13"/>
      <c r="F2301" s="15"/>
      <c r="G2301" s="15"/>
      <c r="H2301" s="46"/>
      <c r="I2301" s="46"/>
      <c r="J2301" s="46"/>
      <c r="K2301" s="46"/>
      <c r="L2301" s="46"/>
      <c r="M2301" s="46"/>
      <c r="N2301" s="46"/>
      <c r="O2301" s="46"/>
      <c r="P2301" s="46"/>
      <c r="Q2301" s="46"/>
      <c r="R2301" s="46"/>
      <c r="S2301" s="46"/>
      <c r="T2301" s="46"/>
      <c r="U2301" s="46"/>
      <c r="V2301" s="46"/>
      <c r="W2301" s="46"/>
      <c r="X2301" s="46"/>
      <c r="Y2301" s="46"/>
      <c r="Z2301" s="46"/>
    </row>
    <row r="2302" ht="22.5" customHeight="1">
      <c r="A2302" s="17"/>
      <c r="B2302" s="20"/>
      <c r="C2302" s="13"/>
      <c r="D2302" s="13"/>
      <c r="E2302" s="13"/>
      <c r="F2302" s="15"/>
      <c r="G2302" s="15"/>
      <c r="H2302" s="46"/>
      <c r="I2302" s="46"/>
      <c r="J2302" s="46"/>
      <c r="K2302" s="46"/>
      <c r="L2302" s="46"/>
      <c r="M2302" s="46"/>
      <c r="N2302" s="46"/>
      <c r="O2302" s="46"/>
      <c r="P2302" s="46"/>
      <c r="Q2302" s="46"/>
      <c r="R2302" s="46"/>
      <c r="S2302" s="46"/>
      <c r="T2302" s="46"/>
      <c r="U2302" s="46"/>
      <c r="V2302" s="46"/>
      <c r="W2302" s="46"/>
      <c r="X2302" s="46"/>
      <c r="Y2302" s="46"/>
      <c r="Z2302" s="46"/>
    </row>
    <row r="2303" ht="22.5" customHeight="1">
      <c r="A2303" s="17"/>
      <c r="B2303" s="20"/>
      <c r="C2303" s="13"/>
      <c r="D2303" s="13"/>
      <c r="E2303" s="13"/>
      <c r="F2303" s="15"/>
      <c r="G2303" s="15"/>
      <c r="H2303" s="46"/>
      <c r="I2303" s="46"/>
      <c r="J2303" s="46"/>
      <c r="K2303" s="46"/>
      <c r="L2303" s="46"/>
      <c r="M2303" s="46"/>
      <c r="N2303" s="46"/>
      <c r="O2303" s="46"/>
      <c r="P2303" s="46"/>
      <c r="Q2303" s="46"/>
      <c r="R2303" s="46"/>
      <c r="S2303" s="46"/>
      <c r="T2303" s="46"/>
      <c r="U2303" s="46"/>
      <c r="V2303" s="46"/>
      <c r="W2303" s="46"/>
      <c r="X2303" s="46"/>
      <c r="Y2303" s="46"/>
      <c r="Z2303" s="46"/>
    </row>
    <row r="2304" ht="22.5" customHeight="1">
      <c r="A2304" s="17"/>
      <c r="B2304" s="20"/>
      <c r="C2304" s="13"/>
      <c r="D2304" s="13"/>
      <c r="E2304" s="13"/>
      <c r="F2304" s="15"/>
      <c r="G2304" s="15"/>
      <c r="H2304" s="46"/>
      <c r="I2304" s="46"/>
      <c r="J2304" s="46"/>
      <c r="K2304" s="46"/>
      <c r="L2304" s="46"/>
      <c r="M2304" s="46"/>
      <c r="N2304" s="46"/>
      <c r="O2304" s="46"/>
      <c r="P2304" s="46"/>
      <c r="Q2304" s="46"/>
      <c r="R2304" s="46"/>
      <c r="S2304" s="46"/>
      <c r="T2304" s="46"/>
      <c r="U2304" s="46"/>
      <c r="V2304" s="46"/>
      <c r="W2304" s="46"/>
      <c r="X2304" s="46"/>
      <c r="Y2304" s="46"/>
      <c r="Z2304" s="46"/>
    </row>
    <row r="2305" ht="22.5" customHeight="1">
      <c r="A2305" s="17"/>
      <c r="B2305" s="20"/>
      <c r="C2305" s="13"/>
      <c r="D2305" s="13"/>
      <c r="E2305" s="13"/>
      <c r="F2305" s="15"/>
      <c r="G2305" s="15"/>
      <c r="H2305" s="46"/>
      <c r="I2305" s="46"/>
      <c r="J2305" s="46"/>
      <c r="K2305" s="46"/>
      <c r="L2305" s="46"/>
      <c r="M2305" s="46"/>
      <c r="N2305" s="46"/>
      <c r="O2305" s="46"/>
      <c r="P2305" s="46"/>
      <c r="Q2305" s="46"/>
      <c r="R2305" s="46"/>
      <c r="S2305" s="46"/>
      <c r="T2305" s="46"/>
      <c r="U2305" s="46"/>
      <c r="V2305" s="46"/>
      <c r="W2305" s="46"/>
      <c r="X2305" s="46"/>
      <c r="Y2305" s="46"/>
      <c r="Z2305" s="46"/>
    </row>
    <row r="2306" ht="22.5" customHeight="1">
      <c r="A2306" s="17"/>
      <c r="B2306" s="20"/>
      <c r="C2306" s="13"/>
      <c r="D2306" s="13"/>
      <c r="E2306" s="13"/>
      <c r="F2306" s="15"/>
      <c r="G2306" s="15"/>
      <c r="H2306" s="46"/>
      <c r="I2306" s="46"/>
      <c r="J2306" s="46"/>
      <c r="K2306" s="46"/>
      <c r="L2306" s="46"/>
      <c r="M2306" s="46"/>
      <c r="N2306" s="46"/>
      <c r="O2306" s="46"/>
      <c r="P2306" s="46"/>
      <c r="Q2306" s="46"/>
      <c r="R2306" s="46"/>
      <c r="S2306" s="46"/>
      <c r="T2306" s="46"/>
      <c r="U2306" s="46"/>
      <c r="V2306" s="46"/>
      <c r="W2306" s="46"/>
      <c r="X2306" s="46"/>
      <c r="Y2306" s="46"/>
      <c r="Z2306" s="46"/>
    </row>
    <row r="2307" ht="22.5" customHeight="1">
      <c r="A2307" s="17"/>
      <c r="B2307" s="20"/>
      <c r="C2307" s="13"/>
      <c r="D2307" s="13"/>
      <c r="E2307" s="13"/>
      <c r="F2307" s="15"/>
      <c r="G2307" s="15"/>
      <c r="H2307" s="46"/>
      <c r="I2307" s="46"/>
      <c r="J2307" s="46"/>
      <c r="K2307" s="46"/>
      <c r="L2307" s="46"/>
      <c r="M2307" s="46"/>
      <c r="N2307" s="46"/>
      <c r="O2307" s="46"/>
      <c r="P2307" s="46"/>
      <c r="Q2307" s="46"/>
      <c r="R2307" s="46"/>
      <c r="S2307" s="46"/>
      <c r="T2307" s="46"/>
      <c r="U2307" s="46"/>
      <c r="V2307" s="46"/>
      <c r="W2307" s="46"/>
      <c r="X2307" s="46"/>
      <c r="Y2307" s="46"/>
      <c r="Z2307" s="46"/>
    </row>
    <row r="2308" ht="22.5" customHeight="1">
      <c r="A2308" s="17"/>
      <c r="B2308" s="20"/>
      <c r="C2308" s="13"/>
      <c r="D2308" s="13"/>
      <c r="E2308" s="13"/>
      <c r="F2308" s="15"/>
      <c r="G2308" s="15"/>
      <c r="H2308" s="46"/>
      <c r="I2308" s="46"/>
      <c r="J2308" s="46"/>
      <c r="K2308" s="46"/>
      <c r="L2308" s="46"/>
      <c r="M2308" s="46"/>
      <c r="N2308" s="46"/>
      <c r="O2308" s="46"/>
      <c r="P2308" s="46"/>
      <c r="Q2308" s="46"/>
      <c r="R2308" s="46"/>
      <c r="S2308" s="46"/>
      <c r="T2308" s="46"/>
      <c r="U2308" s="46"/>
      <c r="V2308" s="46"/>
      <c r="W2308" s="46"/>
      <c r="X2308" s="46"/>
      <c r="Y2308" s="46"/>
      <c r="Z2308" s="46"/>
    </row>
    <row r="2309" ht="22.5" customHeight="1">
      <c r="A2309" s="17"/>
      <c r="B2309" s="20"/>
      <c r="C2309" s="13"/>
      <c r="D2309" s="13"/>
      <c r="E2309" s="13"/>
      <c r="F2309" s="15"/>
      <c r="G2309" s="15"/>
      <c r="H2309" s="46"/>
      <c r="I2309" s="46"/>
      <c r="J2309" s="46"/>
      <c r="K2309" s="46"/>
      <c r="L2309" s="46"/>
      <c r="M2309" s="46"/>
      <c r="N2309" s="46"/>
      <c r="O2309" s="46"/>
      <c r="P2309" s="46"/>
      <c r="Q2309" s="46"/>
      <c r="R2309" s="46"/>
      <c r="S2309" s="46"/>
      <c r="T2309" s="46"/>
      <c r="U2309" s="46"/>
      <c r="V2309" s="46"/>
      <c r="W2309" s="46"/>
      <c r="X2309" s="46"/>
      <c r="Y2309" s="46"/>
      <c r="Z2309" s="46"/>
    </row>
    <row r="2310" ht="22.5" customHeight="1">
      <c r="A2310" s="17"/>
      <c r="B2310" s="20"/>
      <c r="C2310" s="13"/>
      <c r="D2310" s="13"/>
      <c r="E2310" s="13"/>
      <c r="F2310" s="15"/>
      <c r="G2310" s="15"/>
      <c r="H2310" s="46"/>
      <c r="I2310" s="46"/>
      <c r="J2310" s="46"/>
      <c r="K2310" s="46"/>
      <c r="L2310" s="46"/>
      <c r="M2310" s="46"/>
      <c r="N2310" s="46"/>
      <c r="O2310" s="46"/>
      <c r="P2310" s="46"/>
      <c r="Q2310" s="46"/>
      <c r="R2310" s="46"/>
      <c r="S2310" s="46"/>
      <c r="T2310" s="46"/>
      <c r="U2310" s="46"/>
      <c r="V2310" s="46"/>
      <c r="W2310" s="46"/>
      <c r="X2310" s="46"/>
      <c r="Y2310" s="46"/>
      <c r="Z2310" s="46"/>
    </row>
    <row r="2311" ht="22.5" customHeight="1">
      <c r="A2311" s="17"/>
      <c r="B2311" s="20"/>
      <c r="C2311" s="13"/>
      <c r="D2311" s="13"/>
      <c r="E2311" s="13"/>
      <c r="F2311" s="15"/>
      <c r="G2311" s="15"/>
      <c r="H2311" s="46"/>
      <c r="I2311" s="46"/>
      <c r="J2311" s="46"/>
      <c r="K2311" s="46"/>
      <c r="L2311" s="46"/>
      <c r="M2311" s="46"/>
      <c r="N2311" s="46"/>
      <c r="O2311" s="46"/>
      <c r="P2311" s="46"/>
      <c r="Q2311" s="46"/>
      <c r="R2311" s="46"/>
      <c r="S2311" s="46"/>
      <c r="T2311" s="46"/>
      <c r="U2311" s="46"/>
      <c r="V2311" s="46"/>
      <c r="W2311" s="46"/>
      <c r="X2311" s="46"/>
      <c r="Y2311" s="46"/>
      <c r="Z2311" s="46"/>
    </row>
    <row r="2312" ht="22.5" customHeight="1">
      <c r="A2312" s="17"/>
      <c r="B2312" s="20"/>
      <c r="C2312" s="13"/>
      <c r="D2312" s="13"/>
      <c r="E2312" s="13"/>
      <c r="F2312" s="15"/>
      <c r="G2312" s="15"/>
      <c r="H2312" s="46"/>
      <c r="I2312" s="46"/>
      <c r="J2312" s="46"/>
      <c r="K2312" s="46"/>
      <c r="L2312" s="46"/>
      <c r="M2312" s="46"/>
      <c r="N2312" s="46"/>
      <c r="O2312" s="46"/>
      <c r="P2312" s="46"/>
      <c r="Q2312" s="46"/>
      <c r="R2312" s="46"/>
      <c r="S2312" s="46"/>
      <c r="T2312" s="46"/>
      <c r="U2312" s="46"/>
      <c r="V2312" s="46"/>
      <c r="W2312" s="46"/>
      <c r="X2312" s="46"/>
      <c r="Y2312" s="46"/>
      <c r="Z2312" s="46"/>
    </row>
    <row r="2313" ht="22.5" customHeight="1">
      <c r="A2313" s="17"/>
      <c r="B2313" s="20"/>
      <c r="C2313" s="13"/>
      <c r="D2313" s="13"/>
      <c r="E2313" s="13"/>
      <c r="F2313" s="15"/>
      <c r="G2313" s="15"/>
      <c r="H2313" s="46"/>
      <c r="I2313" s="46"/>
      <c r="J2313" s="46"/>
      <c r="K2313" s="46"/>
      <c r="L2313" s="46"/>
      <c r="M2313" s="46"/>
      <c r="N2313" s="46"/>
      <c r="O2313" s="46"/>
      <c r="P2313" s="46"/>
      <c r="Q2313" s="46"/>
      <c r="R2313" s="46"/>
      <c r="S2313" s="46"/>
      <c r="T2313" s="46"/>
      <c r="U2313" s="46"/>
      <c r="V2313" s="46"/>
      <c r="W2313" s="46"/>
      <c r="X2313" s="46"/>
      <c r="Y2313" s="46"/>
      <c r="Z2313" s="46"/>
    </row>
    <row r="2314" ht="22.5" customHeight="1">
      <c r="A2314" s="17"/>
      <c r="B2314" s="20"/>
      <c r="C2314" s="13"/>
      <c r="D2314" s="13"/>
      <c r="E2314" s="13"/>
      <c r="F2314" s="15"/>
      <c r="G2314" s="15"/>
      <c r="H2314" s="46"/>
      <c r="I2314" s="46"/>
      <c r="J2314" s="46"/>
      <c r="K2314" s="46"/>
      <c r="L2314" s="46"/>
      <c r="M2314" s="46"/>
      <c r="N2314" s="46"/>
      <c r="O2314" s="46"/>
      <c r="P2314" s="46"/>
      <c r="Q2314" s="46"/>
      <c r="R2314" s="46"/>
      <c r="S2314" s="46"/>
      <c r="T2314" s="46"/>
      <c r="U2314" s="46"/>
      <c r="V2314" s="46"/>
      <c r="W2314" s="46"/>
      <c r="X2314" s="46"/>
      <c r="Y2314" s="46"/>
      <c r="Z2314" s="46"/>
    </row>
    <row r="2315" ht="22.5" customHeight="1">
      <c r="A2315" s="17"/>
      <c r="B2315" s="20"/>
      <c r="C2315" s="13"/>
      <c r="D2315" s="13"/>
      <c r="E2315" s="13"/>
      <c r="F2315" s="15"/>
      <c r="G2315" s="15"/>
      <c r="H2315" s="46"/>
      <c r="I2315" s="46"/>
      <c r="J2315" s="46"/>
      <c r="K2315" s="46"/>
      <c r="L2315" s="46"/>
      <c r="M2315" s="46"/>
      <c r="N2315" s="46"/>
      <c r="O2315" s="46"/>
      <c r="P2315" s="46"/>
      <c r="Q2315" s="46"/>
      <c r="R2315" s="46"/>
      <c r="S2315" s="46"/>
      <c r="T2315" s="46"/>
      <c r="U2315" s="46"/>
      <c r="V2315" s="46"/>
      <c r="W2315" s="46"/>
      <c r="X2315" s="46"/>
      <c r="Y2315" s="46"/>
      <c r="Z2315" s="46"/>
    </row>
    <row r="2316" ht="22.5" customHeight="1">
      <c r="A2316" s="17"/>
      <c r="B2316" s="20"/>
      <c r="C2316" s="13"/>
      <c r="D2316" s="13"/>
      <c r="E2316" s="13"/>
      <c r="F2316" s="15"/>
      <c r="G2316" s="15"/>
      <c r="H2316" s="46"/>
      <c r="I2316" s="46"/>
      <c r="J2316" s="46"/>
      <c r="K2316" s="46"/>
      <c r="L2316" s="46"/>
      <c r="M2316" s="46"/>
      <c r="N2316" s="46"/>
      <c r="O2316" s="46"/>
      <c r="P2316" s="46"/>
      <c r="Q2316" s="46"/>
      <c r="R2316" s="46"/>
      <c r="S2316" s="46"/>
      <c r="T2316" s="46"/>
      <c r="U2316" s="46"/>
      <c r="V2316" s="46"/>
      <c r="W2316" s="46"/>
      <c r="X2316" s="46"/>
      <c r="Y2316" s="46"/>
      <c r="Z2316" s="46"/>
    </row>
    <row r="2317" ht="22.5" customHeight="1">
      <c r="A2317" s="17"/>
      <c r="B2317" s="20"/>
      <c r="C2317" s="13"/>
      <c r="D2317" s="13"/>
      <c r="E2317" s="13"/>
      <c r="F2317" s="15"/>
      <c r="G2317" s="15"/>
      <c r="H2317" s="46"/>
      <c r="I2317" s="46"/>
      <c r="J2317" s="46"/>
      <c r="K2317" s="46"/>
      <c r="L2317" s="46"/>
      <c r="M2317" s="46"/>
      <c r="N2317" s="46"/>
      <c r="O2317" s="46"/>
      <c r="P2317" s="46"/>
      <c r="Q2317" s="46"/>
      <c r="R2317" s="46"/>
      <c r="S2317" s="46"/>
      <c r="T2317" s="46"/>
      <c r="U2317" s="46"/>
      <c r="V2317" s="46"/>
      <c r="W2317" s="46"/>
      <c r="X2317" s="46"/>
      <c r="Y2317" s="46"/>
      <c r="Z2317" s="46"/>
    </row>
    <row r="2318" ht="22.5" customHeight="1">
      <c r="A2318" s="17"/>
      <c r="B2318" s="20"/>
      <c r="C2318" s="13"/>
      <c r="D2318" s="13"/>
      <c r="E2318" s="13"/>
      <c r="F2318" s="15"/>
      <c r="G2318" s="15"/>
      <c r="H2318" s="46"/>
      <c r="I2318" s="46"/>
      <c r="J2318" s="46"/>
      <c r="K2318" s="46"/>
      <c r="L2318" s="46"/>
      <c r="M2318" s="46"/>
      <c r="N2318" s="46"/>
      <c r="O2318" s="46"/>
      <c r="P2318" s="46"/>
      <c r="Q2318" s="46"/>
      <c r="R2318" s="46"/>
      <c r="S2318" s="46"/>
      <c r="T2318" s="46"/>
      <c r="U2318" s="46"/>
      <c r="V2318" s="46"/>
      <c r="W2318" s="46"/>
      <c r="X2318" s="46"/>
      <c r="Y2318" s="46"/>
      <c r="Z2318" s="46"/>
    </row>
    <row r="2319" ht="22.5" customHeight="1">
      <c r="A2319" s="17"/>
      <c r="B2319" s="20"/>
      <c r="C2319" s="13"/>
      <c r="D2319" s="13"/>
      <c r="E2319" s="13"/>
      <c r="F2319" s="15"/>
      <c r="G2319" s="15"/>
      <c r="H2319" s="46"/>
      <c r="I2319" s="46"/>
      <c r="J2319" s="46"/>
      <c r="K2319" s="46"/>
      <c r="L2319" s="46"/>
      <c r="M2319" s="46"/>
      <c r="N2319" s="46"/>
      <c r="O2319" s="46"/>
      <c r="P2319" s="46"/>
      <c r="Q2319" s="46"/>
      <c r="R2319" s="46"/>
      <c r="S2319" s="46"/>
      <c r="T2319" s="46"/>
      <c r="U2319" s="46"/>
      <c r="V2319" s="46"/>
      <c r="W2319" s="46"/>
      <c r="X2319" s="46"/>
      <c r="Y2319" s="46"/>
      <c r="Z2319" s="46"/>
    </row>
    <row r="2320" ht="22.5" customHeight="1">
      <c r="A2320" s="17"/>
      <c r="B2320" s="20"/>
      <c r="C2320" s="13"/>
      <c r="D2320" s="13"/>
      <c r="E2320" s="13"/>
      <c r="F2320" s="15"/>
      <c r="G2320" s="15"/>
      <c r="H2320" s="46"/>
      <c r="I2320" s="46"/>
      <c r="J2320" s="46"/>
      <c r="K2320" s="46"/>
      <c r="L2320" s="46"/>
      <c r="M2320" s="46"/>
      <c r="N2320" s="46"/>
      <c r="O2320" s="46"/>
      <c r="P2320" s="46"/>
      <c r="Q2320" s="46"/>
      <c r="R2320" s="46"/>
      <c r="S2320" s="46"/>
      <c r="T2320" s="46"/>
      <c r="U2320" s="46"/>
      <c r="V2320" s="46"/>
      <c r="W2320" s="46"/>
      <c r="X2320" s="46"/>
      <c r="Y2320" s="46"/>
      <c r="Z2320" s="46"/>
    </row>
    <row r="2321" ht="22.5" customHeight="1">
      <c r="A2321" s="17"/>
      <c r="B2321" s="20"/>
      <c r="C2321" s="13"/>
      <c r="D2321" s="13"/>
      <c r="E2321" s="13"/>
      <c r="F2321" s="15"/>
      <c r="G2321" s="15"/>
      <c r="H2321" s="46"/>
      <c r="I2321" s="46"/>
      <c r="J2321" s="46"/>
      <c r="K2321" s="46"/>
      <c r="L2321" s="46"/>
      <c r="M2321" s="46"/>
      <c r="N2321" s="46"/>
      <c r="O2321" s="46"/>
      <c r="P2321" s="46"/>
      <c r="Q2321" s="46"/>
      <c r="R2321" s="46"/>
      <c r="S2321" s="46"/>
      <c r="T2321" s="46"/>
      <c r="U2321" s="46"/>
      <c r="V2321" s="46"/>
      <c r="W2321" s="46"/>
      <c r="X2321" s="46"/>
      <c r="Y2321" s="46"/>
      <c r="Z2321" s="46"/>
    </row>
    <row r="2322" ht="22.5" customHeight="1">
      <c r="A2322" s="17"/>
      <c r="B2322" s="20"/>
      <c r="C2322" s="13"/>
      <c r="D2322" s="13"/>
      <c r="E2322" s="13"/>
      <c r="F2322" s="15"/>
      <c r="G2322" s="15"/>
      <c r="H2322" s="46"/>
      <c r="I2322" s="46"/>
      <c r="J2322" s="46"/>
      <c r="K2322" s="46"/>
      <c r="L2322" s="46"/>
      <c r="M2322" s="46"/>
      <c r="N2322" s="46"/>
      <c r="O2322" s="46"/>
      <c r="P2322" s="46"/>
      <c r="Q2322" s="46"/>
      <c r="R2322" s="46"/>
      <c r="S2322" s="46"/>
      <c r="T2322" s="46"/>
      <c r="U2322" s="46"/>
      <c r="V2322" s="46"/>
      <c r="W2322" s="46"/>
      <c r="X2322" s="46"/>
      <c r="Y2322" s="46"/>
      <c r="Z2322" s="46"/>
    </row>
    <row r="2323" ht="22.5" customHeight="1">
      <c r="A2323" s="17"/>
      <c r="B2323" s="20"/>
      <c r="C2323" s="13"/>
      <c r="D2323" s="13"/>
      <c r="E2323" s="13"/>
      <c r="F2323" s="15"/>
      <c r="G2323" s="15"/>
      <c r="H2323" s="46"/>
      <c r="I2323" s="46"/>
      <c r="J2323" s="46"/>
      <c r="K2323" s="46"/>
      <c r="L2323" s="46"/>
      <c r="M2323" s="46"/>
      <c r="N2323" s="46"/>
      <c r="O2323" s="46"/>
      <c r="P2323" s="46"/>
      <c r="Q2323" s="46"/>
      <c r="R2323" s="46"/>
      <c r="S2323" s="46"/>
      <c r="T2323" s="46"/>
      <c r="U2323" s="46"/>
      <c r="V2323" s="46"/>
      <c r="W2323" s="46"/>
      <c r="X2323" s="46"/>
      <c r="Y2323" s="46"/>
      <c r="Z2323" s="46"/>
    </row>
    <row r="2324" ht="22.5" customHeight="1">
      <c r="A2324" s="17"/>
      <c r="B2324" s="20"/>
      <c r="C2324" s="13"/>
      <c r="D2324" s="13"/>
      <c r="E2324" s="13"/>
      <c r="F2324" s="15"/>
      <c r="G2324" s="15"/>
      <c r="H2324" s="46"/>
      <c r="I2324" s="46"/>
      <c r="J2324" s="46"/>
      <c r="K2324" s="46"/>
      <c r="L2324" s="46"/>
      <c r="M2324" s="46"/>
      <c r="N2324" s="46"/>
      <c r="O2324" s="46"/>
      <c r="P2324" s="46"/>
      <c r="Q2324" s="46"/>
      <c r="R2324" s="46"/>
      <c r="S2324" s="46"/>
      <c r="T2324" s="46"/>
      <c r="U2324" s="46"/>
      <c r="V2324" s="46"/>
      <c r="W2324" s="46"/>
      <c r="X2324" s="46"/>
      <c r="Y2324" s="46"/>
      <c r="Z2324" s="46"/>
    </row>
    <row r="2325" ht="22.5" customHeight="1">
      <c r="A2325" s="17"/>
      <c r="B2325" s="20"/>
      <c r="C2325" s="13"/>
      <c r="D2325" s="13"/>
      <c r="E2325" s="13"/>
      <c r="F2325" s="15"/>
      <c r="G2325" s="15"/>
      <c r="H2325" s="46"/>
      <c r="I2325" s="46"/>
      <c r="J2325" s="46"/>
      <c r="K2325" s="46"/>
      <c r="L2325" s="46"/>
      <c r="M2325" s="46"/>
      <c r="N2325" s="46"/>
      <c r="O2325" s="46"/>
      <c r="P2325" s="46"/>
      <c r="Q2325" s="46"/>
      <c r="R2325" s="46"/>
      <c r="S2325" s="46"/>
      <c r="T2325" s="46"/>
      <c r="U2325" s="46"/>
      <c r="V2325" s="46"/>
      <c r="W2325" s="46"/>
      <c r="X2325" s="46"/>
      <c r="Y2325" s="46"/>
      <c r="Z2325" s="46"/>
    </row>
    <row r="2326" ht="22.5" customHeight="1">
      <c r="A2326" s="17"/>
      <c r="B2326" s="20"/>
      <c r="C2326" s="13"/>
      <c r="D2326" s="13"/>
      <c r="E2326" s="13"/>
      <c r="F2326" s="15"/>
      <c r="G2326" s="15"/>
      <c r="H2326" s="46"/>
      <c r="I2326" s="46"/>
      <c r="J2326" s="46"/>
      <c r="K2326" s="46"/>
      <c r="L2326" s="46"/>
      <c r="M2326" s="46"/>
      <c r="N2326" s="46"/>
      <c r="O2326" s="46"/>
      <c r="P2326" s="46"/>
      <c r="Q2326" s="46"/>
      <c r="R2326" s="46"/>
      <c r="S2326" s="46"/>
      <c r="T2326" s="46"/>
      <c r="U2326" s="46"/>
      <c r="V2326" s="46"/>
      <c r="W2326" s="46"/>
      <c r="X2326" s="46"/>
      <c r="Y2326" s="46"/>
      <c r="Z2326" s="46"/>
    </row>
    <row r="2327" ht="22.5" customHeight="1">
      <c r="A2327" s="17"/>
      <c r="B2327" s="20"/>
      <c r="C2327" s="13"/>
      <c r="D2327" s="13"/>
      <c r="E2327" s="13"/>
      <c r="F2327" s="15"/>
      <c r="G2327" s="15"/>
      <c r="H2327" s="46"/>
      <c r="I2327" s="46"/>
      <c r="J2327" s="46"/>
      <c r="K2327" s="46"/>
      <c r="L2327" s="46"/>
      <c r="M2327" s="46"/>
      <c r="N2327" s="46"/>
      <c r="O2327" s="46"/>
      <c r="P2327" s="46"/>
      <c r="Q2327" s="46"/>
      <c r="R2327" s="46"/>
      <c r="S2327" s="46"/>
      <c r="T2327" s="46"/>
      <c r="U2327" s="46"/>
      <c r="V2327" s="46"/>
      <c r="W2327" s="46"/>
      <c r="X2327" s="46"/>
      <c r="Y2327" s="46"/>
      <c r="Z2327" s="46"/>
    </row>
    <row r="2328" ht="22.5" customHeight="1">
      <c r="A2328" s="17"/>
      <c r="B2328" s="20"/>
      <c r="C2328" s="13"/>
      <c r="D2328" s="13"/>
      <c r="E2328" s="13"/>
      <c r="F2328" s="15"/>
      <c r="G2328" s="15"/>
      <c r="H2328" s="46"/>
      <c r="I2328" s="46"/>
      <c r="J2328" s="46"/>
      <c r="K2328" s="46"/>
      <c r="L2328" s="46"/>
      <c r="M2328" s="46"/>
      <c r="N2328" s="46"/>
      <c r="O2328" s="46"/>
      <c r="P2328" s="46"/>
      <c r="Q2328" s="46"/>
      <c r="R2328" s="46"/>
      <c r="S2328" s="46"/>
      <c r="T2328" s="46"/>
      <c r="U2328" s="46"/>
      <c r="V2328" s="46"/>
      <c r="W2328" s="46"/>
      <c r="X2328" s="46"/>
      <c r="Y2328" s="46"/>
      <c r="Z2328" s="46"/>
    </row>
    <row r="2329" ht="22.5" customHeight="1">
      <c r="A2329" s="17"/>
      <c r="B2329" s="20"/>
      <c r="C2329" s="13"/>
      <c r="D2329" s="13"/>
      <c r="E2329" s="13"/>
      <c r="F2329" s="15"/>
      <c r="G2329" s="15"/>
      <c r="H2329" s="46"/>
      <c r="I2329" s="46"/>
      <c r="J2329" s="46"/>
      <c r="K2329" s="46"/>
      <c r="L2329" s="46"/>
      <c r="M2329" s="46"/>
      <c r="N2329" s="46"/>
      <c r="O2329" s="46"/>
      <c r="P2329" s="46"/>
      <c r="Q2329" s="46"/>
      <c r="R2329" s="46"/>
      <c r="S2329" s="46"/>
      <c r="T2329" s="46"/>
      <c r="U2329" s="46"/>
      <c r="V2329" s="46"/>
      <c r="W2329" s="46"/>
      <c r="X2329" s="46"/>
      <c r="Y2329" s="46"/>
      <c r="Z2329" s="46"/>
    </row>
    <row r="2330" ht="22.5" customHeight="1">
      <c r="A2330" s="17"/>
      <c r="B2330" s="20"/>
      <c r="C2330" s="13"/>
      <c r="D2330" s="13"/>
      <c r="E2330" s="13"/>
      <c r="F2330" s="15"/>
      <c r="G2330" s="15"/>
      <c r="H2330" s="46"/>
      <c r="I2330" s="46"/>
      <c r="J2330" s="46"/>
      <c r="K2330" s="46"/>
      <c r="L2330" s="46"/>
      <c r="M2330" s="46"/>
      <c r="N2330" s="46"/>
      <c r="O2330" s="46"/>
      <c r="P2330" s="46"/>
      <c r="Q2330" s="46"/>
      <c r="R2330" s="46"/>
      <c r="S2330" s="46"/>
      <c r="T2330" s="46"/>
      <c r="U2330" s="46"/>
      <c r="V2330" s="46"/>
      <c r="W2330" s="46"/>
      <c r="X2330" s="46"/>
      <c r="Y2330" s="46"/>
      <c r="Z2330" s="46"/>
    </row>
    <row r="2331" ht="22.5" customHeight="1">
      <c r="A2331" s="17"/>
      <c r="B2331" s="20"/>
      <c r="C2331" s="13"/>
      <c r="D2331" s="13"/>
      <c r="E2331" s="13"/>
      <c r="F2331" s="15"/>
      <c r="G2331" s="15"/>
      <c r="H2331" s="46"/>
      <c r="I2331" s="46"/>
      <c r="J2331" s="46"/>
      <c r="K2331" s="46"/>
      <c r="L2331" s="46"/>
      <c r="M2331" s="46"/>
      <c r="N2331" s="46"/>
      <c r="O2331" s="46"/>
      <c r="P2331" s="46"/>
      <c r="Q2331" s="46"/>
      <c r="R2331" s="46"/>
      <c r="S2331" s="46"/>
      <c r="T2331" s="46"/>
      <c r="U2331" s="46"/>
      <c r="V2331" s="46"/>
      <c r="W2331" s="46"/>
      <c r="X2331" s="46"/>
      <c r="Y2331" s="46"/>
      <c r="Z2331" s="46"/>
    </row>
    <row r="2332" ht="22.5" customHeight="1">
      <c r="A2332" s="17"/>
      <c r="B2332" s="20"/>
      <c r="C2332" s="13"/>
      <c r="D2332" s="13"/>
      <c r="E2332" s="13"/>
      <c r="F2332" s="15"/>
      <c r="G2332" s="15"/>
      <c r="H2332" s="46"/>
      <c r="I2332" s="46"/>
      <c r="J2332" s="46"/>
      <c r="K2332" s="46"/>
      <c r="L2332" s="46"/>
      <c r="M2332" s="46"/>
      <c r="N2332" s="46"/>
      <c r="O2332" s="46"/>
      <c r="P2332" s="46"/>
      <c r="Q2332" s="46"/>
      <c r="R2332" s="46"/>
      <c r="S2332" s="46"/>
      <c r="T2332" s="46"/>
      <c r="U2332" s="46"/>
      <c r="V2332" s="46"/>
      <c r="W2332" s="46"/>
      <c r="X2332" s="46"/>
      <c r="Y2332" s="46"/>
      <c r="Z2332" s="46"/>
    </row>
    <row r="2333" ht="22.5" customHeight="1">
      <c r="A2333" s="17"/>
      <c r="B2333" s="20"/>
      <c r="C2333" s="13"/>
      <c r="D2333" s="13"/>
      <c r="E2333" s="13"/>
      <c r="F2333" s="15"/>
      <c r="G2333" s="15"/>
      <c r="H2333" s="46"/>
      <c r="I2333" s="46"/>
      <c r="J2333" s="46"/>
      <c r="K2333" s="46"/>
      <c r="L2333" s="46"/>
      <c r="M2333" s="46"/>
      <c r="N2333" s="46"/>
      <c r="O2333" s="46"/>
      <c r="P2333" s="46"/>
      <c r="Q2333" s="46"/>
      <c r="R2333" s="46"/>
      <c r="S2333" s="46"/>
      <c r="T2333" s="46"/>
      <c r="U2333" s="46"/>
      <c r="V2333" s="46"/>
      <c r="W2333" s="46"/>
      <c r="X2333" s="46"/>
      <c r="Y2333" s="46"/>
      <c r="Z2333" s="46"/>
    </row>
    <row r="2334" ht="22.5" customHeight="1">
      <c r="A2334" s="17"/>
      <c r="B2334" s="20"/>
      <c r="C2334" s="13"/>
      <c r="D2334" s="13"/>
      <c r="E2334" s="13"/>
      <c r="F2334" s="15"/>
      <c r="G2334" s="15"/>
      <c r="H2334" s="46"/>
      <c r="I2334" s="46"/>
      <c r="J2334" s="46"/>
      <c r="K2334" s="46"/>
      <c r="L2334" s="46"/>
      <c r="M2334" s="46"/>
      <c r="N2334" s="46"/>
      <c r="O2334" s="46"/>
      <c r="P2334" s="46"/>
      <c r="Q2334" s="46"/>
      <c r="R2334" s="46"/>
      <c r="S2334" s="46"/>
      <c r="T2334" s="46"/>
      <c r="U2334" s="46"/>
      <c r="V2334" s="46"/>
      <c r="W2334" s="46"/>
      <c r="X2334" s="46"/>
      <c r="Y2334" s="46"/>
      <c r="Z2334" s="46"/>
    </row>
    <row r="2335" ht="22.5" customHeight="1">
      <c r="A2335" s="17"/>
      <c r="B2335" s="20"/>
      <c r="C2335" s="13"/>
      <c r="D2335" s="13"/>
      <c r="E2335" s="13"/>
      <c r="F2335" s="15"/>
      <c r="G2335" s="15"/>
      <c r="H2335" s="46"/>
      <c r="I2335" s="46"/>
      <c r="J2335" s="46"/>
      <c r="K2335" s="46"/>
      <c r="L2335" s="46"/>
      <c r="M2335" s="46"/>
      <c r="N2335" s="46"/>
      <c r="O2335" s="46"/>
      <c r="P2335" s="46"/>
      <c r="Q2335" s="46"/>
      <c r="R2335" s="46"/>
      <c r="S2335" s="46"/>
      <c r="T2335" s="46"/>
      <c r="U2335" s="46"/>
      <c r="V2335" s="46"/>
      <c r="W2335" s="46"/>
      <c r="X2335" s="46"/>
      <c r="Y2335" s="46"/>
      <c r="Z2335" s="46"/>
    </row>
    <row r="2336" ht="22.5" customHeight="1">
      <c r="A2336" s="17"/>
      <c r="B2336" s="20"/>
      <c r="C2336" s="13"/>
      <c r="D2336" s="13"/>
      <c r="E2336" s="13"/>
      <c r="F2336" s="15"/>
      <c r="G2336" s="15"/>
      <c r="H2336" s="46"/>
      <c r="I2336" s="46"/>
      <c r="J2336" s="46"/>
      <c r="K2336" s="46"/>
      <c r="L2336" s="46"/>
      <c r="M2336" s="46"/>
      <c r="N2336" s="46"/>
      <c r="O2336" s="46"/>
      <c r="P2336" s="46"/>
      <c r="Q2336" s="46"/>
      <c r="R2336" s="46"/>
      <c r="S2336" s="46"/>
      <c r="T2336" s="46"/>
      <c r="U2336" s="46"/>
      <c r="V2336" s="46"/>
      <c r="W2336" s="46"/>
      <c r="X2336" s="46"/>
      <c r="Y2336" s="46"/>
      <c r="Z2336" s="46"/>
    </row>
    <row r="2337" ht="22.5" customHeight="1">
      <c r="A2337" s="17"/>
      <c r="B2337" s="20"/>
      <c r="C2337" s="13"/>
      <c r="D2337" s="13"/>
      <c r="E2337" s="13"/>
      <c r="F2337" s="15"/>
      <c r="G2337" s="15"/>
      <c r="H2337" s="46"/>
      <c r="I2337" s="46"/>
      <c r="J2337" s="46"/>
      <c r="K2337" s="46"/>
      <c r="L2337" s="46"/>
      <c r="M2337" s="46"/>
      <c r="N2337" s="46"/>
      <c r="O2337" s="46"/>
      <c r="P2337" s="46"/>
      <c r="Q2337" s="46"/>
      <c r="R2337" s="46"/>
      <c r="S2337" s="46"/>
      <c r="T2337" s="46"/>
      <c r="U2337" s="46"/>
      <c r="V2337" s="46"/>
      <c r="W2337" s="46"/>
      <c r="X2337" s="46"/>
      <c r="Y2337" s="46"/>
      <c r="Z2337" s="46"/>
    </row>
    <row r="2338" ht="22.5" customHeight="1">
      <c r="A2338" s="17"/>
      <c r="B2338" s="20"/>
      <c r="C2338" s="13"/>
      <c r="D2338" s="13"/>
      <c r="E2338" s="13"/>
      <c r="F2338" s="15"/>
      <c r="G2338" s="15"/>
      <c r="H2338" s="46"/>
      <c r="I2338" s="46"/>
      <c r="J2338" s="46"/>
      <c r="K2338" s="46"/>
      <c r="L2338" s="46"/>
      <c r="M2338" s="46"/>
      <c r="N2338" s="46"/>
      <c r="O2338" s="46"/>
      <c r="P2338" s="46"/>
      <c r="Q2338" s="46"/>
      <c r="R2338" s="46"/>
      <c r="S2338" s="46"/>
      <c r="T2338" s="46"/>
      <c r="U2338" s="46"/>
      <c r="V2338" s="46"/>
      <c r="W2338" s="46"/>
      <c r="X2338" s="46"/>
      <c r="Y2338" s="46"/>
      <c r="Z2338" s="46"/>
    </row>
    <row r="2339" ht="22.5" customHeight="1">
      <c r="A2339" s="17"/>
      <c r="B2339" s="20"/>
      <c r="C2339" s="13"/>
      <c r="D2339" s="13"/>
      <c r="E2339" s="13"/>
      <c r="F2339" s="15"/>
      <c r="G2339" s="15"/>
      <c r="H2339" s="46"/>
      <c r="I2339" s="46"/>
      <c r="J2339" s="46"/>
      <c r="K2339" s="46"/>
      <c r="L2339" s="46"/>
      <c r="M2339" s="46"/>
      <c r="N2339" s="46"/>
      <c r="O2339" s="46"/>
      <c r="P2339" s="46"/>
      <c r="Q2339" s="46"/>
      <c r="R2339" s="46"/>
      <c r="S2339" s="46"/>
      <c r="T2339" s="46"/>
      <c r="U2339" s="46"/>
      <c r="V2339" s="46"/>
      <c r="W2339" s="46"/>
      <c r="X2339" s="46"/>
      <c r="Y2339" s="46"/>
      <c r="Z2339" s="46"/>
    </row>
    <row r="2340" ht="22.5" customHeight="1">
      <c r="A2340" s="17"/>
      <c r="B2340" s="20"/>
      <c r="C2340" s="13"/>
      <c r="D2340" s="13"/>
      <c r="E2340" s="13"/>
      <c r="F2340" s="15"/>
      <c r="G2340" s="15"/>
      <c r="H2340" s="46"/>
      <c r="I2340" s="46"/>
      <c r="J2340" s="46"/>
      <c r="K2340" s="46"/>
      <c r="L2340" s="46"/>
      <c r="M2340" s="46"/>
      <c r="N2340" s="46"/>
      <c r="O2340" s="46"/>
      <c r="P2340" s="46"/>
      <c r="Q2340" s="46"/>
      <c r="R2340" s="46"/>
      <c r="S2340" s="46"/>
      <c r="T2340" s="46"/>
      <c r="U2340" s="46"/>
      <c r="V2340" s="46"/>
      <c r="W2340" s="46"/>
      <c r="X2340" s="46"/>
      <c r="Y2340" s="46"/>
      <c r="Z2340" s="46"/>
    </row>
    <row r="2341" ht="22.5" customHeight="1">
      <c r="A2341" s="17"/>
      <c r="B2341" s="20"/>
      <c r="C2341" s="13"/>
      <c r="D2341" s="13"/>
      <c r="E2341" s="13"/>
      <c r="F2341" s="15"/>
      <c r="G2341" s="15"/>
      <c r="H2341" s="46"/>
      <c r="I2341" s="46"/>
      <c r="J2341" s="46"/>
      <c r="K2341" s="46"/>
      <c r="L2341" s="46"/>
      <c r="M2341" s="46"/>
      <c r="N2341" s="46"/>
      <c r="O2341" s="46"/>
      <c r="P2341" s="46"/>
      <c r="Q2341" s="46"/>
      <c r="R2341" s="46"/>
      <c r="S2341" s="46"/>
      <c r="T2341" s="46"/>
      <c r="U2341" s="46"/>
      <c r="V2341" s="46"/>
      <c r="W2341" s="46"/>
      <c r="X2341" s="46"/>
      <c r="Y2341" s="46"/>
      <c r="Z2341" s="46"/>
    </row>
    <row r="2342" ht="22.5" customHeight="1">
      <c r="A2342" s="17"/>
      <c r="B2342" s="20"/>
      <c r="C2342" s="13"/>
      <c r="D2342" s="13"/>
      <c r="E2342" s="13"/>
      <c r="F2342" s="15"/>
      <c r="G2342" s="15"/>
      <c r="H2342" s="46"/>
      <c r="I2342" s="46"/>
      <c r="J2342" s="46"/>
      <c r="K2342" s="46"/>
      <c r="L2342" s="46"/>
      <c r="M2342" s="46"/>
      <c r="N2342" s="46"/>
      <c r="O2342" s="46"/>
      <c r="P2342" s="46"/>
      <c r="Q2342" s="46"/>
      <c r="R2342" s="46"/>
      <c r="S2342" s="46"/>
      <c r="T2342" s="46"/>
      <c r="U2342" s="46"/>
      <c r="V2342" s="46"/>
      <c r="W2342" s="46"/>
      <c r="X2342" s="46"/>
      <c r="Y2342" s="46"/>
      <c r="Z2342" s="46"/>
    </row>
    <row r="2343" ht="22.5" customHeight="1">
      <c r="A2343" s="17"/>
      <c r="B2343" s="20"/>
      <c r="C2343" s="13"/>
      <c r="D2343" s="13"/>
      <c r="E2343" s="13"/>
      <c r="F2343" s="15"/>
      <c r="G2343" s="15"/>
      <c r="H2343" s="46"/>
      <c r="I2343" s="46"/>
      <c r="J2343" s="46"/>
      <c r="K2343" s="46"/>
      <c r="L2343" s="46"/>
      <c r="M2343" s="46"/>
      <c r="N2343" s="46"/>
      <c r="O2343" s="46"/>
      <c r="P2343" s="46"/>
      <c r="Q2343" s="46"/>
      <c r="R2343" s="46"/>
      <c r="S2343" s="46"/>
      <c r="T2343" s="46"/>
      <c r="U2343" s="46"/>
      <c r="V2343" s="46"/>
      <c r="W2343" s="46"/>
      <c r="X2343" s="46"/>
      <c r="Y2343" s="46"/>
      <c r="Z2343" s="46"/>
    </row>
    <row r="2344" ht="22.5" customHeight="1">
      <c r="A2344" s="17"/>
      <c r="B2344" s="20"/>
      <c r="C2344" s="13"/>
      <c r="D2344" s="13"/>
      <c r="E2344" s="13"/>
      <c r="F2344" s="15"/>
      <c r="G2344" s="15"/>
      <c r="H2344" s="46"/>
      <c r="I2344" s="46"/>
      <c r="J2344" s="46"/>
      <c r="K2344" s="46"/>
      <c r="L2344" s="46"/>
      <c r="M2344" s="46"/>
      <c r="N2344" s="46"/>
      <c r="O2344" s="46"/>
      <c r="P2344" s="46"/>
      <c r="Q2344" s="46"/>
      <c r="R2344" s="46"/>
      <c r="S2344" s="46"/>
      <c r="T2344" s="46"/>
      <c r="U2344" s="46"/>
      <c r="V2344" s="46"/>
      <c r="W2344" s="46"/>
      <c r="X2344" s="46"/>
      <c r="Y2344" s="46"/>
      <c r="Z2344" s="46"/>
    </row>
    <row r="2345" ht="22.5" customHeight="1">
      <c r="A2345" s="17"/>
      <c r="B2345" s="20"/>
      <c r="C2345" s="13"/>
      <c r="D2345" s="13"/>
      <c r="E2345" s="13"/>
      <c r="F2345" s="15"/>
      <c r="G2345" s="15"/>
      <c r="H2345" s="46"/>
      <c r="I2345" s="46"/>
      <c r="J2345" s="46"/>
      <c r="K2345" s="46"/>
      <c r="L2345" s="46"/>
      <c r="M2345" s="46"/>
      <c r="N2345" s="46"/>
      <c r="O2345" s="46"/>
      <c r="P2345" s="46"/>
      <c r="Q2345" s="46"/>
      <c r="R2345" s="46"/>
      <c r="S2345" s="46"/>
      <c r="T2345" s="46"/>
      <c r="U2345" s="46"/>
      <c r="V2345" s="46"/>
      <c r="W2345" s="46"/>
      <c r="X2345" s="46"/>
      <c r="Y2345" s="46"/>
      <c r="Z2345" s="46"/>
    </row>
    <row r="2346" ht="22.5" customHeight="1">
      <c r="A2346" s="17"/>
      <c r="B2346" s="20"/>
      <c r="C2346" s="13"/>
      <c r="D2346" s="13"/>
      <c r="E2346" s="13"/>
      <c r="F2346" s="15"/>
      <c r="G2346" s="15"/>
      <c r="H2346" s="46"/>
      <c r="I2346" s="46"/>
      <c r="J2346" s="46"/>
      <c r="K2346" s="46"/>
      <c r="L2346" s="46"/>
      <c r="M2346" s="46"/>
      <c r="N2346" s="46"/>
      <c r="O2346" s="46"/>
      <c r="P2346" s="46"/>
      <c r="Q2346" s="46"/>
      <c r="R2346" s="46"/>
      <c r="S2346" s="46"/>
      <c r="T2346" s="46"/>
      <c r="U2346" s="46"/>
      <c r="V2346" s="46"/>
      <c r="W2346" s="46"/>
      <c r="X2346" s="46"/>
      <c r="Y2346" s="46"/>
      <c r="Z2346" s="46"/>
    </row>
    <row r="2347" ht="22.5" customHeight="1">
      <c r="A2347" s="17"/>
      <c r="B2347" s="20"/>
      <c r="C2347" s="13"/>
      <c r="D2347" s="13"/>
      <c r="E2347" s="13"/>
      <c r="F2347" s="15"/>
      <c r="G2347" s="15"/>
      <c r="H2347" s="46"/>
      <c r="I2347" s="46"/>
      <c r="J2347" s="46"/>
      <c r="K2347" s="46"/>
      <c r="L2347" s="46"/>
      <c r="M2347" s="46"/>
      <c r="N2347" s="46"/>
      <c r="O2347" s="46"/>
      <c r="P2347" s="46"/>
      <c r="Q2347" s="46"/>
      <c r="R2347" s="46"/>
      <c r="S2347" s="46"/>
      <c r="T2347" s="46"/>
      <c r="U2347" s="46"/>
      <c r="V2347" s="46"/>
      <c r="W2347" s="46"/>
      <c r="X2347" s="46"/>
      <c r="Y2347" s="46"/>
      <c r="Z2347" s="46"/>
    </row>
    <row r="2348" ht="22.5" customHeight="1">
      <c r="A2348" s="17"/>
      <c r="B2348" s="20"/>
      <c r="C2348" s="13"/>
      <c r="D2348" s="13"/>
      <c r="E2348" s="13"/>
      <c r="F2348" s="15"/>
      <c r="G2348" s="15"/>
      <c r="H2348" s="46"/>
      <c r="I2348" s="46"/>
      <c r="J2348" s="46"/>
      <c r="K2348" s="46"/>
      <c r="L2348" s="46"/>
      <c r="M2348" s="46"/>
      <c r="N2348" s="46"/>
      <c r="O2348" s="46"/>
      <c r="P2348" s="46"/>
      <c r="Q2348" s="46"/>
      <c r="R2348" s="46"/>
      <c r="S2348" s="46"/>
      <c r="T2348" s="46"/>
      <c r="U2348" s="46"/>
      <c r="V2348" s="46"/>
      <c r="W2348" s="46"/>
      <c r="X2348" s="46"/>
      <c r="Y2348" s="46"/>
      <c r="Z2348" s="46"/>
    </row>
    <row r="2349" ht="22.5" customHeight="1">
      <c r="A2349" s="17"/>
      <c r="B2349" s="20"/>
      <c r="C2349" s="13"/>
      <c r="D2349" s="13"/>
      <c r="E2349" s="13"/>
      <c r="F2349" s="15"/>
      <c r="G2349" s="15"/>
      <c r="H2349" s="46"/>
      <c r="I2349" s="46"/>
      <c r="J2349" s="46"/>
      <c r="K2349" s="46"/>
      <c r="L2349" s="46"/>
      <c r="M2349" s="46"/>
      <c r="N2349" s="46"/>
      <c r="O2349" s="46"/>
      <c r="P2349" s="46"/>
      <c r="Q2349" s="46"/>
      <c r="R2349" s="46"/>
      <c r="S2349" s="46"/>
      <c r="T2349" s="46"/>
      <c r="U2349" s="46"/>
      <c r="V2349" s="46"/>
      <c r="W2349" s="46"/>
      <c r="X2349" s="46"/>
      <c r="Y2349" s="46"/>
      <c r="Z2349" s="46"/>
    </row>
    <row r="2350" ht="22.5" customHeight="1">
      <c r="A2350" s="17"/>
      <c r="B2350" s="20"/>
      <c r="C2350" s="13"/>
      <c r="D2350" s="13"/>
      <c r="E2350" s="13"/>
      <c r="F2350" s="15"/>
      <c r="G2350" s="15"/>
      <c r="H2350" s="46"/>
      <c r="I2350" s="46"/>
      <c r="J2350" s="46"/>
      <c r="K2350" s="46"/>
      <c r="L2350" s="46"/>
      <c r="M2350" s="46"/>
      <c r="N2350" s="46"/>
      <c r="O2350" s="46"/>
      <c r="P2350" s="46"/>
      <c r="Q2350" s="46"/>
      <c r="R2350" s="46"/>
      <c r="S2350" s="46"/>
      <c r="T2350" s="46"/>
      <c r="U2350" s="46"/>
      <c r="V2350" s="46"/>
      <c r="W2350" s="46"/>
      <c r="X2350" s="46"/>
      <c r="Y2350" s="46"/>
      <c r="Z2350" s="46"/>
    </row>
    <row r="2351" ht="22.5" customHeight="1">
      <c r="A2351" s="17"/>
      <c r="B2351" s="20"/>
      <c r="C2351" s="13"/>
      <c r="D2351" s="13"/>
      <c r="E2351" s="13"/>
      <c r="F2351" s="15"/>
      <c r="G2351" s="15"/>
      <c r="H2351" s="46"/>
      <c r="I2351" s="46"/>
      <c r="J2351" s="46"/>
      <c r="K2351" s="46"/>
      <c r="L2351" s="46"/>
      <c r="M2351" s="46"/>
      <c r="N2351" s="46"/>
      <c r="O2351" s="46"/>
      <c r="P2351" s="46"/>
      <c r="Q2351" s="46"/>
      <c r="R2351" s="46"/>
      <c r="S2351" s="46"/>
      <c r="T2351" s="46"/>
      <c r="U2351" s="46"/>
      <c r="V2351" s="46"/>
      <c r="W2351" s="46"/>
      <c r="X2351" s="46"/>
      <c r="Y2351" s="46"/>
      <c r="Z2351" s="46"/>
    </row>
    <row r="2352" ht="22.5" customHeight="1">
      <c r="A2352" s="17"/>
      <c r="B2352" s="20"/>
      <c r="C2352" s="13"/>
      <c r="D2352" s="13"/>
      <c r="E2352" s="13"/>
      <c r="F2352" s="15"/>
      <c r="G2352" s="15"/>
      <c r="H2352" s="46"/>
      <c r="I2352" s="46"/>
      <c r="J2352" s="46"/>
      <c r="K2352" s="46"/>
      <c r="L2352" s="46"/>
      <c r="M2352" s="46"/>
      <c r="N2352" s="46"/>
      <c r="O2352" s="46"/>
      <c r="P2352" s="46"/>
      <c r="Q2352" s="46"/>
      <c r="R2352" s="46"/>
      <c r="S2352" s="46"/>
      <c r="T2352" s="46"/>
      <c r="U2352" s="46"/>
      <c r="V2352" s="46"/>
      <c r="W2352" s="46"/>
      <c r="X2352" s="46"/>
      <c r="Y2352" s="46"/>
      <c r="Z2352" s="46"/>
    </row>
    <row r="2353" ht="22.5" customHeight="1">
      <c r="A2353" s="17"/>
      <c r="B2353" s="20"/>
      <c r="C2353" s="13"/>
      <c r="D2353" s="13"/>
      <c r="E2353" s="13"/>
      <c r="F2353" s="15"/>
      <c r="G2353" s="15"/>
      <c r="H2353" s="46"/>
      <c r="I2353" s="46"/>
      <c r="J2353" s="46"/>
      <c r="K2353" s="46"/>
      <c r="L2353" s="46"/>
      <c r="M2353" s="46"/>
      <c r="N2353" s="46"/>
      <c r="O2353" s="46"/>
      <c r="P2353" s="46"/>
      <c r="Q2353" s="46"/>
      <c r="R2353" s="46"/>
      <c r="S2353" s="46"/>
      <c r="T2353" s="46"/>
      <c r="U2353" s="46"/>
      <c r="V2353" s="46"/>
      <c r="W2353" s="46"/>
      <c r="X2353" s="46"/>
      <c r="Y2353" s="46"/>
      <c r="Z2353" s="46"/>
    </row>
    <row r="2354" ht="22.5" customHeight="1">
      <c r="A2354" s="17"/>
      <c r="B2354" s="20"/>
      <c r="C2354" s="13"/>
      <c r="D2354" s="13"/>
      <c r="E2354" s="13"/>
      <c r="F2354" s="15"/>
      <c r="G2354" s="15"/>
      <c r="H2354" s="46"/>
      <c r="I2354" s="46"/>
      <c r="J2354" s="46"/>
      <c r="K2354" s="46"/>
      <c r="L2354" s="46"/>
      <c r="M2354" s="46"/>
      <c r="N2354" s="46"/>
      <c r="O2354" s="46"/>
      <c r="P2354" s="46"/>
      <c r="Q2354" s="46"/>
      <c r="R2354" s="46"/>
      <c r="S2354" s="46"/>
      <c r="T2354" s="46"/>
      <c r="U2354" s="46"/>
      <c r="V2354" s="46"/>
      <c r="W2354" s="46"/>
      <c r="X2354" s="46"/>
      <c r="Y2354" s="46"/>
      <c r="Z2354" s="46"/>
    </row>
    <row r="2355" ht="22.5" customHeight="1">
      <c r="A2355" s="17"/>
      <c r="B2355" s="20"/>
      <c r="C2355" s="13"/>
      <c r="D2355" s="13"/>
      <c r="E2355" s="13"/>
      <c r="F2355" s="15"/>
      <c r="G2355" s="15"/>
      <c r="H2355" s="46"/>
      <c r="I2355" s="46"/>
      <c r="J2355" s="46"/>
      <c r="K2355" s="46"/>
      <c r="L2355" s="46"/>
      <c r="M2355" s="46"/>
      <c r="N2355" s="46"/>
      <c r="O2355" s="46"/>
      <c r="P2355" s="46"/>
      <c r="Q2355" s="46"/>
      <c r="R2355" s="46"/>
      <c r="S2355" s="46"/>
      <c r="T2355" s="46"/>
      <c r="U2355" s="46"/>
      <c r="V2355" s="46"/>
      <c r="W2355" s="46"/>
      <c r="X2355" s="46"/>
      <c r="Y2355" s="46"/>
      <c r="Z2355" s="46"/>
    </row>
    <row r="2356" ht="22.5" customHeight="1">
      <c r="A2356" s="17"/>
      <c r="B2356" s="20"/>
      <c r="C2356" s="13"/>
      <c r="D2356" s="13"/>
      <c r="E2356" s="13"/>
      <c r="F2356" s="15"/>
      <c r="G2356" s="15"/>
      <c r="H2356" s="46"/>
      <c r="I2356" s="46"/>
      <c r="J2356" s="46"/>
      <c r="K2356" s="46"/>
      <c r="L2356" s="46"/>
      <c r="M2356" s="46"/>
      <c r="N2356" s="46"/>
      <c r="O2356" s="46"/>
      <c r="P2356" s="46"/>
      <c r="Q2356" s="46"/>
      <c r="R2356" s="46"/>
      <c r="S2356" s="46"/>
      <c r="T2356" s="46"/>
      <c r="U2356" s="46"/>
      <c r="V2356" s="46"/>
      <c r="W2356" s="46"/>
      <c r="X2356" s="46"/>
      <c r="Y2356" s="46"/>
      <c r="Z2356" s="46"/>
    </row>
    <row r="2357" ht="22.5" customHeight="1">
      <c r="A2357" s="17"/>
      <c r="B2357" s="20"/>
      <c r="C2357" s="13"/>
      <c r="D2357" s="13"/>
      <c r="E2357" s="13"/>
      <c r="F2357" s="15"/>
      <c r="G2357" s="15"/>
      <c r="H2357" s="46"/>
      <c r="I2357" s="46"/>
      <c r="J2357" s="46"/>
      <c r="K2357" s="46"/>
      <c r="L2357" s="46"/>
      <c r="M2357" s="46"/>
      <c r="N2357" s="46"/>
      <c r="O2357" s="46"/>
      <c r="P2357" s="46"/>
      <c r="Q2357" s="46"/>
      <c r="R2357" s="46"/>
      <c r="S2357" s="46"/>
      <c r="T2357" s="46"/>
      <c r="U2357" s="46"/>
      <c r="V2357" s="46"/>
      <c r="W2357" s="46"/>
      <c r="X2357" s="46"/>
      <c r="Y2357" s="46"/>
      <c r="Z2357" s="46"/>
    </row>
    <row r="2358" ht="22.5" customHeight="1">
      <c r="A2358" s="17"/>
      <c r="B2358" s="20"/>
      <c r="C2358" s="13"/>
      <c r="D2358" s="13"/>
      <c r="E2358" s="13"/>
      <c r="F2358" s="15"/>
      <c r="G2358" s="15"/>
      <c r="H2358" s="46"/>
      <c r="I2358" s="46"/>
      <c r="J2358" s="46"/>
      <c r="K2358" s="46"/>
      <c r="L2358" s="46"/>
      <c r="M2358" s="46"/>
      <c r="N2358" s="46"/>
      <c r="O2358" s="46"/>
      <c r="P2358" s="46"/>
      <c r="Q2358" s="46"/>
      <c r="R2358" s="46"/>
      <c r="S2358" s="46"/>
      <c r="T2358" s="46"/>
      <c r="U2358" s="46"/>
      <c r="V2358" s="46"/>
      <c r="W2358" s="46"/>
      <c r="X2358" s="46"/>
      <c r="Y2358" s="46"/>
      <c r="Z2358" s="46"/>
    </row>
    <row r="2359" ht="22.5" customHeight="1">
      <c r="A2359" s="17"/>
      <c r="B2359" s="20"/>
      <c r="C2359" s="13"/>
      <c r="D2359" s="13"/>
      <c r="E2359" s="13"/>
      <c r="F2359" s="15"/>
      <c r="G2359" s="15"/>
      <c r="H2359" s="46"/>
      <c r="I2359" s="46"/>
      <c r="J2359" s="46"/>
      <c r="K2359" s="46"/>
      <c r="L2359" s="46"/>
      <c r="M2359" s="46"/>
      <c r="N2359" s="46"/>
      <c r="O2359" s="46"/>
      <c r="P2359" s="46"/>
      <c r="Q2359" s="46"/>
      <c r="R2359" s="46"/>
      <c r="S2359" s="46"/>
      <c r="T2359" s="46"/>
      <c r="U2359" s="46"/>
      <c r="V2359" s="46"/>
      <c r="W2359" s="46"/>
      <c r="X2359" s="46"/>
      <c r="Y2359" s="46"/>
      <c r="Z2359" s="46"/>
    </row>
    <row r="2360" ht="22.5" customHeight="1">
      <c r="A2360" s="17"/>
      <c r="B2360" s="20"/>
      <c r="C2360" s="13"/>
      <c r="D2360" s="13"/>
      <c r="E2360" s="13"/>
      <c r="F2360" s="15"/>
      <c r="G2360" s="15"/>
      <c r="H2360" s="46"/>
      <c r="I2360" s="46"/>
      <c r="J2360" s="46"/>
      <c r="K2360" s="46"/>
      <c r="L2360" s="46"/>
      <c r="M2360" s="46"/>
      <c r="N2360" s="46"/>
      <c r="O2360" s="46"/>
      <c r="P2360" s="46"/>
      <c r="Q2360" s="46"/>
      <c r="R2360" s="46"/>
      <c r="S2360" s="46"/>
      <c r="T2360" s="46"/>
      <c r="U2360" s="46"/>
      <c r="V2360" s="46"/>
      <c r="W2360" s="46"/>
      <c r="X2360" s="46"/>
      <c r="Y2360" s="46"/>
      <c r="Z2360" s="46"/>
    </row>
    <row r="2361" ht="22.5" customHeight="1">
      <c r="A2361" s="17"/>
      <c r="B2361" s="20"/>
      <c r="C2361" s="13"/>
      <c r="D2361" s="13"/>
      <c r="E2361" s="13"/>
      <c r="F2361" s="15"/>
      <c r="G2361" s="15"/>
      <c r="H2361" s="46"/>
      <c r="I2361" s="46"/>
      <c r="J2361" s="46"/>
      <c r="K2361" s="46"/>
      <c r="L2361" s="46"/>
      <c r="M2361" s="46"/>
      <c r="N2361" s="46"/>
      <c r="O2361" s="46"/>
      <c r="P2361" s="46"/>
      <c r="Q2361" s="46"/>
      <c r="R2361" s="46"/>
      <c r="S2361" s="46"/>
      <c r="T2361" s="46"/>
      <c r="U2361" s="46"/>
      <c r="V2361" s="46"/>
      <c r="W2361" s="46"/>
      <c r="X2361" s="46"/>
      <c r="Y2361" s="46"/>
      <c r="Z2361" s="46"/>
    </row>
    <row r="2362" ht="22.5" customHeight="1">
      <c r="A2362" s="17"/>
      <c r="B2362" s="20"/>
      <c r="C2362" s="13"/>
      <c r="D2362" s="13"/>
      <c r="E2362" s="13"/>
      <c r="F2362" s="15"/>
      <c r="G2362" s="15"/>
      <c r="H2362" s="46"/>
      <c r="I2362" s="46"/>
      <c r="J2362" s="46"/>
      <c r="K2362" s="46"/>
      <c r="L2362" s="46"/>
      <c r="M2362" s="46"/>
      <c r="N2362" s="46"/>
      <c r="O2362" s="46"/>
      <c r="P2362" s="46"/>
      <c r="Q2362" s="46"/>
      <c r="R2362" s="46"/>
      <c r="S2362" s="46"/>
      <c r="T2362" s="46"/>
      <c r="U2362" s="46"/>
      <c r="V2362" s="46"/>
      <c r="W2362" s="46"/>
      <c r="X2362" s="46"/>
      <c r="Y2362" s="46"/>
      <c r="Z2362" s="46"/>
    </row>
    <row r="2363" ht="22.5" customHeight="1">
      <c r="A2363" s="17"/>
      <c r="B2363" s="20"/>
      <c r="C2363" s="13"/>
      <c r="D2363" s="13"/>
      <c r="E2363" s="13"/>
      <c r="F2363" s="15"/>
      <c r="G2363" s="15"/>
      <c r="H2363" s="46"/>
      <c r="I2363" s="46"/>
      <c r="J2363" s="46"/>
      <c r="K2363" s="46"/>
      <c r="L2363" s="46"/>
      <c r="M2363" s="46"/>
      <c r="N2363" s="46"/>
      <c r="O2363" s="46"/>
      <c r="P2363" s="46"/>
      <c r="Q2363" s="46"/>
      <c r="R2363" s="46"/>
      <c r="S2363" s="46"/>
      <c r="T2363" s="46"/>
      <c r="U2363" s="46"/>
      <c r="V2363" s="46"/>
      <c r="W2363" s="46"/>
      <c r="X2363" s="46"/>
      <c r="Y2363" s="46"/>
      <c r="Z2363" s="46"/>
    </row>
    <row r="2364" ht="22.5" customHeight="1">
      <c r="A2364" s="17"/>
      <c r="B2364" s="20"/>
      <c r="C2364" s="13"/>
      <c r="D2364" s="13"/>
      <c r="E2364" s="13"/>
      <c r="F2364" s="15"/>
      <c r="G2364" s="15"/>
      <c r="H2364" s="46"/>
      <c r="I2364" s="46"/>
      <c r="J2364" s="46"/>
      <c r="K2364" s="46"/>
      <c r="L2364" s="46"/>
      <c r="M2364" s="46"/>
      <c r="N2364" s="46"/>
      <c r="O2364" s="46"/>
      <c r="P2364" s="46"/>
      <c r="Q2364" s="46"/>
      <c r="R2364" s="46"/>
      <c r="S2364" s="46"/>
      <c r="T2364" s="46"/>
      <c r="U2364" s="46"/>
      <c r="V2364" s="46"/>
      <c r="W2364" s="46"/>
      <c r="X2364" s="46"/>
      <c r="Y2364" s="46"/>
      <c r="Z2364" s="46"/>
    </row>
    <row r="2365" ht="22.5" customHeight="1">
      <c r="A2365" s="17"/>
      <c r="B2365" s="20"/>
      <c r="C2365" s="13"/>
      <c r="D2365" s="13"/>
      <c r="E2365" s="13"/>
      <c r="F2365" s="15"/>
      <c r="G2365" s="15"/>
      <c r="H2365" s="46"/>
      <c r="I2365" s="46"/>
      <c r="J2365" s="46"/>
      <c r="K2365" s="46"/>
      <c r="L2365" s="46"/>
      <c r="M2365" s="46"/>
      <c r="N2365" s="46"/>
      <c r="O2365" s="46"/>
      <c r="P2365" s="46"/>
      <c r="Q2365" s="46"/>
      <c r="R2365" s="46"/>
      <c r="S2365" s="46"/>
      <c r="T2365" s="46"/>
      <c r="U2365" s="46"/>
      <c r="V2365" s="46"/>
      <c r="W2365" s="46"/>
      <c r="X2365" s="46"/>
      <c r="Y2365" s="46"/>
      <c r="Z2365" s="46"/>
    </row>
    <row r="2366" ht="22.5" customHeight="1">
      <c r="A2366" s="17"/>
      <c r="B2366" s="20"/>
      <c r="C2366" s="13"/>
      <c r="D2366" s="13"/>
      <c r="E2366" s="13"/>
      <c r="F2366" s="15"/>
      <c r="G2366" s="15"/>
      <c r="H2366" s="46"/>
      <c r="I2366" s="46"/>
      <c r="J2366" s="46"/>
      <c r="K2366" s="46"/>
      <c r="L2366" s="46"/>
      <c r="M2366" s="46"/>
      <c r="N2366" s="46"/>
      <c r="O2366" s="46"/>
      <c r="P2366" s="46"/>
      <c r="Q2366" s="46"/>
      <c r="R2366" s="46"/>
      <c r="S2366" s="46"/>
      <c r="T2366" s="46"/>
      <c r="U2366" s="46"/>
      <c r="V2366" s="46"/>
      <c r="W2366" s="46"/>
      <c r="X2366" s="46"/>
      <c r="Y2366" s="46"/>
      <c r="Z2366" s="46"/>
    </row>
    <row r="2367" ht="22.5" customHeight="1">
      <c r="A2367" s="17"/>
      <c r="B2367" s="20"/>
      <c r="C2367" s="13"/>
      <c r="D2367" s="13"/>
      <c r="E2367" s="13"/>
      <c r="F2367" s="15"/>
      <c r="G2367" s="15"/>
      <c r="H2367" s="46"/>
      <c r="I2367" s="46"/>
      <c r="J2367" s="46"/>
      <c r="K2367" s="46"/>
      <c r="L2367" s="46"/>
      <c r="M2367" s="46"/>
      <c r="N2367" s="46"/>
      <c r="O2367" s="46"/>
      <c r="P2367" s="46"/>
      <c r="Q2367" s="46"/>
      <c r="R2367" s="46"/>
      <c r="S2367" s="46"/>
      <c r="T2367" s="46"/>
      <c r="U2367" s="46"/>
      <c r="V2367" s="46"/>
      <c r="W2367" s="46"/>
      <c r="X2367" s="46"/>
      <c r="Y2367" s="46"/>
      <c r="Z2367" s="46"/>
    </row>
    <row r="2368" ht="22.5" customHeight="1">
      <c r="A2368" s="17"/>
      <c r="B2368" s="20"/>
      <c r="C2368" s="13"/>
      <c r="D2368" s="13"/>
      <c r="E2368" s="13"/>
      <c r="F2368" s="15"/>
      <c r="G2368" s="15"/>
      <c r="H2368" s="46"/>
      <c r="I2368" s="46"/>
      <c r="J2368" s="46"/>
      <c r="K2368" s="46"/>
      <c r="L2368" s="46"/>
      <c r="M2368" s="46"/>
      <c r="N2368" s="46"/>
      <c r="O2368" s="46"/>
      <c r="P2368" s="46"/>
      <c r="Q2368" s="46"/>
      <c r="R2368" s="46"/>
      <c r="S2368" s="46"/>
      <c r="T2368" s="46"/>
      <c r="U2368" s="46"/>
      <c r="V2368" s="46"/>
      <c r="W2368" s="46"/>
      <c r="X2368" s="46"/>
      <c r="Y2368" s="46"/>
      <c r="Z2368" s="46"/>
    </row>
    <row r="2369" ht="22.5" customHeight="1">
      <c r="A2369" s="17"/>
      <c r="B2369" s="20"/>
      <c r="C2369" s="13"/>
      <c r="D2369" s="13"/>
      <c r="E2369" s="13"/>
      <c r="F2369" s="15"/>
      <c r="G2369" s="15"/>
      <c r="H2369" s="46"/>
      <c r="I2369" s="46"/>
      <c r="J2369" s="46"/>
      <c r="K2369" s="46"/>
      <c r="L2369" s="46"/>
      <c r="M2369" s="46"/>
      <c r="N2369" s="46"/>
      <c r="O2369" s="46"/>
      <c r="P2369" s="46"/>
      <c r="Q2369" s="46"/>
      <c r="R2369" s="46"/>
      <c r="S2369" s="46"/>
      <c r="T2369" s="46"/>
      <c r="U2369" s="46"/>
      <c r="V2369" s="46"/>
      <c r="W2369" s="46"/>
      <c r="X2369" s="46"/>
      <c r="Y2369" s="46"/>
      <c r="Z2369" s="46"/>
    </row>
    <row r="2370" ht="22.5" customHeight="1">
      <c r="A2370" s="17"/>
      <c r="B2370" s="20"/>
      <c r="C2370" s="13"/>
      <c r="D2370" s="13"/>
      <c r="E2370" s="13"/>
      <c r="F2370" s="15"/>
      <c r="G2370" s="15"/>
      <c r="H2370" s="46"/>
      <c r="I2370" s="46"/>
      <c r="J2370" s="46"/>
      <c r="K2370" s="46"/>
      <c r="L2370" s="46"/>
      <c r="M2370" s="46"/>
      <c r="N2370" s="46"/>
      <c r="O2370" s="46"/>
      <c r="P2370" s="46"/>
      <c r="Q2370" s="46"/>
      <c r="R2370" s="46"/>
      <c r="S2370" s="46"/>
      <c r="T2370" s="46"/>
      <c r="U2370" s="46"/>
      <c r="V2370" s="46"/>
      <c r="W2370" s="46"/>
      <c r="X2370" s="46"/>
      <c r="Y2370" s="46"/>
      <c r="Z2370" s="46"/>
    </row>
    <row r="2371" ht="22.5" customHeight="1">
      <c r="A2371" s="17"/>
      <c r="B2371" s="20"/>
      <c r="C2371" s="13"/>
      <c r="D2371" s="13"/>
      <c r="E2371" s="13"/>
      <c r="F2371" s="15"/>
      <c r="G2371" s="15"/>
      <c r="H2371" s="46"/>
      <c r="I2371" s="46"/>
      <c r="J2371" s="46"/>
      <c r="K2371" s="46"/>
      <c r="L2371" s="46"/>
      <c r="M2371" s="46"/>
      <c r="N2371" s="46"/>
      <c r="O2371" s="46"/>
      <c r="P2371" s="46"/>
      <c r="Q2371" s="46"/>
      <c r="R2371" s="46"/>
      <c r="S2371" s="46"/>
      <c r="T2371" s="46"/>
      <c r="U2371" s="46"/>
      <c r="V2371" s="46"/>
      <c r="W2371" s="46"/>
      <c r="X2371" s="46"/>
      <c r="Y2371" s="46"/>
      <c r="Z2371" s="46"/>
    </row>
    <row r="2372" ht="22.5" customHeight="1">
      <c r="A2372" s="17"/>
      <c r="B2372" s="20"/>
      <c r="C2372" s="13"/>
      <c r="D2372" s="13"/>
      <c r="E2372" s="13"/>
      <c r="F2372" s="15"/>
      <c r="G2372" s="15"/>
      <c r="H2372" s="46"/>
      <c r="I2372" s="46"/>
      <c r="J2372" s="46"/>
      <c r="K2372" s="46"/>
      <c r="L2372" s="46"/>
      <c r="M2372" s="46"/>
      <c r="N2372" s="46"/>
      <c r="O2372" s="46"/>
      <c r="P2372" s="46"/>
      <c r="Q2372" s="46"/>
      <c r="R2372" s="46"/>
      <c r="S2372" s="46"/>
      <c r="T2372" s="46"/>
      <c r="U2372" s="46"/>
      <c r="V2372" s="46"/>
      <c r="W2372" s="46"/>
      <c r="X2372" s="46"/>
      <c r="Y2372" s="46"/>
      <c r="Z2372" s="46"/>
    </row>
    <row r="2373" ht="22.5" customHeight="1">
      <c r="A2373" s="17"/>
      <c r="B2373" s="20"/>
      <c r="C2373" s="13"/>
      <c r="D2373" s="13"/>
      <c r="E2373" s="13"/>
      <c r="F2373" s="15"/>
      <c r="G2373" s="15"/>
      <c r="H2373" s="46"/>
      <c r="I2373" s="46"/>
      <c r="J2373" s="46"/>
      <c r="K2373" s="46"/>
      <c r="L2373" s="46"/>
      <c r="M2373" s="46"/>
      <c r="N2373" s="46"/>
      <c r="O2373" s="46"/>
      <c r="P2373" s="46"/>
      <c r="Q2373" s="46"/>
      <c r="R2373" s="46"/>
      <c r="S2373" s="46"/>
      <c r="T2373" s="46"/>
      <c r="U2373" s="46"/>
      <c r="V2373" s="46"/>
      <c r="W2373" s="46"/>
      <c r="X2373" s="46"/>
      <c r="Y2373" s="46"/>
      <c r="Z2373" s="46"/>
    </row>
    <row r="2374" ht="22.5" customHeight="1">
      <c r="A2374" s="17"/>
      <c r="B2374" s="20"/>
      <c r="C2374" s="13"/>
      <c r="D2374" s="13"/>
      <c r="E2374" s="13"/>
      <c r="F2374" s="15"/>
      <c r="G2374" s="15"/>
      <c r="H2374" s="46"/>
      <c r="I2374" s="46"/>
      <c r="J2374" s="46"/>
      <c r="K2374" s="46"/>
      <c r="L2374" s="46"/>
      <c r="M2374" s="46"/>
      <c r="N2374" s="46"/>
      <c r="O2374" s="46"/>
      <c r="P2374" s="46"/>
      <c r="Q2374" s="46"/>
      <c r="R2374" s="46"/>
      <c r="S2374" s="46"/>
      <c r="T2374" s="46"/>
      <c r="U2374" s="46"/>
      <c r="V2374" s="46"/>
      <c r="W2374" s="46"/>
      <c r="X2374" s="46"/>
      <c r="Y2374" s="46"/>
      <c r="Z2374" s="46"/>
    </row>
    <row r="2375" ht="22.5" customHeight="1">
      <c r="A2375" s="17"/>
      <c r="B2375" s="20"/>
      <c r="C2375" s="13"/>
      <c r="D2375" s="13"/>
      <c r="E2375" s="13"/>
      <c r="F2375" s="15"/>
      <c r="G2375" s="15"/>
      <c r="H2375" s="46"/>
      <c r="I2375" s="46"/>
      <c r="J2375" s="46"/>
      <c r="K2375" s="46"/>
      <c r="L2375" s="46"/>
      <c r="M2375" s="46"/>
      <c r="N2375" s="46"/>
      <c r="O2375" s="46"/>
      <c r="P2375" s="46"/>
      <c r="Q2375" s="46"/>
      <c r="R2375" s="46"/>
      <c r="S2375" s="46"/>
      <c r="T2375" s="46"/>
      <c r="U2375" s="46"/>
      <c r="V2375" s="46"/>
      <c r="W2375" s="46"/>
      <c r="X2375" s="46"/>
      <c r="Y2375" s="46"/>
      <c r="Z2375" s="46"/>
    </row>
    <row r="2376" ht="22.5" customHeight="1">
      <c r="A2376" s="17"/>
      <c r="B2376" s="20"/>
      <c r="C2376" s="13"/>
      <c r="D2376" s="13"/>
      <c r="E2376" s="13"/>
      <c r="F2376" s="15"/>
      <c r="G2376" s="15"/>
      <c r="H2376" s="46"/>
      <c r="I2376" s="46"/>
      <c r="J2376" s="46"/>
      <c r="K2376" s="46"/>
      <c r="L2376" s="46"/>
      <c r="M2376" s="46"/>
      <c r="N2376" s="46"/>
      <c r="O2376" s="46"/>
      <c r="P2376" s="46"/>
      <c r="Q2376" s="46"/>
      <c r="R2376" s="46"/>
      <c r="S2376" s="46"/>
      <c r="T2376" s="46"/>
      <c r="U2376" s="46"/>
      <c r="V2376" s="46"/>
      <c r="W2376" s="46"/>
      <c r="X2376" s="46"/>
      <c r="Y2376" s="46"/>
      <c r="Z2376" s="46"/>
    </row>
    <row r="2377" ht="22.5" customHeight="1">
      <c r="A2377" s="17"/>
      <c r="B2377" s="20"/>
      <c r="C2377" s="13"/>
      <c r="D2377" s="13"/>
      <c r="E2377" s="13"/>
      <c r="F2377" s="15"/>
      <c r="G2377" s="15"/>
      <c r="H2377" s="46"/>
      <c r="I2377" s="46"/>
      <c r="J2377" s="46"/>
      <c r="K2377" s="46"/>
      <c r="L2377" s="46"/>
      <c r="M2377" s="46"/>
      <c r="N2377" s="46"/>
      <c r="O2377" s="46"/>
      <c r="P2377" s="46"/>
      <c r="Q2377" s="46"/>
      <c r="R2377" s="46"/>
      <c r="S2377" s="46"/>
      <c r="T2377" s="46"/>
      <c r="U2377" s="46"/>
      <c r="V2377" s="46"/>
      <c r="W2377" s="46"/>
      <c r="X2377" s="46"/>
      <c r="Y2377" s="46"/>
      <c r="Z2377" s="46"/>
    </row>
    <row r="2378" ht="22.5" customHeight="1">
      <c r="A2378" s="17"/>
      <c r="B2378" s="20"/>
      <c r="C2378" s="13"/>
      <c r="D2378" s="13"/>
      <c r="E2378" s="13"/>
      <c r="F2378" s="15"/>
      <c r="G2378" s="15"/>
      <c r="H2378" s="46"/>
      <c r="I2378" s="46"/>
      <c r="J2378" s="46"/>
      <c r="K2378" s="46"/>
      <c r="L2378" s="46"/>
      <c r="M2378" s="46"/>
      <c r="N2378" s="46"/>
      <c r="O2378" s="46"/>
      <c r="P2378" s="46"/>
      <c r="Q2378" s="46"/>
      <c r="R2378" s="46"/>
      <c r="S2378" s="46"/>
      <c r="T2378" s="46"/>
      <c r="U2378" s="46"/>
      <c r="V2378" s="46"/>
      <c r="W2378" s="46"/>
      <c r="X2378" s="46"/>
      <c r="Y2378" s="46"/>
      <c r="Z2378" s="46"/>
    </row>
    <row r="2379" ht="22.5" customHeight="1">
      <c r="A2379" s="17"/>
      <c r="B2379" s="20"/>
      <c r="C2379" s="13"/>
      <c r="D2379" s="13"/>
      <c r="E2379" s="13"/>
      <c r="F2379" s="15"/>
      <c r="G2379" s="15"/>
      <c r="H2379" s="46"/>
      <c r="I2379" s="46"/>
      <c r="J2379" s="46"/>
      <c r="K2379" s="46"/>
      <c r="L2379" s="46"/>
      <c r="M2379" s="46"/>
      <c r="N2379" s="46"/>
      <c r="O2379" s="46"/>
      <c r="P2379" s="46"/>
      <c r="Q2379" s="46"/>
      <c r="R2379" s="46"/>
      <c r="S2379" s="46"/>
      <c r="T2379" s="46"/>
      <c r="U2379" s="46"/>
      <c r="V2379" s="46"/>
      <c r="W2379" s="46"/>
      <c r="X2379" s="46"/>
      <c r="Y2379" s="46"/>
      <c r="Z2379" s="46"/>
    </row>
    <row r="2380" ht="22.5" customHeight="1">
      <c r="A2380" s="17"/>
      <c r="B2380" s="20"/>
      <c r="C2380" s="13"/>
      <c r="D2380" s="13"/>
      <c r="E2380" s="13"/>
      <c r="F2380" s="15"/>
      <c r="G2380" s="15"/>
      <c r="H2380" s="46"/>
      <c r="I2380" s="46"/>
      <c r="J2380" s="46"/>
      <c r="K2380" s="46"/>
      <c r="L2380" s="46"/>
      <c r="M2380" s="46"/>
      <c r="N2380" s="46"/>
      <c r="O2380" s="46"/>
      <c r="P2380" s="46"/>
      <c r="Q2380" s="46"/>
      <c r="R2380" s="46"/>
      <c r="S2380" s="46"/>
      <c r="T2380" s="46"/>
      <c r="U2380" s="46"/>
      <c r="V2380" s="46"/>
      <c r="W2380" s="46"/>
      <c r="X2380" s="46"/>
      <c r="Y2380" s="46"/>
      <c r="Z2380" s="46"/>
    </row>
    <row r="2381" ht="22.5" customHeight="1">
      <c r="A2381" s="17"/>
      <c r="B2381" s="20"/>
      <c r="C2381" s="13"/>
      <c r="D2381" s="13"/>
      <c r="E2381" s="13"/>
      <c r="F2381" s="15"/>
      <c r="G2381" s="15"/>
      <c r="H2381" s="46"/>
      <c r="I2381" s="46"/>
      <c r="J2381" s="46"/>
      <c r="K2381" s="46"/>
      <c r="L2381" s="46"/>
      <c r="M2381" s="46"/>
      <c r="N2381" s="46"/>
      <c r="O2381" s="46"/>
      <c r="P2381" s="46"/>
      <c r="Q2381" s="46"/>
      <c r="R2381" s="46"/>
      <c r="S2381" s="46"/>
      <c r="T2381" s="46"/>
      <c r="U2381" s="46"/>
      <c r="V2381" s="46"/>
      <c r="W2381" s="46"/>
      <c r="X2381" s="46"/>
      <c r="Y2381" s="46"/>
      <c r="Z2381" s="46"/>
    </row>
    <row r="2382" ht="22.5" customHeight="1">
      <c r="A2382" s="17"/>
      <c r="B2382" s="20"/>
      <c r="C2382" s="13"/>
      <c r="D2382" s="13"/>
      <c r="E2382" s="13"/>
      <c r="F2382" s="15"/>
      <c r="G2382" s="15"/>
      <c r="H2382" s="46"/>
      <c r="I2382" s="46"/>
      <c r="J2382" s="46"/>
      <c r="K2382" s="46"/>
      <c r="L2382" s="46"/>
      <c r="M2382" s="46"/>
      <c r="N2382" s="46"/>
      <c r="O2382" s="46"/>
      <c r="P2382" s="46"/>
      <c r="Q2382" s="46"/>
      <c r="R2382" s="46"/>
      <c r="S2382" s="46"/>
      <c r="T2382" s="46"/>
      <c r="U2382" s="46"/>
      <c r="V2382" s="46"/>
      <c r="W2382" s="46"/>
      <c r="X2382" s="46"/>
      <c r="Y2382" s="46"/>
      <c r="Z2382" s="46"/>
    </row>
    <row r="2383" ht="22.5" customHeight="1">
      <c r="A2383" s="17"/>
      <c r="B2383" s="20"/>
      <c r="C2383" s="13"/>
      <c r="D2383" s="13"/>
      <c r="E2383" s="13"/>
      <c r="F2383" s="15"/>
      <c r="G2383" s="15"/>
      <c r="H2383" s="46"/>
      <c r="I2383" s="46"/>
      <c r="J2383" s="46"/>
      <c r="K2383" s="46"/>
      <c r="L2383" s="46"/>
      <c r="M2383" s="46"/>
      <c r="N2383" s="46"/>
      <c r="O2383" s="46"/>
      <c r="P2383" s="46"/>
      <c r="Q2383" s="46"/>
      <c r="R2383" s="46"/>
      <c r="S2383" s="46"/>
      <c r="T2383" s="46"/>
      <c r="U2383" s="46"/>
      <c r="V2383" s="46"/>
      <c r="W2383" s="46"/>
      <c r="X2383" s="46"/>
      <c r="Y2383" s="46"/>
      <c r="Z2383" s="46"/>
    </row>
    <row r="2384" ht="22.5" customHeight="1">
      <c r="A2384" s="17"/>
      <c r="B2384" s="20"/>
      <c r="C2384" s="13"/>
      <c r="D2384" s="13"/>
      <c r="E2384" s="13"/>
      <c r="F2384" s="15"/>
      <c r="G2384" s="15"/>
      <c r="H2384" s="46"/>
      <c r="I2384" s="46"/>
      <c r="J2384" s="46"/>
      <c r="K2384" s="46"/>
      <c r="L2384" s="46"/>
      <c r="M2384" s="46"/>
      <c r="N2384" s="46"/>
      <c r="O2384" s="46"/>
      <c r="P2384" s="46"/>
      <c r="Q2384" s="46"/>
      <c r="R2384" s="46"/>
      <c r="S2384" s="46"/>
      <c r="T2384" s="46"/>
      <c r="U2384" s="46"/>
      <c r="V2384" s="46"/>
      <c r="W2384" s="46"/>
      <c r="X2384" s="46"/>
      <c r="Y2384" s="46"/>
      <c r="Z2384" s="46"/>
    </row>
    <row r="2385" ht="22.5" customHeight="1">
      <c r="A2385" s="17"/>
      <c r="B2385" s="20"/>
      <c r="C2385" s="13"/>
      <c r="D2385" s="13"/>
      <c r="E2385" s="13"/>
      <c r="F2385" s="15"/>
      <c r="G2385" s="15"/>
      <c r="H2385" s="46"/>
      <c r="I2385" s="46"/>
      <c r="J2385" s="46"/>
      <c r="K2385" s="46"/>
      <c r="L2385" s="46"/>
      <c r="M2385" s="46"/>
      <c r="N2385" s="46"/>
      <c r="O2385" s="46"/>
      <c r="P2385" s="46"/>
      <c r="Q2385" s="46"/>
      <c r="R2385" s="46"/>
      <c r="S2385" s="46"/>
      <c r="T2385" s="46"/>
      <c r="U2385" s="46"/>
      <c r="V2385" s="46"/>
      <c r="W2385" s="46"/>
      <c r="X2385" s="46"/>
      <c r="Y2385" s="46"/>
      <c r="Z2385" s="46"/>
    </row>
    <row r="2386" ht="22.5" customHeight="1">
      <c r="A2386" s="17"/>
      <c r="B2386" s="20"/>
      <c r="C2386" s="13"/>
      <c r="D2386" s="13"/>
      <c r="E2386" s="13"/>
      <c r="F2386" s="15"/>
      <c r="G2386" s="15"/>
      <c r="H2386" s="46"/>
      <c r="I2386" s="46"/>
      <c r="J2386" s="46"/>
      <c r="K2386" s="46"/>
      <c r="L2386" s="46"/>
      <c r="M2386" s="46"/>
      <c r="N2386" s="46"/>
      <c r="O2386" s="46"/>
      <c r="P2386" s="46"/>
      <c r="Q2386" s="46"/>
      <c r="R2386" s="46"/>
      <c r="S2386" s="46"/>
      <c r="T2386" s="46"/>
      <c r="U2386" s="46"/>
      <c r="V2386" s="46"/>
      <c r="W2386" s="46"/>
      <c r="X2386" s="46"/>
      <c r="Y2386" s="46"/>
      <c r="Z2386" s="46"/>
    </row>
    <row r="2387" ht="22.5" customHeight="1">
      <c r="A2387" s="17"/>
      <c r="B2387" s="20"/>
      <c r="C2387" s="13"/>
      <c r="D2387" s="13"/>
      <c r="E2387" s="13"/>
      <c r="F2387" s="15"/>
      <c r="G2387" s="15"/>
      <c r="H2387" s="46"/>
      <c r="I2387" s="46"/>
      <c r="J2387" s="46"/>
      <c r="K2387" s="46"/>
      <c r="L2387" s="46"/>
      <c r="M2387" s="46"/>
      <c r="N2387" s="46"/>
      <c r="O2387" s="46"/>
      <c r="P2387" s="46"/>
      <c r="Q2387" s="46"/>
      <c r="R2387" s="46"/>
      <c r="S2387" s="46"/>
      <c r="T2387" s="46"/>
      <c r="U2387" s="46"/>
      <c r="V2387" s="46"/>
      <c r="W2387" s="46"/>
      <c r="X2387" s="46"/>
      <c r="Y2387" s="46"/>
      <c r="Z2387" s="46"/>
    </row>
    <row r="2388" ht="22.5" customHeight="1">
      <c r="A2388" s="17"/>
      <c r="B2388" s="20"/>
      <c r="C2388" s="13"/>
      <c r="D2388" s="13"/>
      <c r="E2388" s="13"/>
      <c r="F2388" s="15"/>
      <c r="G2388" s="15"/>
      <c r="H2388" s="46"/>
      <c r="I2388" s="46"/>
      <c r="J2388" s="46"/>
      <c r="K2388" s="46"/>
      <c r="L2388" s="46"/>
      <c r="M2388" s="46"/>
      <c r="N2388" s="46"/>
      <c r="O2388" s="46"/>
      <c r="P2388" s="46"/>
      <c r="Q2388" s="46"/>
      <c r="R2388" s="46"/>
      <c r="S2388" s="46"/>
      <c r="T2388" s="46"/>
      <c r="U2388" s="46"/>
      <c r="V2388" s="46"/>
      <c r="W2388" s="46"/>
      <c r="X2388" s="46"/>
      <c r="Y2388" s="46"/>
      <c r="Z2388" s="46"/>
    </row>
    <row r="2389" ht="22.5" customHeight="1">
      <c r="A2389" s="17"/>
      <c r="B2389" s="20"/>
      <c r="C2389" s="13"/>
      <c r="D2389" s="13"/>
      <c r="E2389" s="13"/>
      <c r="F2389" s="15"/>
      <c r="G2389" s="15"/>
      <c r="H2389" s="46"/>
      <c r="I2389" s="46"/>
      <c r="J2389" s="46"/>
      <c r="K2389" s="46"/>
      <c r="L2389" s="46"/>
      <c r="M2389" s="46"/>
      <c r="N2389" s="46"/>
      <c r="O2389" s="46"/>
      <c r="P2389" s="46"/>
      <c r="Q2389" s="46"/>
      <c r="R2389" s="46"/>
      <c r="S2389" s="46"/>
      <c r="T2389" s="46"/>
      <c r="U2389" s="46"/>
      <c r="V2389" s="46"/>
      <c r="W2389" s="46"/>
      <c r="X2389" s="46"/>
      <c r="Y2389" s="46"/>
      <c r="Z2389" s="46"/>
    </row>
    <row r="2390" ht="22.5" customHeight="1">
      <c r="A2390" s="17"/>
      <c r="B2390" s="20"/>
      <c r="C2390" s="13"/>
      <c r="D2390" s="13"/>
      <c r="E2390" s="13"/>
      <c r="F2390" s="15"/>
      <c r="G2390" s="15"/>
      <c r="H2390" s="46"/>
      <c r="I2390" s="46"/>
      <c r="J2390" s="46"/>
      <c r="K2390" s="46"/>
      <c r="L2390" s="46"/>
      <c r="M2390" s="46"/>
      <c r="N2390" s="46"/>
      <c r="O2390" s="46"/>
      <c r="P2390" s="46"/>
      <c r="Q2390" s="46"/>
      <c r="R2390" s="46"/>
      <c r="S2390" s="46"/>
      <c r="T2390" s="46"/>
      <c r="U2390" s="46"/>
      <c r="V2390" s="46"/>
      <c r="W2390" s="46"/>
      <c r="X2390" s="46"/>
      <c r="Y2390" s="46"/>
      <c r="Z2390" s="46"/>
    </row>
    <row r="2391" ht="22.5" customHeight="1">
      <c r="A2391" s="17"/>
      <c r="B2391" s="20"/>
      <c r="C2391" s="13"/>
      <c r="D2391" s="13"/>
      <c r="E2391" s="13"/>
      <c r="F2391" s="15"/>
      <c r="G2391" s="15"/>
      <c r="H2391" s="46"/>
      <c r="I2391" s="46"/>
      <c r="J2391" s="46"/>
      <c r="K2391" s="46"/>
      <c r="L2391" s="46"/>
      <c r="M2391" s="46"/>
      <c r="N2391" s="46"/>
      <c r="O2391" s="46"/>
      <c r="P2391" s="46"/>
      <c r="Q2391" s="46"/>
      <c r="R2391" s="46"/>
      <c r="S2391" s="46"/>
      <c r="T2391" s="46"/>
      <c r="U2391" s="46"/>
      <c r="V2391" s="46"/>
      <c r="W2391" s="46"/>
      <c r="X2391" s="46"/>
      <c r="Y2391" s="46"/>
      <c r="Z2391" s="46"/>
    </row>
    <row r="2392" ht="22.5" customHeight="1">
      <c r="A2392" s="17"/>
      <c r="B2392" s="20"/>
      <c r="C2392" s="13"/>
      <c r="D2392" s="13"/>
      <c r="E2392" s="13"/>
      <c r="F2392" s="15"/>
      <c r="G2392" s="15"/>
      <c r="H2392" s="46"/>
      <c r="I2392" s="46"/>
      <c r="J2392" s="46"/>
      <c r="K2392" s="46"/>
      <c r="L2392" s="46"/>
      <c r="M2392" s="46"/>
      <c r="N2392" s="46"/>
      <c r="O2392" s="46"/>
      <c r="P2392" s="46"/>
      <c r="Q2392" s="46"/>
      <c r="R2392" s="46"/>
      <c r="S2392" s="46"/>
      <c r="T2392" s="46"/>
      <c r="U2392" s="46"/>
      <c r="V2392" s="46"/>
      <c r="W2392" s="46"/>
      <c r="X2392" s="46"/>
      <c r="Y2392" s="46"/>
      <c r="Z2392" s="46"/>
    </row>
    <row r="2393" ht="22.5" customHeight="1">
      <c r="A2393" s="17"/>
      <c r="B2393" s="20"/>
      <c r="C2393" s="13"/>
      <c r="D2393" s="13"/>
      <c r="E2393" s="13"/>
      <c r="F2393" s="15"/>
      <c r="G2393" s="15"/>
      <c r="H2393" s="46"/>
      <c r="I2393" s="46"/>
      <c r="J2393" s="46"/>
      <c r="K2393" s="46"/>
      <c r="L2393" s="46"/>
      <c r="M2393" s="46"/>
      <c r="N2393" s="46"/>
      <c r="O2393" s="46"/>
      <c r="P2393" s="46"/>
      <c r="Q2393" s="46"/>
      <c r="R2393" s="46"/>
      <c r="S2393" s="46"/>
      <c r="T2393" s="46"/>
      <c r="U2393" s="46"/>
      <c r="V2393" s="46"/>
      <c r="W2393" s="46"/>
      <c r="X2393" s="46"/>
      <c r="Y2393" s="46"/>
      <c r="Z2393" s="46"/>
    </row>
    <row r="2394" ht="22.5" customHeight="1">
      <c r="A2394" s="17"/>
      <c r="B2394" s="20"/>
      <c r="C2394" s="13"/>
      <c r="D2394" s="13"/>
      <c r="E2394" s="13"/>
      <c r="F2394" s="15"/>
      <c r="G2394" s="15"/>
      <c r="H2394" s="46"/>
      <c r="I2394" s="46"/>
      <c r="J2394" s="46"/>
      <c r="K2394" s="46"/>
      <c r="L2394" s="46"/>
      <c r="M2394" s="46"/>
      <c r="N2394" s="46"/>
      <c r="O2394" s="46"/>
      <c r="P2394" s="46"/>
      <c r="Q2394" s="46"/>
      <c r="R2394" s="46"/>
      <c r="S2394" s="46"/>
      <c r="T2394" s="46"/>
      <c r="U2394" s="46"/>
      <c r="V2394" s="46"/>
      <c r="W2394" s="46"/>
      <c r="X2394" s="46"/>
      <c r="Y2394" s="46"/>
      <c r="Z2394" s="46"/>
    </row>
    <row r="2395" ht="22.5" customHeight="1">
      <c r="A2395" s="17"/>
      <c r="B2395" s="20"/>
      <c r="C2395" s="13"/>
      <c r="D2395" s="13"/>
      <c r="E2395" s="13"/>
      <c r="F2395" s="15"/>
      <c r="G2395" s="15"/>
      <c r="H2395" s="46"/>
      <c r="I2395" s="46"/>
      <c r="J2395" s="46"/>
      <c r="K2395" s="46"/>
      <c r="L2395" s="46"/>
      <c r="M2395" s="46"/>
      <c r="N2395" s="46"/>
      <c r="O2395" s="46"/>
      <c r="P2395" s="46"/>
      <c r="Q2395" s="46"/>
      <c r="R2395" s="46"/>
      <c r="S2395" s="46"/>
      <c r="T2395" s="46"/>
      <c r="U2395" s="46"/>
      <c r="V2395" s="46"/>
      <c r="W2395" s="46"/>
      <c r="X2395" s="46"/>
      <c r="Y2395" s="46"/>
      <c r="Z2395" s="46"/>
    </row>
    <row r="2396" ht="22.5" customHeight="1">
      <c r="A2396" s="17"/>
      <c r="B2396" s="20"/>
      <c r="C2396" s="13"/>
      <c r="D2396" s="13"/>
      <c r="E2396" s="13"/>
      <c r="F2396" s="15"/>
      <c r="G2396" s="15"/>
      <c r="H2396" s="46"/>
      <c r="I2396" s="46"/>
      <c r="J2396" s="46"/>
      <c r="K2396" s="46"/>
      <c r="L2396" s="46"/>
      <c r="M2396" s="46"/>
      <c r="N2396" s="46"/>
      <c r="O2396" s="46"/>
      <c r="P2396" s="46"/>
      <c r="Q2396" s="46"/>
      <c r="R2396" s="46"/>
      <c r="S2396" s="46"/>
      <c r="T2396" s="46"/>
      <c r="U2396" s="46"/>
      <c r="V2396" s="46"/>
      <c r="W2396" s="46"/>
      <c r="X2396" s="46"/>
      <c r="Y2396" s="46"/>
      <c r="Z2396" s="46"/>
    </row>
    <row r="2397" ht="22.5" customHeight="1">
      <c r="A2397" s="17"/>
      <c r="B2397" s="20"/>
      <c r="C2397" s="13"/>
      <c r="D2397" s="13"/>
      <c r="E2397" s="13"/>
      <c r="F2397" s="15"/>
      <c r="G2397" s="15"/>
      <c r="H2397" s="46"/>
      <c r="I2397" s="46"/>
      <c r="J2397" s="46"/>
      <c r="K2397" s="46"/>
      <c r="L2397" s="46"/>
      <c r="M2397" s="46"/>
      <c r="N2397" s="46"/>
      <c r="O2397" s="46"/>
      <c r="P2397" s="46"/>
      <c r="Q2397" s="46"/>
      <c r="R2397" s="46"/>
      <c r="S2397" s="46"/>
      <c r="T2397" s="46"/>
      <c r="U2397" s="46"/>
      <c r="V2397" s="46"/>
      <c r="W2397" s="46"/>
      <c r="X2397" s="46"/>
      <c r="Y2397" s="46"/>
      <c r="Z2397" s="46"/>
    </row>
    <row r="2398" ht="22.5" customHeight="1">
      <c r="A2398" s="17"/>
      <c r="B2398" s="20"/>
      <c r="C2398" s="13"/>
      <c r="D2398" s="13"/>
      <c r="E2398" s="13"/>
      <c r="F2398" s="15"/>
      <c r="G2398" s="15"/>
      <c r="H2398" s="46"/>
      <c r="I2398" s="46"/>
      <c r="J2398" s="46"/>
      <c r="K2398" s="46"/>
      <c r="L2398" s="46"/>
      <c r="M2398" s="46"/>
      <c r="N2398" s="46"/>
      <c r="O2398" s="46"/>
      <c r="P2398" s="46"/>
      <c r="Q2398" s="46"/>
      <c r="R2398" s="46"/>
      <c r="S2398" s="46"/>
      <c r="T2398" s="46"/>
      <c r="U2398" s="46"/>
      <c r="V2398" s="46"/>
      <c r="W2398" s="46"/>
      <c r="X2398" s="46"/>
      <c r="Y2398" s="46"/>
      <c r="Z2398" s="46"/>
    </row>
    <row r="2399" ht="22.5" customHeight="1">
      <c r="A2399" s="17"/>
      <c r="B2399" s="20"/>
      <c r="C2399" s="13"/>
      <c r="D2399" s="13"/>
      <c r="E2399" s="13"/>
      <c r="F2399" s="15"/>
      <c r="G2399" s="15"/>
      <c r="H2399" s="46"/>
      <c r="I2399" s="46"/>
      <c r="J2399" s="46"/>
      <c r="K2399" s="46"/>
      <c r="L2399" s="46"/>
      <c r="M2399" s="46"/>
      <c r="N2399" s="46"/>
      <c r="O2399" s="46"/>
      <c r="P2399" s="46"/>
      <c r="Q2399" s="46"/>
      <c r="R2399" s="46"/>
      <c r="S2399" s="46"/>
      <c r="T2399" s="46"/>
      <c r="U2399" s="46"/>
      <c r="V2399" s="46"/>
      <c r="W2399" s="46"/>
      <c r="X2399" s="46"/>
      <c r="Y2399" s="46"/>
      <c r="Z2399" s="46"/>
    </row>
    <row r="2400" ht="22.5" customHeight="1">
      <c r="A2400" s="17"/>
      <c r="B2400" s="20"/>
      <c r="C2400" s="13"/>
      <c r="D2400" s="13"/>
      <c r="E2400" s="13"/>
      <c r="F2400" s="15"/>
      <c r="G2400" s="15"/>
      <c r="H2400" s="46"/>
      <c r="I2400" s="46"/>
      <c r="J2400" s="46"/>
      <c r="K2400" s="46"/>
      <c r="L2400" s="46"/>
      <c r="M2400" s="46"/>
      <c r="N2400" s="46"/>
      <c r="O2400" s="46"/>
      <c r="P2400" s="46"/>
      <c r="Q2400" s="46"/>
      <c r="R2400" s="46"/>
      <c r="S2400" s="46"/>
      <c r="T2400" s="46"/>
      <c r="U2400" s="46"/>
      <c r="V2400" s="46"/>
      <c r="W2400" s="46"/>
      <c r="X2400" s="46"/>
      <c r="Y2400" s="46"/>
      <c r="Z2400" s="46"/>
    </row>
    <row r="2401" ht="22.5" customHeight="1">
      <c r="A2401" s="17"/>
      <c r="B2401" s="20"/>
      <c r="C2401" s="13"/>
      <c r="D2401" s="13"/>
      <c r="E2401" s="13"/>
      <c r="F2401" s="15"/>
      <c r="G2401" s="15"/>
      <c r="H2401" s="46"/>
      <c r="I2401" s="46"/>
      <c r="J2401" s="46"/>
      <c r="K2401" s="46"/>
      <c r="L2401" s="46"/>
      <c r="M2401" s="46"/>
      <c r="N2401" s="46"/>
      <c r="O2401" s="46"/>
      <c r="P2401" s="46"/>
      <c r="Q2401" s="46"/>
      <c r="R2401" s="46"/>
      <c r="S2401" s="46"/>
      <c r="T2401" s="46"/>
      <c r="U2401" s="46"/>
      <c r="V2401" s="46"/>
      <c r="W2401" s="46"/>
      <c r="X2401" s="46"/>
      <c r="Y2401" s="46"/>
      <c r="Z2401" s="46"/>
    </row>
    <row r="2402" ht="22.5" customHeight="1">
      <c r="A2402" s="17"/>
      <c r="B2402" s="20"/>
      <c r="C2402" s="13"/>
      <c r="D2402" s="13"/>
      <c r="E2402" s="13"/>
      <c r="F2402" s="15"/>
      <c r="G2402" s="15"/>
      <c r="H2402" s="46"/>
      <c r="I2402" s="46"/>
      <c r="J2402" s="46"/>
      <c r="K2402" s="46"/>
      <c r="L2402" s="46"/>
      <c r="M2402" s="46"/>
      <c r="N2402" s="46"/>
      <c r="O2402" s="46"/>
      <c r="P2402" s="46"/>
      <c r="Q2402" s="46"/>
      <c r="R2402" s="46"/>
      <c r="S2402" s="46"/>
      <c r="T2402" s="46"/>
      <c r="U2402" s="46"/>
      <c r="V2402" s="46"/>
      <c r="W2402" s="46"/>
      <c r="X2402" s="46"/>
      <c r="Y2402" s="46"/>
      <c r="Z2402" s="46"/>
    </row>
    <row r="2403" ht="22.5" customHeight="1">
      <c r="A2403" s="17"/>
      <c r="B2403" s="20"/>
      <c r="C2403" s="13"/>
      <c r="D2403" s="13"/>
      <c r="E2403" s="13"/>
      <c r="F2403" s="15"/>
      <c r="G2403" s="15"/>
      <c r="H2403" s="46"/>
      <c r="I2403" s="46"/>
      <c r="J2403" s="46"/>
      <c r="K2403" s="46"/>
      <c r="L2403" s="46"/>
      <c r="M2403" s="46"/>
      <c r="N2403" s="46"/>
      <c r="O2403" s="46"/>
      <c r="P2403" s="46"/>
      <c r="Q2403" s="46"/>
      <c r="R2403" s="46"/>
      <c r="S2403" s="46"/>
      <c r="T2403" s="46"/>
      <c r="U2403" s="46"/>
      <c r="V2403" s="46"/>
      <c r="W2403" s="46"/>
      <c r="X2403" s="46"/>
      <c r="Y2403" s="46"/>
      <c r="Z2403" s="46"/>
    </row>
    <row r="2404" ht="22.5" customHeight="1">
      <c r="A2404" s="17"/>
      <c r="B2404" s="20"/>
      <c r="C2404" s="13"/>
      <c r="D2404" s="13"/>
      <c r="E2404" s="13"/>
      <c r="F2404" s="15"/>
      <c r="G2404" s="15"/>
      <c r="H2404" s="46"/>
      <c r="I2404" s="46"/>
      <c r="J2404" s="46"/>
      <c r="K2404" s="46"/>
      <c r="L2404" s="46"/>
      <c r="M2404" s="46"/>
      <c r="N2404" s="46"/>
      <c r="O2404" s="46"/>
      <c r="P2404" s="46"/>
      <c r="Q2404" s="46"/>
      <c r="R2404" s="46"/>
      <c r="S2404" s="46"/>
      <c r="T2404" s="46"/>
      <c r="U2404" s="46"/>
      <c r="V2404" s="46"/>
      <c r="W2404" s="46"/>
      <c r="X2404" s="46"/>
      <c r="Y2404" s="46"/>
      <c r="Z2404" s="46"/>
    </row>
    <row r="2405" ht="22.5" customHeight="1">
      <c r="A2405" s="17"/>
      <c r="B2405" s="20"/>
      <c r="C2405" s="13"/>
      <c r="D2405" s="13"/>
      <c r="E2405" s="13"/>
      <c r="F2405" s="15"/>
      <c r="G2405" s="15"/>
      <c r="H2405" s="46"/>
      <c r="I2405" s="46"/>
      <c r="J2405" s="46"/>
      <c r="K2405" s="46"/>
      <c r="L2405" s="46"/>
      <c r="M2405" s="46"/>
      <c r="N2405" s="46"/>
      <c r="O2405" s="46"/>
      <c r="P2405" s="46"/>
      <c r="Q2405" s="46"/>
      <c r="R2405" s="46"/>
      <c r="S2405" s="46"/>
      <c r="T2405" s="46"/>
      <c r="U2405" s="46"/>
      <c r="V2405" s="46"/>
      <c r="W2405" s="46"/>
      <c r="X2405" s="46"/>
      <c r="Y2405" s="46"/>
      <c r="Z2405" s="46"/>
    </row>
    <row r="2406" ht="22.5" customHeight="1">
      <c r="A2406" s="17"/>
      <c r="B2406" s="20"/>
      <c r="C2406" s="13"/>
      <c r="D2406" s="13"/>
      <c r="E2406" s="13"/>
      <c r="F2406" s="15"/>
      <c r="G2406" s="15"/>
      <c r="H2406" s="46"/>
      <c r="I2406" s="46"/>
      <c r="J2406" s="46"/>
      <c r="K2406" s="46"/>
      <c r="L2406" s="46"/>
      <c r="M2406" s="46"/>
      <c r="N2406" s="46"/>
      <c r="O2406" s="46"/>
      <c r="P2406" s="46"/>
      <c r="Q2406" s="46"/>
      <c r="R2406" s="46"/>
      <c r="S2406" s="46"/>
      <c r="T2406" s="46"/>
      <c r="U2406" s="46"/>
      <c r="V2406" s="46"/>
      <c r="W2406" s="46"/>
      <c r="X2406" s="46"/>
      <c r="Y2406" s="46"/>
      <c r="Z2406" s="46"/>
    </row>
    <row r="2407" ht="22.5" customHeight="1">
      <c r="A2407" s="17"/>
      <c r="B2407" s="20"/>
      <c r="C2407" s="13"/>
      <c r="D2407" s="13"/>
      <c r="E2407" s="13"/>
      <c r="F2407" s="15"/>
      <c r="G2407" s="15"/>
      <c r="H2407" s="46"/>
      <c r="I2407" s="46"/>
      <c r="J2407" s="46"/>
      <c r="K2407" s="46"/>
      <c r="L2407" s="46"/>
      <c r="M2407" s="46"/>
      <c r="N2407" s="46"/>
      <c r="O2407" s="46"/>
      <c r="P2407" s="46"/>
      <c r="Q2407" s="46"/>
      <c r="R2407" s="46"/>
      <c r="S2407" s="46"/>
      <c r="T2407" s="46"/>
      <c r="U2407" s="46"/>
      <c r="V2407" s="46"/>
      <c r="W2407" s="46"/>
      <c r="X2407" s="46"/>
      <c r="Y2407" s="46"/>
      <c r="Z2407" s="46"/>
    </row>
    <row r="2408" ht="22.5" customHeight="1">
      <c r="A2408" s="17"/>
      <c r="B2408" s="20"/>
      <c r="C2408" s="13"/>
      <c r="D2408" s="13"/>
      <c r="E2408" s="13"/>
      <c r="F2408" s="15"/>
      <c r="G2408" s="15"/>
      <c r="H2408" s="46"/>
      <c r="I2408" s="46"/>
      <c r="J2408" s="46"/>
      <c r="K2408" s="46"/>
      <c r="L2408" s="46"/>
      <c r="M2408" s="46"/>
      <c r="N2408" s="46"/>
      <c r="O2408" s="46"/>
      <c r="P2408" s="46"/>
      <c r="Q2408" s="46"/>
      <c r="R2408" s="46"/>
      <c r="S2408" s="46"/>
      <c r="T2408" s="46"/>
      <c r="U2408" s="46"/>
      <c r="V2408" s="46"/>
      <c r="W2408" s="46"/>
      <c r="X2408" s="46"/>
      <c r="Y2408" s="46"/>
      <c r="Z2408" s="46"/>
    </row>
    <row r="2409" ht="22.5" customHeight="1">
      <c r="A2409" s="17"/>
      <c r="B2409" s="20"/>
      <c r="C2409" s="13"/>
      <c r="D2409" s="13"/>
      <c r="E2409" s="13"/>
      <c r="F2409" s="15"/>
      <c r="G2409" s="15"/>
      <c r="H2409" s="46"/>
      <c r="I2409" s="46"/>
      <c r="J2409" s="46"/>
      <c r="K2409" s="46"/>
      <c r="L2409" s="46"/>
      <c r="M2409" s="46"/>
      <c r="N2409" s="46"/>
      <c r="O2409" s="46"/>
      <c r="P2409" s="46"/>
      <c r="Q2409" s="46"/>
      <c r="R2409" s="46"/>
      <c r="S2409" s="46"/>
      <c r="T2409" s="46"/>
      <c r="U2409" s="46"/>
      <c r="V2409" s="46"/>
      <c r="W2409" s="46"/>
      <c r="X2409" s="46"/>
      <c r="Y2409" s="46"/>
      <c r="Z2409" s="46"/>
    </row>
    <row r="2410" ht="22.5" customHeight="1">
      <c r="A2410" s="17"/>
      <c r="B2410" s="20"/>
      <c r="C2410" s="13"/>
      <c r="D2410" s="13"/>
      <c r="E2410" s="13"/>
      <c r="F2410" s="15"/>
      <c r="G2410" s="15"/>
      <c r="H2410" s="46"/>
      <c r="I2410" s="46"/>
      <c r="J2410" s="46"/>
      <c r="K2410" s="46"/>
      <c r="L2410" s="46"/>
      <c r="M2410" s="46"/>
      <c r="N2410" s="46"/>
      <c r="O2410" s="46"/>
      <c r="P2410" s="46"/>
      <c r="Q2410" s="46"/>
      <c r="R2410" s="46"/>
      <c r="S2410" s="46"/>
      <c r="T2410" s="46"/>
      <c r="U2410" s="46"/>
      <c r="V2410" s="46"/>
      <c r="W2410" s="46"/>
      <c r="X2410" s="46"/>
      <c r="Y2410" s="46"/>
      <c r="Z2410" s="46"/>
    </row>
    <row r="2411" ht="22.5" customHeight="1">
      <c r="A2411" s="17"/>
      <c r="B2411" s="20"/>
      <c r="C2411" s="13"/>
      <c r="D2411" s="13"/>
      <c r="E2411" s="13"/>
      <c r="F2411" s="15"/>
      <c r="G2411" s="15"/>
      <c r="H2411" s="46"/>
      <c r="I2411" s="46"/>
      <c r="J2411" s="46"/>
      <c r="K2411" s="46"/>
      <c r="L2411" s="46"/>
      <c r="M2411" s="46"/>
      <c r="N2411" s="46"/>
      <c r="O2411" s="46"/>
      <c r="P2411" s="46"/>
      <c r="Q2411" s="46"/>
      <c r="R2411" s="46"/>
      <c r="S2411" s="46"/>
      <c r="T2411" s="46"/>
      <c r="U2411" s="46"/>
      <c r="V2411" s="46"/>
      <c r="W2411" s="46"/>
      <c r="X2411" s="46"/>
      <c r="Y2411" s="46"/>
      <c r="Z2411" s="46"/>
    </row>
    <row r="2412" ht="22.5" customHeight="1">
      <c r="A2412" s="17"/>
      <c r="B2412" s="20"/>
      <c r="C2412" s="13"/>
      <c r="D2412" s="13"/>
      <c r="E2412" s="13"/>
      <c r="F2412" s="15"/>
      <c r="G2412" s="15"/>
      <c r="H2412" s="46"/>
      <c r="I2412" s="46"/>
      <c r="J2412" s="46"/>
      <c r="K2412" s="46"/>
      <c r="L2412" s="46"/>
      <c r="M2412" s="46"/>
      <c r="N2412" s="46"/>
      <c r="O2412" s="46"/>
      <c r="P2412" s="46"/>
      <c r="Q2412" s="46"/>
      <c r="R2412" s="46"/>
      <c r="S2412" s="46"/>
      <c r="T2412" s="46"/>
      <c r="U2412" s="46"/>
      <c r="V2412" s="46"/>
      <c r="W2412" s="46"/>
      <c r="X2412" s="46"/>
      <c r="Y2412" s="46"/>
      <c r="Z2412" s="46"/>
    </row>
    <row r="2413" ht="22.5" customHeight="1">
      <c r="A2413" s="17"/>
      <c r="B2413" s="20"/>
      <c r="C2413" s="13"/>
      <c r="D2413" s="13"/>
      <c r="E2413" s="13"/>
      <c r="F2413" s="15"/>
      <c r="G2413" s="15"/>
      <c r="H2413" s="46"/>
      <c r="I2413" s="46"/>
      <c r="J2413" s="46"/>
      <c r="K2413" s="46"/>
      <c r="L2413" s="46"/>
      <c r="M2413" s="46"/>
      <c r="N2413" s="46"/>
      <c r="O2413" s="46"/>
      <c r="P2413" s="46"/>
      <c r="Q2413" s="46"/>
      <c r="R2413" s="46"/>
      <c r="S2413" s="46"/>
      <c r="T2413" s="46"/>
      <c r="U2413" s="46"/>
      <c r="V2413" s="46"/>
      <c r="W2413" s="46"/>
      <c r="X2413" s="46"/>
      <c r="Y2413" s="46"/>
      <c r="Z2413" s="46"/>
    </row>
    <row r="2414" ht="22.5" customHeight="1">
      <c r="A2414" s="17"/>
      <c r="B2414" s="20"/>
      <c r="C2414" s="13"/>
      <c r="D2414" s="13"/>
      <c r="E2414" s="13"/>
      <c r="F2414" s="15"/>
      <c r="G2414" s="15"/>
      <c r="H2414" s="46"/>
      <c r="I2414" s="46"/>
      <c r="J2414" s="46"/>
      <c r="K2414" s="46"/>
      <c r="L2414" s="46"/>
      <c r="M2414" s="46"/>
      <c r="N2414" s="46"/>
      <c r="O2414" s="46"/>
      <c r="P2414" s="46"/>
      <c r="Q2414" s="46"/>
      <c r="R2414" s="46"/>
      <c r="S2414" s="46"/>
      <c r="T2414" s="46"/>
      <c r="U2414" s="46"/>
      <c r="V2414" s="46"/>
      <c r="W2414" s="46"/>
      <c r="X2414" s="46"/>
      <c r="Y2414" s="46"/>
      <c r="Z2414" s="46"/>
    </row>
    <row r="2415" ht="22.5" customHeight="1">
      <c r="A2415" s="17"/>
      <c r="B2415" s="20"/>
      <c r="C2415" s="13"/>
      <c r="D2415" s="13"/>
      <c r="E2415" s="13"/>
      <c r="F2415" s="15"/>
      <c r="G2415" s="15"/>
      <c r="H2415" s="46"/>
      <c r="I2415" s="46"/>
      <c r="J2415" s="46"/>
      <c r="K2415" s="46"/>
      <c r="L2415" s="46"/>
      <c r="M2415" s="46"/>
      <c r="N2415" s="46"/>
      <c r="O2415" s="46"/>
      <c r="P2415" s="46"/>
      <c r="Q2415" s="46"/>
      <c r="R2415" s="46"/>
      <c r="S2415" s="46"/>
      <c r="T2415" s="46"/>
      <c r="U2415" s="46"/>
      <c r="V2415" s="46"/>
      <c r="W2415" s="46"/>
      <c r="X2415" s="46"/>
      <c r="Y2415" s="46"/>
      <c r="Z2415" s="46"/>
    </row>
    <row r="2416" ht="22.5" customHeight="1">
      <c r="A2416" s="17"/>
      <c r="B2416" s="20"/>
      <c r="C2416" s="13"/>
      <c r="D2416" s="13"/>
      <c r="E2416" s="13"/>
      <c r="F2416" s="15"/>
      <c r="G2416" s="15"/>
      <c r="H2416" s="46"/>
      <c r="I2416" s="46"/>
      <c r="J2416" s="46"/>
      <c r="K2416" s="46"/>
      <c r="L2416" s="46"/>
      <c r="M2416" s="46"/>
      <c r="N2416" s="46"/>
      <c r="O2416" s="46"/>
      <c r="P2416" s="46"/>
      <c r="Q2416" s="46"/>
      <c r="R2416" s="46"/>
      <c r="S2416" s="46"/>
      <c r="T2416" s="46"/>
      <c r="U2416" s="46"/>
      <c r="V2416" s="46"/>
      <c r="W2416" s="46"/>
      <c r="X2416" s="46"/>
      <c r="Y2416" s="46"/>
      <c r="Z2416" s="46"/>
    </row>
    <row r="2417" ht="22.5" customHeight="1">
      <c r="A2417" s="17"/>
      <c r="B2417" s="20"/>
      <c r="C2417" s="13"/>
      <c r="D2417" s="13"/>
      <c r="E2417" s="13"/>
      <c r="F2417" s="15"/>
      <c r="G2417" s="15"/>
      <c r="H2417" s="46"/>
      <c r="I2417" s="46"/>
      <c r="J2417" s="46"/>
      <c r="K2417" s="46"/>
      <c r="L2417" s="46"/>
      <c r="M2417" s="46"/>
      <c r="N2417" s="46"/>
      <c r="O2417" s="46"/>
      <c r="P2417" s="46"/>
      <c r="Q2417" s="46"/>
      <c r="R2417" s="46"/>
      <c r="S2417" s="46"/>
      <c r="T2417" s="46"/>
      <c r="U2417" s="46"/>
      <c r="V2417" s="46"/>
      <c r="W2417" s="46"/>
      <c r="X2417" s="46"/>
      <c r="Y2417" s="46"/>
      <c r="Z2417" s="46"/>
    </row>
    <row r="2418" ht="22.5" customHeight="1">
      <c r="A2418" s="17"/>
      <c r="B2418" s="20"/>
      <c r="C2418" s="13"/>
      <c r="D2418" s="13"/>
      <c r="E2418" s="13"/>
      <c r="F2418" s="15"/>
      <c r="G2418" s="15"/>
      <c r="H2418" s="46"/>
      <c r="I2418" s="46"/>
      <c r="J2418" s="46"/>
      <c r="K2418" s="46"/>
      <c r="L2418" s="46"/>
      <c r="M2418" s="46"/>
      <c r="N2418" s="46"/>
      <c r="O2418" s="46"/>
      <c r="P2418" s="46"/>
      <c r="Q2418" s="46"/>
      <c r="R2418" s="46"/>
      <c r="S2418" s="46"/>
      <c r="T2418" s="46"/>
      <c r="U2418" s="46"/>
      <c r="V2418" s="46"/>
      <c r="W2418" s="46"/>
      <c r="X2418" s="46"/>
      <c r="Y2418" s="46"/>
      <c r="Z2418" s="46"/>
    </row>
    <row r="2419" ht="22.5" customHeight="1">
      <c r="A2419" s="17"/>
      <c r="B2419" s="20"/>
      <c r="C2419" s="13"/>
      <c r="D2419" s="13"/>
      <c r="E2419" s="13"/>
      <c r="F2419" s="15"/>
      <c r="G2419" s="15"/>
      <c r="H2419" s="46"/>
      <c r="I2419" s="46"/>
      <c r="J2419" s="46"/>
      <c r="K2419" s="46"/>
      <c r="L2419" s="46"/>
      <c r="M2419" s="46"/>
      <c r="N2419" s="46"/>
      <c r="O2419" s="46"/>
      <c r="P2419" s="46"/>
      <c r="Q2419" s="46"/>
      <c r="R2419" s="46"/>
      <c r="S2419" s="46"/>
      <c r="T2419" s="46"/>
      <c r="U2419" s="46"/>
      <c r="V2419" s="46"/>
      <c r="W2419" s="46"/>
      <c r="X2419" s="46"/>
      <c r="Y2419" s="46"/>
      <c r="Z2419" s="46"/>
    </row>
    <row r="2420" ht="22.5" customHeight="1">
      <c r="A2420" s="17"/>
      <c r="B2420" s="20"/>
      <c r="C2420" s="13"/>
      <c r="D2420" s="13"/>
      <c r="E2420" s="13"/>
      <c r="F2420" s="15"/>
      <c r="G2420" s="15"/>
      <c r="H2420" s="46"/>
      <c r="I2420" s="46"/>
      <c r="J2420" s="46"/>
      <c r="K2420" s="46"/>
      <c r="L2420" s="46"/>
      <c r="M2420" s="46"/>
      <c r="N2420" s="46"/>
      <c r="O2420" s="46"/>
      <c r="P2420" s="46"/>
      <c r="Q2420" s="46"/>
      <c r="R2420" s="46"/>
      <c r="S2420" s="46"/>
      <c r="T2420" s="46"/>
      <c r="U2420" s="46"/>
      <c r="V2420" s="46"/>
      <c r="W2420" s="46"/>
      <c r="X2420" s="46"/>
      <c r="Y2420" s="46"/>
      <c r="Z2420" s="46"/>
    </row>
    <row r="2421" ht="22.5" customHeight="1">
      <c r="A2421" s="17"/>
      <c r="B2421" s="20"/>
      <c r="C2421" s="13"/>
      <c r="D2421" s="13"/>
      <c r="E2421" s="13"/>
      <c r="F2421" s="15"/>
      <c r="G2421" s="15"/>
      <c r="H2421" s="46"/>
      <c r="I2421" s="46"/>
      <c r="J2421" s="46"/>
      <c r="K2421" s="46"/>
      <c r="L2421" s="46"/>
      <c r="M2421" s="46"/>
      <c r="N2421" s="46"/>
      <c r="O2421" s="46"/>
      <c r="P2421" s="46"/>
      <c r="Q2421" s="46"/>
      <c r="R2421" s="46"/>
      <c r="S2421" s="46"/>
      <c r="T2421" s="46"/>
      <c r="U2421" s="46"/>
      <c r="V2421" s="46"/>
      <c r="W2421" s="46"/>
      <c r="X2421" s="46"/>
      <c r="Y2421" s="46"/>
      <c r="Z2421" s="46"/>
    </row>
    <row r="2422" ht="22.5" customHeight="1">
      <c r="A2422" s="17"/>
      <c r="B2422" s="20"/>
      <c r="C2422" s="13"/>
      <c r="D2422" s="13"/>
      <c r="E2422" s="13"/>
      <c r="F2422" s="15"/>
      <c r="G2422" s="15"/>
      <c r="H2422" s="46"/>
      <c r="I2422" s="46"/>
      <c r="J2422" s="46"/>
      <c r="K2422" s="46"/>
      <c r="L2422" s="46"/>
      <c r="M2422" s="46"/>
      <c r="N2422" s="46"/>
      <c r="O2422" s="46"/>
      <c r="P2422" s="46"/>
      <c r="Q2422" s="46"/>
      <c r="R2422" s="46"/>
      <c r="S2422" s="46"/>
      <c r="T2422" s="46"/>
      <c r="U2422" s="46"/>
      <c r="V2422" s="46"/>
      <c r="W2422" s="46"/>
      <c r="X2422" s="46"/>
      <c r="Y2422" s="46"/>
      <c r="Z2422" s="46"/>
    </row>
    <row r="2423" ht="22.5" customHeight="1">
      <c r="A2423" s="17"/>
      <c r="B2423" s="20"/>
      <c r="C2423" s="13"/>
      <c r="D2423" s="13"/>
      <c r="E2423" s="13"/>
      <c r="F2423" s="15"/>
      <c r="G2423" s="15"/>
      <c r="H2423" s="46"/>
      <c r="I2423" s="46"/>
      <c r="J2423" s="46"/>
      <c r="K2423" s="46"/>
      <c r="L2423" s="46"/>
      <c r="M2423" s="46"/>
      <c r="N2423" s="46"/>
      <c r="O2423" s="46"/>
      <c r="P2423" s="46"/>
      <c r="Q2423" s="46"/>
      <c r="R2423" s="46"/>
      <c r="S2423" s="46"/>
      <c r="T2423" s="46"/>
      <c r="U2423" s="46"/>
      <c r="V2423" s="46"/>
      <c r="W2423" s="46"/>
      <c r="X2423" s="46"/>
      <c r="Y2423" s="46"/>
      <c r="Z2423" s="46"/>
    </row>
    <row r="2424" ht="22.5" customHeight="1">
      <c r="A2424" s="17"/>
      <c r="B2424" s="20"/>
      <c r="C2424" s="13"/>
      <c r="D2424" s="13"/>
      <c r="E2424" s="13"/>
      <c r="F2424" s="15"/>
      <c r="G2424" s="15"/>
      <c r="H2424" s="46"/>
      <c r="I2424" s="46"/>
      <c r="J2424" s="46"/>
      <c r="K2424" s="46"/>
      <c r="L2424" s="46"/>
      <c r="M2424" s="46"/>
      <c r="N2424" s="46"/>
      <c r="O2424" s="46"/>
      <c r="P2424" s="46"/>
      <c r="Q2424" s="46"/>
      <c r="R2424" s="46"/>
      <c r="S2424" s="46"/>
      <c r="T2424" s="46"/>
      <c r="U2424" s="46"/>
      <c r="V2424" s="46"/>
      <c r="W2424" s="46"/>
      <c r="X2424" s="46"/>
      <c r="Y2424" s="46"/>
      <c r="Z2424" s="46"/>
    </row>
    <row r="2425" ht="22.5" customHeight="1">
      <c r="A2425" s="17"/>
      <c r="B2425" s="20"/>
      <c r="C2425" s="13"/>
      <c r="D2425" s="13"/>
      <c r="E2425" s="13"/>
      <c r="F2425" s="15"/>
      <c r="G2425" s="15"/>
      <c r="H2425" s="46"/>
      <c r="I2425" s="46"/>
      <c r="J2425" s="46"/>
      <c r="K2425" s="46"/>
      <c r="L2425" s="46"/>
      <c r="M2425" s="46"/>
      <c r="N2425" s="46"/>
      <c r="O2425" s="46"/>
      <c r="P2425" s="46"/>
      <c r="Q2425" s="46"/>
      <c r="R2425" s="46"/>
      <c r="S2425" s="46"/>
      <c r="T2425" s="46"/>
      <c r="U2425" s="46"/>
      <c r="V2425" s="46"/>
      <c r="W2425" s="46"/>
      <c r="X2425" s="46"/>
      <c r="Y2425" s="46"/>
      <c r="Z2425" s="46"/>
    </row>
    <row r="2426" ht="22.5" customHeight="1">
      <c r="A2426" s="17"/>
      <c r="B2426" s="20"/>
      <c r="C2426" s="13"/>
      <c r="D2426" s="13"/>
      <c r="E2426" s="13"/>
      <c r="F2426" s="15"/>
      <c r="G2426" s="15"/>
      <c r="H2426" s="46"/>
      <c r="I2426" s="46"/>
      <c r="J2426" s="46"/>
      <c r="K2426" s="46"/>
      <c r="L2426" s="46"/>
      <c r="M2426" s="46"/>
      <c r="N2426" s="46"/>
      <c r="O2426" s="46"/>
      <c r="P2426" s="46"/>
      <c r="Q2426" s="46"/>
      <c r="R2426" s="46"/>
      <c r="S2426" s="46"/>
      <c r="T2426" s="46"/>
      <c r="U2426" s="46"/>
      <c r="V2426" s="46"/>
      <c r="W2426" s="46"/>
      <c r="X2426" s="46"/>
      <c r="Y2426" s="46"/>
      <c r="Z2426" s="46"/>
    </row>
    <row r="2427" ht="22.5" customHeight="1">
      <c r="A2427" s="17"/>
      <c r="B2427" s="20"/>
      <c r="C2427" s="13"/>
      <c r="D2427" s="13"/>
      <c r="E2427" s="13"/>
      <c r="F2427" s="15"/>
      <c r="G2427" s="15"/>
      <c r="H2427" s="46"/>
      <c r="I2427" s="46"/>
      <c r="J2427" s="46"/>
      <c r="K2427" s="46"/>
      <c r="L2427" s="46"/>
      <c r="M2427" s="46"/>
      <c r="N2427" s="46"/>
      <c r="O2427" s="46"/>
      <c r="P2427" s="46"/>
      <c r="Q2427" s="46"/>
      <c r="R2427" s="46"/>
      <c r="S2427" s="46"/>
      <c r="T2427" s="46"/>
      <c r="U2427" s="46"/>
      <c r="V2427" s="46"/>
      <c r="W2427" s="46"/>
      <c r="X2427" s="46"/>
      <c r="Y2427" s="46"/>
      <c r="Z2427" s="46"/>
    </row>
    <row r="2428" ht="22.5" customHeight="1">
      <c r="A2428" s="17"/>
      <c r="B2428" s="20"/>
      <c r="C2428" s="13"/>
      <c r="D2428" s="13"/>
      <c r="E2428" s="13"/>
      <c r="F2428" s="15"/>
      <c r="G2428" s="15"/>
      <c r="H2428" s="46"/>
      <c r="I2428" s="46"/>
      <c r="J2428" s="46"/>
      <c r="K2428" s="46"/>
      <c r="L2428" s="46"/>
      <c r="M2428" s="46"/>
      <c r="N2428" s="46"/>
      <c r="O2428" s="46"/>
      <c r="P2428" s="46"/>
      <c r="Q2428" s="46"/>
      <c r="R2428" s="46"/>
      <c r="S2428" s="46"/>
      <c r="T2428" s="46"/>
      <c r="U2428" s="46"/>
      <c r="V2428" s="46"/>
      <c r="W2428" s="46"/>
      <c r="X2428" s="46"/>
      <c r="Y2428" s="46"/>
      <c r="Z2428" s="46"/>
    </row>
    <row r="2429" ht="22.5" customHeight="1">
      <c r="A2429" s="17"/>
      <c r="B2429" s="20"/>
      <c r="C2429" s="13"/>
      <c r="D2429" s="13"/>
      <c r="E2429" s="13"/>
      <c r="F2429" s="15"/>
      <c r="G2429" s="15"/>
      <c r="H2429" s="46"/>
      <c r="I2429" s="46"/>
      <c r="J2429" s="46"/>
      <c r="K2429" s="46"/>
      <c r="L2429" s="46"/>
      <c r="M2429" s="46"/>
      <c r="N2429" s="46"/>
      <c r="O2429" s="46"/>
      <c r="P2429" s="46"/>
      <c r="Q2429" s="46"/>
      <c r="R2429" s="46"/>
      <c r="S2429" s="46"/>
      <c r="T2429" s="46"/>
      <c r="U2429" s="46"/>
      <c r="V2429" s="46"/>
      <c r="W2429" s="46"/>
      <c r="X2429" s="46"/>
      <c r="Y2429" s="46"/>
      <c r="Z2429" s="46"/>
    </row>
    <row r="2430" ht="22.5" customHeight="1">
      <c r="A2430" s="17"/>
      <c r="B2430" s="20"/>
      <c r="C2430" s="13"/>
      <c r="D2430" s="13"/>
      <c r="E2430" s="13"/>
      <c r="F2430" s="15"/>
      <c r="G2430" s="15"/>
      <c r="H2430" s="46"/>
      <c r="I2430" s="46"/>
      <c r="J2430" s="46"/>
      <c r="K2430" s="46"/>
      <c r="L2430" s="46"/>
      <c r="M2430" s="46"/>
      <c r="N2430" s="46"/>
      <c r="O2430" s="46"/>
      <c r="P2430" s="46"/>
      <c r="Q2430" s="46"/>
      <c r="R2430" s="46"/>
      <c r="S2430" s="46"/>
      <c r="T2430" s="46"/>
      <c r="U2430" s="46"/>
      <c r="V2430" s="46"/>
      <c r="W2430" s="46"/>
      <c r="X2430" s="46"/>
      <c r="Y2430" s="46"/>
      <c r="Z2430" s="46"/>
    </row>
    <row r="2431" ht="22.5" customHeight="1">
      <c r="A2431" s="17"/>
      <c r="B2431" s="20"/>
      <c r="C2431" s="13"/>
      <c r="D2431" s="13"/>
      <c r="E2431" s="13"/>
      <c r="F2431" s="15"/>
      <c r="G2431" s="15"/>
      <c r="H2431" s="46"/>
      <c r="I2431" s="46"/>
      <c r="J2431" s="46"/>
      <c r="K2431" s="46"/>
      <c r="L2431" s="46"/>
      <c r="M2431" s="46"/>
      <c r="N2431" s="46"/>
      <c r="O2431" s="46"/>
      <c r="P2431" s="46"/>
      <c r="Q2431" s="46"/>
      <c r="R2431" s="46"/>
      <c r="S2431" s="46"/>
      <c r="T2431" s="46"/>
      <c r="U2431" s="46"/>
      <c r="V2431" s="46"/>
      <c r="W2431" s="46"/>
      <c r="X2431" s="46"/>
      <c r="Y2431" s="46"/>
      <c r="Z2431" s="46"/>
    </row>
    <row r="2432" ht="22.5" customHeight="1">
      <c r="A2432" s="17"/>
      <c r="B2432" s="20"/>
      <c r="C2432" s="13"/>
      <c r="D2432" s="13"/>
      <c r="E2432" s="13"/>
      <c r="F2432" s="15"/>
      <c r="G2432" s="15"/>
      <c r="H2432" s="46"/>
      <c r="I2432" s="46"/>
      <c r="J2432" s="46"/>
      <c r="K2432" s="46"/>
      <c r="L2432" s="46"/>
      <c r="M2432" s="46"/>
      <c r="N2432" s="46"/>
      <c r="O2432" s="46"/>
      <c r="P2432" s="46"/>
      <c r="Q2432" s="46"/>
      <c r="R2432" s="46"/>
      <c r="S2432" s="46"/>
      <c r="T2432" s="46"/>
      <c r="U2432" s="46"/>
      <c r="V2432" s="46"/>
      <c r="W2432" s="46"/>
      <c r="X2432" s="46"/>
      <c r="Y2432" s="46"/>
      <c r="Z2432" s="46"/>
    </row>
    <row r="2433" ht="22.5" customHeight="1">
      <c r="A2433" s="17"/>
      <c r="B2433" s="20"/>
      <c r="C2433" s="13"/>
      <c r="D2433" s="13"/>
      <c r="E2433" s="13"/>
      <c r="F2433" s="15"/>
      <c r="G2433" s="15"/>
      <c r="H2433" s="46"/>
      <c r="I2433" s="46"/>
      <c r="J2433" s="46"/>
      <c r="K2433" s="46"/>
      <c r="L2433" s="46"/>
      <c r="M2433" s="46"/>
      <c r="N2433" s="46"/>
      <c r="O2433" s="46"/>
      <c r="P2433" s="46"/>
      <c r="Q2433" s="46"/>
      <c r="R2433" s="46"/>
      <c r="S2433" s="46"/>
      <c r="T2433" s="46"/>
      <c r="U2433" s="46"/>
      <c r="V2433" s="46"/>
      <c r="W2433" s="46"/>
      <c r="X2433" s="46"/>
      <c r="Y2433" s="46"/>
      <c r="Z2433" s="46"/>
    </row>
    <row r="2434" ht="22.5" customHeight="1">
      <c r="A2434" s="17"/>
      <c r="B2434" s="20"/>
      <c r="C2434" s="13"/>
      <c r="D2434" s="13"/>
      <c r="E2434" s="13"/>
      <c r="F2434" s="15"/>
      <c r="G2434" s="15"/>
      <c r="H2434" s="46"/>
      <c r="I2434" s="46"/>
      <c r="J2434" s="46"/>
      <c r="K2434" s="46"/>
      <c r="L2434" s="46"/>
      <c r="M2434" s="46"/>
      <c r="N2434" s="46"/>
      <c r="O2434" s="46"/>
      <c r="P2434" s="46"/>
      <c r="Q2434" s="46"/>
      <c r="R2434" s="46"/>
      <c r="S2434" s="46"/>
      <c r="T2434" s="46"/>
      <c r="U2434" s="46"/>
      <c r="V2434" s="46"/>
      <c r="W2434" s="46"/>
      <c r="X2434" s="46"/>
      <c r="Y2434" s="46"/>
      <c r="Z2434" s="46"/>
    </row>
    <row r="2435" ht="22.5" customHeight="1">
      <c r="A2435" s="17"/>
      <c r="B2435" s="20"/>
      <c r="C2435" s="13"/>
      <c r="D2435" s="13"/>
      <c r="E2435" s="13"/>
      <c r="F2435" s="15"/>
      <c r="G2435" s="15"/>
      <c r="H2435" s="46"/>
      <c r="I2435" s="46"/>
      <c r="J2435" s="46"/>
      <c r="K2435" s="46"/>
      <c r="L2435" s="46"/>
      <c r="M2435" s="46"/>
      <c r="N2435" s="46"/>
      <c r="O2435" s="46"/>
      <c r="P2435" s="46"/>
      <c r="Q2435" s="46"/>
      <c r="R2435" s="46"/>
      <c r="S2435" s="46"/>
      <c r="T2435" s="46"/>
      <c r="U2435" s="46"/>
      <c r="V2435" s="46"/>
      <c r="W2435" s="46"/>
      <c r="X2435" s="46"/>
      <c r="Y2435" s="46"/>
      <c r="Z2435" s="46"/>
    </row>
    <row r="2436" ht="22.5" customHeight="1">
      <c r="A2436" s="17"/>
      <c r="B2436" s="20"/>
      <c r="C2436" s="13"/>
      <c r="D2436" s="13"/>
      <c r="E2436" s="13"/>
      <c r="F2436" s="15"/>
      <c r="G2436" s="15"/>
      <c r="H2436" s="46"/>
      <c r="I2436" s="46"/>
      <c r="J2436" s="46"/>
      <c r="K2436" s="46"/>
      <c r="L2436" s="46"/>
      <c r="M2436" s="46"/>
      <c r="N2436" s="46"/>
      <c r="O2436" s="46"/>
      <c r="P2436" s="46"/>
      <c r="Q2436" s="46"/>
      <c r="R2436" s="46"/>
      <c r="S2436" s="46"/>
      <c r="T2436" s="46"/>
      <c r="U2436" s="46"/>
      <c r="V2436" s="46"/>
      <c r="W2436" s="46"/>
      <c r="X2436" s="46"/>
      <c r="Y2436" s="46"/>
      <c r="Z2436" s="46"/>
    </row>
    <row r="2437" ht="22.5" customHeight="1">
      <c r="A2437" s="17"/>
      <c r="B2437" s="20"/>
      <c r="C2437" s="13"/>
      <c r="D2437" s="13"/>
      <c r="E2437" s="13"/>
      <c r="F2437" s="15"/>
      <c r="G2437" s="15"/>
      <c r="H2437" s="46"/>
      <c r="I2437" s="46"/>
      <c r="J2437" s="46"/>
      <c r="K2437" s="46"/>
      <c r="L2437" s="46"/>
      <c r="M2437" s="46"/>
      <c r="N2437" s="46"/>
      <c r="O2437" s="46"/>
      <c r="P2437" s="46"/>
      <c r="Q2437" s="46"/>
      <c r="R2437" s="46"/>
      <c r="S2437" s="46"/>
      <c r="T2437" s="46"/>
      <c r="U2437" s="46"/>
      <c r="V2437" s="46"/>
      <c r="W2437" s="46"/>
      <c r="X2437" s="46"/>
      <c r="Y2437" s="46"/>
      <c r="Z2437" s="46"/>
    </row>
    <row r="2438" ht="22.5" customHeight="1">
      <c r="A2438" s="17"/>
      <c r="B2438" s="20"/>
      <c r="C2438" s="13"/>
      <c r="D2438" s="13"/>
      <c r="E2438" s="13"/>
      <c r="F2438" s="15"/>
      <c r="G2438" s="15"/>
      <c r="H2438" s="46"/>
      <c r="I2438" s="46"/>
      <c r="J2438" s="46"/>
      <c r="K2438" s="46"/>
      <c r="L2438" s="46"/>
      <c r="M2438" s="46"/>
      <c r="N2438" s="46"/>
      <c r="O2438" s="46"/>
      <c r="P2438" s="46"/>
      <c r="Q2438" s="46"/>
      <c r="R2438" s="46"/>
      <c r="S2438" s="46"/>
      <c r="T2438" s="46"/>
      <c r="U2438" s="46"/>
      <c r="V2438" s="46"/>
      <c r="W2438" s="46"/>
      <c r="X2438" s="46"/>
      <c r="Y2438" s="46"/>
      <c r="Z2438" s="46"/>
    </row>
    <row r="2439" ht="22.5" customHeight="1">
      <c r="A2439" s="17"/>
      <c r="B2439" s="20"/>
      <c r="C2439" s="13"/>
      <c r="D2439" s="13"/>
      <c r="E2439" s="13"/>
      <c r="F2439" s="15"/>
      <c r="G2439" s="15"/>
      <c r="H2439" s="46"/>
      <c r="I2439" s="46"/>
      <c r="J2439" s="46"/>
      <c r="K2439" s="46"/>
      <c r="L2439" s="46"/>
      <c r="M2439" s="46"/>
      <c r="N2439" s="46"/>
      <c r="O2439" s="46"/>
      <c r="P2439" s="46"/>
      <c r="Q2439" s="46"/>
      <c r="R2439" s="46"/>
      <c r="S2439" s="46"/>
      <c r="T2439" s="46"/>
      <c r="U2439" s="46"/>
      <c r="V2439" s="46"/>
      <c r="W2439" s="46"/>
      <c r="X2439" s="46"/>
      <c r="Y2439" s="46"/>
      <c r="Z2439" s="46"/>
    </row>
    <row r="2440" ht="22.5" customHeight="1">
      <c r="A2440" s="17"/>
      <c r="B2440" s="20"/>
      <c r="C2440" s="13"/>
      <c r="D2440" s="13"/>
      <c r="E2440" s="13"/>
      <c r="F2440" s="15"/>
      <c r="G2440" s="15"/>
      <c r="H2440" s="46"/>
      <c r="I2440" s="46"/>
      <c r="J2440" s="46"/>
      <c r="K2440" s="46"/>
      <c r="L2440" s="46"/>
      <c r="M2440" s="46"/>
      <c r="N2440" s="46"/>
      <c r="O2440" s="46"/>
      <c r="P2440" s="46"/>
      <c r="Q2440" s="46"/>
      <c r="R2440" s="46"/>
      <c r="S2440" s="46"/>
      <c r="T2440" s="46"/>
      <c r="U2440" s="46"/>
      <c r="V2440" s="46"/>
      <c r="W2440" s="46"/>
      <c r="X2440" s="46"/>
      <c r="Y2440" s="46"/>
      <c r="Z2440" s="46"/>
    </row>
    <row r="2441" ht="22.5" customHeight="1">
      <c r="A2441" s="17"/>
      <c r="B2441" s="20"/>
      <c r="C2441" s="13"/>
      <c r="D2441" s="13"/>
      <c r="E2441" s="13"/>
      <c r="F2441" s="15"/>
      <c r="G2441" s="15"/>
      <c r="H2441" s="46"/>
      <c r="I2441" s="46"/>
      <c r="J2441" s="46"/>
      <c r="K2441" s="46"/>
      <c r="L2441" s="46"/>
      <c r="M2441" s="46"/>
      <c r="N2441" s="46"/>
      <c r="O2441" s="46"/>
      <c r="P2441" s="46"/>
      <c r="Q2441" s="46"/>
      <c r="R2441" s="46"/>
      <c r="S2441" s="46"/>
      <c r="T2441" s="46"/>
      <c r="U2441" s="46"/>
      <c r="V2441" s="46"/>
      <c r="W2441" s="46"/>
      <c r="X2441" s="46"/>
      <c r="Y2441" s="46"/>
      <c r="Z2441" s="46"/>
    </row>
    <row r="2442" ht="22.5" customHeight="1">
      <c r="A2442" s="17"/>
      <c r="B2442" s="20"/>
      <c r="C2442" s="13"/>
      <c r="D2442" s="13"/>
      <c r="E2442" s="13"/>
      <c r="F2442" s="15"/>
      <c r="G2442" s="15"/>
      <c r="H2442" s="46"/>
      <c r="I2442" s="46"/>
      <c r="J2442" s="46"/>
      <c r="K2442" s="46"/>
      <c r="L2442" s="46"/>
      <c r="M2442" s="46"/>
      <c r="N2442" s="46"/>
      <c r="O2442" s="46"/>
      <c r="P2442" s="46"/>
      <c r="Q2442" s="46"/>
      <c r="R2442" s="46"/>
      <c r="S2442" s="46"/>
      <c r="T2442" s="46"/>
      <c r="U2442" s="46"/>
      <c r="V2442" s="46"/>
      <c r="W2442" s="46"/>
      <c r="X2442" s="46"/>
      <c r="Y2442" s="46"/>
      <c r="Z2442" s="46"/>
    </row>
    <row r="2443" ht="22.5" customHeight="1">
      <c r="A2443" s="17"/>
      <c r="B2443" s="20"/>
      <c r="C2443" s="13"/>
      <c r="D2443" s="13"/>
      <c r="E2443" s="13"/>
      <c r="F2443" s="15"/>
      <c r="G2443" s="15"/>
      <c r="H2443" s="46"/>
      <c r="I2443" s="46"/>
      <c r="J2443" s="46"/>
      <c r="K2443" s="46"/>
      <c r="L2443" s="46"/>
      <c r="M2443" s="46"/>
      <c r="N2443" s="46"/>
      <c r="O2443" s="46"/>
      <c r="P2443" s="46"/>
      <c r="Q2443" s="46"/>
      <c r="R2443" s="46"/>
      <c r="S2443" s="46"/>
      <c r="T2443" s="46"/>
      <c r="U2443" s="46"/>
      <c r="V2443" s="46"/>
      <c r="W2443" s="46"/>
      <c r="X2443" s="46"/>
      <c r="Y2443" s="46"/>
      <c r="Z2443" s="46"/>
    </row>
    <row r="2444" ht="22.5" customHeight="1">
      <c r="A2444" s="17"/>
      <c r="B2444" s="20"/>
      <c r="C2444" s="13"/>
      <c r="D2444" s="13"/>
      <c r="E2444" s="13"/>
      <c r="F2444" s="15"/>
      <c r="G2444" s="15"/>
      <c r="H2444" s="46"/>
      <c r="I2444" s="46"/>
      <c r="J2444" s="46"/>
      <c r="K2444" s="46"/>
      <c r="L2444" s="46"/>
      <c r="M2444" s="46"/>
      <c r="N2444" s="46"/>
      <c r="O2444" s="46"/>
      <c r="P2444" s="46"/>
      <c r="Q2444" s="46"/>
      <c r="R2444" s="46"/>
      <c r="S2444" s="46"/>
      <c r="T2444" s="46"/>
      <c r="U2444" s="46"/>
      <c r="V2444" s="46"/>
      <c r="W2444" s="46"/>
      <c r="X2444" s="46"/>
      <c r="Y2444" s="46"/>
      <c r="Z2444" s="46"/>
    </row>
    <row r="2445" ht="22.5" customHeight="1">
      <c r="A2445" s="17"/>
      <c r="B2445" s="20"/>
      <c r="C2445" s="13"/>
      <c r="D2445" s="13"/>
      <c r="E2445" s="13"/>
      <c r="F2445" s="15"/>
      <c r="G2445" s="15"/>
      <c r="H2445" s="46"/>
      <c r="I2445" s="46"/>
      <c r="J2445" s="46"/>
      <c r="K2445" s="46"/>
      <c r="L2445" s="46"/>
      <c r="M2445" s="46"/>
      <c r="N2445" s="46"/>
      <c r="O2445" s="46"/>
      <c r="P2445" s="46"/>
      <c r="Q2445" s="46"/>
      <c r="R2445" s="46"/>
      <c r="S2445" s="46"/>
      <c r="T2445" s="46"/>
      <c r="U2445" s="46"/>
      <c r="V2445" s="46"/>
      <c r="W2445" s="46"/>
      <c r="X2445" s="46"/>
      <c r="Y2445" s="46"/>
      <c r="Z2445" s="46"/>
    </row>
    <row r="2446" ht="22.5" customHeight="1">
      <c r="A2446" s="17"/>
      <c r="B2446" s="20"/>
      <c r="C2446" s="13"/>
      <c r="D2446" s="13"/>
      <c r="E2446" s="13"/>
      <c r="F2446" s="15"/>
      <c r="G2446" s="15"/>
      <c r="H2446" s="46"/>
      <c r="I2446" s="46"/>
      <c r="J2446" s="46"/>
      <c r="K2446" s="46"/>
      <c r="L2446" s="46"/>
      <c r="M2446" s="46"/>
      <c r="N2446" s="46"/>
      <c r="O2446" s="46"/>
      <c r="P2446" s="46"/>
      <c r="Q2446" s="46"/>
      <c r="R2446" s="46"/>
      <c r="S2446" s="46"/>
      <c r="T2446" s="46"/>
      <c r="U2446" s="46"/>
      <c r="V2446" s="46"/>
      <c r="W2446" s="46"/>
      <c r="X2446" s="46"/>
      <c r="Y2446" s="46"/>
      <c r="Z2446" s="46"/>
    </row>
    <row r="2447" ht="22.5" customHeight="1">
      <c r="A2447" s="17"/>
      <c r="B2447" s="20"/>
      <c r="C2447" s="13"/>
      <c r="D2447" s="13"/>
      <c r="E2447" s="13"/>
      <c r="F2447" s="15"/>
      <c r="G2447" s="15"/>
      <c r="H2447" s="46"/>
      <c r="I2447" s="46"/>
      <c r="J2447" s="46"/>
      <c r="K2447" s="46"/>
      <c r="L2447" s="46"/>
      <c r="M2447" s="46"/>
      <c r="N2447" s="46"/>
      <c r="O2447" s="46"/>
      <c r="P2447" s="46"/>
      <c r="Q2447" s="46"/>
      <c r="R2447" s="46"/>
      <c r="S2447" s="46"/>
      <c r="T2447" s="46"/>
      <c r="U2447" s="46"/>
      <c r="V2447" s="46"/>
      <c r="W2447" s="46"/>
      <c r="X2447" s="46"/>
      <c r="Y2447" s="46"/>
      <c r="Z2447" s="46"/>
    </row>
    <row r="2448" ht="22.5" customHeight="1">
      <c r="A2448" s="17"/>
      <c r="B2448" s="20"/>
      <c r="C2448" s="13"/>
      <c r="D2448" s="13"/>
      <c r="E2448" s="13"/>
      <c r="F2448" s="15"/>
      <c r="G2448" s="15"/>
      <c r="H2448" s="46"/>
      <c r="I2448" s="46"/>
      <c r="J2448" s="46"/>
      <c r="K2448" s="46"/>
      <c r="L2448" s="46"/>
      <c r="M2448" s="46"/>
      <c r="N2448" s="46"/>
      <c r="O2448" s="46"/>
      <c r="P2448" s="46"/>
      <c r="Q2448" s="46"/>
      <c r="R2448" s="46"/>
      <c r="S2448" s="46"/>
      <c r="T2448" s="46"/>
      <c r="U2448" s="46"/>
      <c r="V2448" s="46"/>
      <c r="W2448" s="46"/>
      <c r="X2448" s="46"/>
      <c r="Y2448" s="46"/>
      <c r="Z2448" s="46"/>
    </row>
    <row r="2449" ht="22.5" customHeight="1">
      <c r="A2449" s="17"/>
      <c r="B2449" s="20"/>
      <c r="C2449" s="13"/>
      <c r="D2449" s="13"/>
      <c r="E2449" s="13"/>
      <c r="F2449" s="15"/>
      <c r="G2449" s="15"/>
      <c r="H2449" s="46"/>
      <c r="I2449" s="46"/>
      <c r="J2449" s="46"/>
      <c r="K2449" s="46"/>
      <c r="L2449" s="46"/>
      <c r="M2449" s="46"/>
      <c r="N2449" s="46"/>
      <c r="O2449" s="46"/>
      <c r="P2449" s="46"/>
      <c r="Q2449" s="46"/>
      <c r="R2449" s="46"/>
      <c r="S2449" s="46"/>
      <c r="T2449" s="46"/>
      <c r="U2449" s="46"/>
      <c r="V2449" s="46"/>
      <c r="W2449" s="46"/>
      <c r="X2449" s="46"/>
      <c r="Y2449" s="46"/>
      <c r="Z2449" s="46"/>
    </row>
    <row r="2450" ht="22.5" customHeight="1">
      <c r="A2450" s="17"/>
      <c r="B2450" s="20"/>
      <c r="C2450" s="13"/>
      <c r="D2450" s="13"/>
      <c r="E2450" s="13"/>
      <c r="F2450" s="15"/>
      <c r="G2450" s="15"/>
      <c r="H2450" s="46"/>
      <c r="I2450" s="46"/>
      <c r="J2450" s="46"/>
      <c r="K2450" s="46"/>
      <c r="L2450" s="46"/>
      <c r="M2450" s="46"/>
      <c r="N2450" s="46"/>
      <c r="O2450" s="46"/>
      <c r="P2450" s="46"/>
      <c r="Q2450" s="46"/>
      <c r="R2450" s="46"/>
      <c r="S2450" s="46"/>
      <c r="T2450" s="46"/>
      <c r="U2450" s="46"/>
      <c r="V2450" s="46"/>
      <c r="W2450" s="46"/>
      <c r="X2450" s="46"/>
      <c r="Y2450" s="46"/>
      <c r="Z2450" s="46"/>
    </row>
    <row r="2451" ht="22.5" customHeight="1">
      <c r="A2451" s="17"/>
      <c r="B2451" s="20"/>
      <c r="C2451" s="13"/>
      <c r="D2451" s="13"/>
      <c r="E2451" s="13"/>
      <c r="F2451" s="15"/>
      <c r="G2451" s="15"/>
      <c r="H2451" s="46"/>
      <c r="I2451" s="46"/>
      <c r="J2451" s="46"/>
      <c r="K2451" s="46"/>
      <c r="L2451" s="46"/>
      <c r="M2451" s="46"/>
      <c r="N2451" s="46"/>
      <c r="O2451" s="46"/>
      <c r="P2451" s="46"/>
      <c r="Q2451" s="46"/>
      <c r="R2451" s="46"/>
      <c r="S2451" s="46"/>
      <c r="T2451" s="46"/>
      <c r="U2451" s="46"/>
      <c r="V2451" s="46"/>
      <c r="W2451" s="46"/>
      <c r="X2451" s="46"/>
      <c r="Y2451" s="46"/>
      <c r="Z2451" s="46"/>
    </row>
    <row r="2452" ht="22.5" customHeight="1">
      <c r="A2452" s="17"/>
      <c r="B2452" s="20"/>
      <c r="C2452" s="13"/>
      <c r="D2452" s="13"/>
      <c r="E2452" s="13"/>
      <c r="F2452" s="15"/>
      <c r="G2452" s="15"/>
      <c r="H2452" s="46"/>
      <c r="I2452" s="46"/>
      <c r="J2452" s="46"/>
      <c r="K2452" s="46"/>
      <c r="L2452" s="46"/>
      <c r="M2452" s="46"/>
      <c r="N2452" s="46"/>
      <c r="O2452" s="46"/>
      <c r="P2452" s="46"/>
      <c r="Q2452" s="46"/>
      <c r="R2452" s="46"/>
      <c r="S2452" s="46"/>
      <c r="T2452" s="46"/>
      <c r="U2452" s="46"/>
      <c r="V2452" s="46"/>
      <c r="W2452" s="46"/>
      <c r="X2452" s="46"/>
      <c r="Y2452" s="46"/>
      <c r="Z2452" s="46"/>
    </row>
    <row r="2453" ht="22.5" customHeight="1">
      <c r="A2453" s="17"/>
      <c r="B2453" s="20"/>
      <c r="C2453" s="13"/>
      <c r="D2453" s="13"/>
      <c r="E2453" s="13"/>
      <c r="F2453" s="15"/>
      <c r="G2453" s="15"/>
      <c r="H2453" s="46"/>
      <c r="I2453" s="46"/>
      <c r="J2453" s="46"/>
      <c r="K2453" s="46"/>
      <c r="L2453" s="46"/>
      <c r="M2453" s="46"/>
      <c r="N2453" s="46"/>
      <c r="O2453" s="46"/>
      <c r="P2453" s="46"/>
      <c r="Q2453" s="46"/>
      <c r="R2453" s="46"/>
      <c r="S2453" s="46"/>
      <c r="T2453" s="46"/>
      <c r="U2453" s="46"/>
      <c r="V2453" s="46"/>
      <c r="W2453" s="46"/>
      <c r="X2453" s="46"/>
      <c r="Y2453" s="46"/>
      <c r="Z2453" s="46"/>
    </row>
    <row r="2454" ht="22.5" customHeight="1">
      <c r="A2454" s="17"/>
      <c r="B2454" s="20"/>
      <c r="C2454" s="13"/>
      <c r="D2454" s="13"/>
      <c r="E2454" s="13"/>
      <c r="F2454" s="15"/>
      <c r="G2454" s="15"/>
      <c r="H2454" s="46"/>
      <c r="I2454" s="46"/>
      <c r="J2454" s="46"/>
      <c r="K2454" s="46"/>
      <c r="L2454" s="46"/>
      <c r="M2454" s="46"/>
      <c r="N2454" s="46"/>
      <c r="O2454" s="46"/>
      <c r="P2454" s="46"/>
      <c r="Q2454" s="46"/>
      <c r="R2454" s="46"/>
      <c r="S2454" s="46"/>
      <c r="T2454" s="46"/>
      <c r="U2454" s="46"/>
      <c r="V2454" s="46"/>
      <c r="W2454" s="46"/>
      <c r="X2454" s="46"/>
      <c r="Y2454" s="46"/>
      <c r="Z2454" s="46"/>
    </row>
    <row r="2455" ht="22.5" customHeight="1">
      <c r="A2455" s="17"/>
      <c r="B2455" s="20"/>
      <c r="C2455" s="13"/>
      <c r="D2455" s="13"/>
      <c r="E2455" s="13"/>
      <c r="F2455" s="15"/>
      <c r="G2455" s="15"/>
      <c r="H2455" s="46"/>
      <c r="I2455" s="46"/>
      <c r="J2455" s="46"/>
      <c r="K2455" s="46"/>
      <c r="L2455" s="46"/>
      <c r="M2455" s="46"/>
      <c r="N2455" s="46"/>
      <c r="O2455" s="46"/>
      <c r="P2455" s="46"/>
      <c r="Q2455" s="46"/>
      <c r="R2455" s="46"/>
      <c r="S2455" s="46"/>
      <c r="T2455" s="46"/>
      <c r="U2455" s="46"/>
      <c r="V2455" s="46"/>
      <c r="W2455" s="46"/>
      <c r="X2455" s="46"/>
      <c r="Y2455" s="46"/>
      <c r="Z2455" s="46"/>
    </row>
    <row r="2456" ht="22.5" customHeight="1">
      <c r="A2456" s="17"/>
      <c r="B2456" s="20"/>
      <c r="C2456" s="13"/>
      <c r="D2456" s="13"/>
      <c r="E2456" s="13"/>
      <c r="F2456" s="15"/>
      <c r="G2456" s="15"/>
      <c r="H2456" s="46"/>
      <c r="I2456" s="46"/>
      <c r="J2456" s="46"/>
      <c r="K2456" s="46"/>
      <c r="L2456" s="46"/>
      <c r="M2456" s="46"/>
      <c r="N2456" s="46"/>
      <c r="O2456" s="46"/>
      <c r="P2456" s="46"/>
      <c r="Q2456" s="46"/>
      <c r="R2456" s="46"/>
      <c r="S2456" s="46"/>
      <c r="T2456" s="46"/>
      <c r="U2456" s="46"/>
      <c r="V2456" s="46"/>
      <c r="W2456" s="46"/>
      <c r="X2456" s="46"/>
      <c r="Y2456" s="46"/>
      <c r="Z2456" s="46"/>
    </row>
    <row r="2457" ht="22.5" customHeight="1">
      <c r="A2457" s="17"/>
      <c r="B2457" s="20"/>
      <c r="C2457" s="13"/>
      <c r="D2457" s="13"/>
      <c r="E2457" s="13"/>
      <c r="F2457" s="15"/>
      <c r="G2457" s="15"/>
      <c r="H2457" s="46"/>
      <c r="I2457" s="46"/>
      <c r="J2457" s="46"/>
      <c r="K2457" s="46"/>
      <c r="L2457" s="46"/>
      <c r="M2457" s="46"/>
      <c r="N2457" s="46"/>
      <c r="O2457" s="46"/>
      <c r="P2457" s="46"/>
      <c r="Q2457" s="46"/>
      <c r="R2457" s="46"/>
      <c r="S2457" s="46"/>
      <c r="T2457" s="46"/>
      <c r="U2457" s="46"/>
      <c r="V2457" s="46"/>
      <c r="W2457" s="46"/>
      <c r="X2457" s="46"/>
      <c r="Y2457" s="46"/>
      <c r="Z2457" s="46"/>
    </row>
    <row r="2458" ht="22.5" customHeight="1">
      <c r="A2458" s="17"/>
      <c r="B2458" s="20"/>
      <c r="C2458" s="13"/>
      <c r="D2458" s="13"/>
      <c r="E2458" s="13"/>
      <c r="F2458" s="15"/>
      <c r="G2458" s="15"/>
      <c r="H2458" s="46"/>
      <c r="I2458" s="46"/>
      <c r="J2458" s="46"/>
      <c r="K2458" s="46"/>
      <c r="L2458" s="46"/>
      <c r="M2458" s="46"/>
      <c r="N2458" s="46"/>
      <c r="O2458" s="46"/>
      <c r="P2458" s="46"/>
      <c r="Q2458" s="46"/>
      <c r="R2458" s="46"/>
      <c r="S2458" s="46"/>
      <c r="T2458" s="46"/>
      <c r="U2458" s="46"/>
      <c r="V2458" s="46"/>
      <c r="W2458" s="46"/>
      <c r="X2458" s="46"/>
      <c r="Y2458" s="46"/>
      <c r="Z2458" s="46"/>
    </row>
    <row r="2459" ht="22.5" customHeight="1">
      <c r="A2459" s="17"/>
      <c r="B2459" s="20"/>
      <c r="C2459" s="13"/>
      <c r="D2459" s="13"/>
      <c r="E2459" s="13"/>
      <c r="F2459" s="15"/>
      <c r="G2459" s="15"/>
      <c r="H2459" s="46"/>
      <c r="I2459" s="46"/>
      <c r="J2459" s="46"/>
      <c r="K2459" s="46"/>
      <c r="L2459" s="46"/>
      <c r="M2459" s="46"/>
      <c r="N2459" s="46"/>
      <c r="O2459" s="46"/>
      <c r="P2459" s="46"/>
      <c r="Q2459" s="46"/>
      <c r="R2459" s="46"/>
      <c r="S2459" s="46"/>
      <c r="T2459" s="46"/>
      <c r="U2459" s="46"/>
      <c r="V2459" s="46"/>
      <c r="W2459" s="46"/>
      <c r="X2459" s="46"/>
      <c r="Y2459" s="46"/>
      <c r="Z2459" s="46"/>
    </row>
    <row r="2460" ht="22.5" customHeight="1">
      <c r="A2460" s="17"/>
      <c r="B2460" s="20"/>
      <c r="C2460" s="13"/>
      <c r="D2460" s="13"/>
      <c r="E2460" s="13"/>
      <c r="F2460" s="15"/>
      <c r="G2460" s="15"/>
      <c r="H2460" s="46"/>
      <c r="I2460" s="46"/>
      <c r="J2460" s="46"/>
      <c r="K2460" s="46"/>
      <c r="L2460" s="46"/>
      <c r="M2460" s="46"/>
      <c r="N2460" s="46"/>
      <c r="O2460" s="46"/>
      <c r="P2460" s="46"/>
      <c r="Q2460" s="46"/>
      <c r="R2460" s="46"/>
      <c r="S2460" s="46"/>
      <c r="T2460" s="46"/>
      <c r="U2460" s="46"/>
      <c r="V2460" s="46"/>
      <c r="W2460" s="46"/>
      <c r="X2460" s="46"/>
      <c r="Y2460" s="46"/>
      <c r="Z2460" s="46"/>
    </row>
    <row r="2461" ht="22.5" customHeight="1">
      <c r="A2461" s="17"/>
      <c r="B2461" s="20"/>
      <c r="C2461" s="13"/>
      <c r="D2461" s="13"/>
      <c r="E2461" s="13"/>
      <c r="F2461" s="15"/>
      <c r="G2461" s="15"/>
      <c r="H2461" s="46"/>
      <c r="I2461" s="46"/>
      <c r="J2461" s="46"/>
      <c r="K2461" s="46"/>
      <c r="L2461" s="46"/>
      <c r="M2461" s="46"/>
      <c r="N2461" s="46"/>
      <c r="O2461" s="46"/>
      <c r="P2461" s="46"/>
      <c r="Q2461" s="46"/>
      <c r="R2461" s="46"/>
      <c r="S2461" s="46"/>
      <c r="T2461" s="46"/>
      <c r="U2461" s="46"/>
      <c r="V2461" s="46"/>
      <c r="W2461" s="46"/>
      <c r="X2461" s="46"/>
      <c r="Y2461" s="46"/>
      <c r="Z2461" s="46"/>
    </row>
    <row r="2462" ht="22.5" customHeight="1">
      <c r="A2462" s="17"/>
      <c r="B2462" s="20"/>
      <c r="C2462" s="13"/>
      <c r="D2462" s="13"/>
      <c r="E2462" s="13"/>
      <c r="F2462" s="15"/>
      <c r="G2462" s="15"/>
      <c r="H2462" s="46"/>
      <c r="I2462" s="46"/>
      <c r="J2462" s="46"/>
      <c r="K2462" s="46"/>
      <c r="L2462" s="46"/>
      <c r="M2462" s="46"/>
      <c r="N2462" s="46"/>
      <c r="O2462" s="46"/>
      <c r="P2462" s="46"/>
      <c r="Q2462" s="46"/>
      <c r="R2462" s="46"/>
      <c r="S2462" s="46"/>
      <c r="T2462" s="46"/>
      <c r="U2462" s="46"/>
      <c r="V2462" s="46"/>
      <c r="W2462" s="46"/>
      <c r="X2462" s="46"/>
      <c r="Y2462" s="46"/>
      <c r="Z2462" s="46"/>
    </row>
    <row r="2463" ht="22.5" customHeight="1">
      <c r="A2463" s="17"/>
      <c r="B2463" s="20"/>
      <c r="C2463" s="13"/>
      <c r="D2463" s="13"/>
      <c r="E2463" s="13"/>
      <c r="F2463" s="15"/>
      <c r="G2463" s="15"/>
      <c r="H2463" s="46"/>
      <c r="I2463" s="46"/>
      <c r="J2463" s="46"/>
      <c r="K2463" s="46"/>
      <c r="L2463" s="46"/>
      <c r="M2463" s="46"/>
      <c r="N2463" s="46"/>
      <c r="O2463" s="46"/>
      <c r="P2463" s="46"/>
      <c r="Q2463" s="46"/>
      <c r="R2463" s="46"/>
      <c r="S2463" s="46"/>
      <c r="T2463" s="46"/>
      <c r="U2463" s="46"/>
      <c r="V2463" s="46"/>
      <c r="W2463" s="46"/>
      <c r="X2463" s="46"/>
      <c r="Y2463" s="46"/>
      <c r="Z2463" s="46"/>
    </row>
    <row r="2464" ht="22.5" customHeight="1">
      <c r="A2464" s="17"/>
      <c r="B2464" s="20"/>
      <c r="C2464" s="13"/>
      <c r="D2464" s="13"/>
      <c r="E2464" s="13"/>
      <c r="F2464" s="15"/>
      <c r="G2464" s="15"/>
      <c r="H2464" s="46"/>
      <c r="I2464" s="46"/>
      <c r="J2464" s="46"/>
      <c r="K2464" s="46"/>
      <c r="L2464" s="46"/>
      <c r="M2464" s="46"/>
      <c r="N2464" s="46"/>
      <c r="O2464" s="46"/>
      <c r="P2464" s="46"/>
      <c r="Q2464" s="46"/>
      <c r="R2464" s="46"/>
      <c r="S2464" s="46"/>
      <c r="T2464" s="46"/>
      <c r="U2464" s="46"/>
      <c r="V2464" s="46"/>
      <c r="W2464" s="46"/>
      <c r="X2464" s="46"/>
      <c r="Y2464" s="46"/>
      <c r="Z2464" s="46"/>
    </row>
    <row r="2465" ht="22.5" customHeight="1">
      <c r="A2465" s="17"/>
      <c r="B2465" s="20"/>
      <c r="C2465" s="13"/>
      <c r="D2465" s="13"/>
      <c r="E2465" s="13"/>
      <c r="F2465" s="15"/>
      <c r="G2465" s="15"/>
      <c r="H2465" s="46"/>
      <c r="I2465" s="46"/>
      <c r="J2465" s="46"/>
      <c r="K2465" s="46"/>
      <c r="L2465" s="46"/>
      <c r="M2465" s="46"/>
      <c r="N2465" s="46"/>
      <c r="O2465" s="46"/>
      <c r="P2465" s="46"/>
      <c r="Q2465" s="46"/>
      <c r="R2465" s="46"/>
      <c r="S2465" s="46"/>
      <c r="T2465" s="46"/>
      <c r="U2465" s="46"/>
      <c r="V2465" s="46"/>
      <c r="W2465" s="46"/>
      <c r="X2465" s="46"/>
      <c r="Y2465" s="46"/>
      <c r="Z2465" s="46"/>
    </row>
    <row r="2466" ht="22.5" customHeight="1">
      <c r="A2466" s="17"/>
      <c r="B2466" s="20"/>
      <c r="C2466" s="13"/>
      <c r="D2466" s="13"/>
      <c r="E2466" s="13"/>
      <c r="F2466" s="15"/>
      <c r="G2466" s="15"/>
      <c r="H2466" s="46"/>
      <c r="I2466" s="46"/>
      <c r="J2466" s="46"/>
      <c r="K2466" s="46"/>
      <c r="L2466" s="46"/>
      <c r="M2466" s="46"/>
      <c r="N2466" s="46"/>
      <c r="O2466" s="46"/>
      <c r="P2466" s="46"/>
      <c r="Q2466" s="46"/>
      <c r="R2466" s="46"/>
      <c r="S2466" s="46"/>
      <c r="T2466" s="46"/>
      <c r="U2466" s="46"/>
      <c r="V2466" s="46"/>
      <c r="W2466" s="46"/>
      <c r="X2466" s="46"/>
      <c r="Y2466" s="46"/>
      <c r="Z2466" s="46"/>
    </row>
    <row r="2467" ht="22.5" customHeight="1">
      <c r="A2467" s="17"/>
      <c r="B2467" s="20"/>
      <c r="C2467" s="13"/>
      <c r="D2467" s="13"/>
      <c r="E2467" s="13"/>
      <c r="F2467" s="15"/>
      <c r="G2467" s="15"/>
      <c r="H2467" s="46"/>
      <c r="I2467" s="46"/>
      <c r="J2467" s="46"/>
      <c r="K2467" s="46"/>
      <c r="L2467" s="46"/>
      <c r="M2467" s="46"/>
      <c r="N2467" s="46"/>
      <c r="O2467" s="46"/>
      <c r="P2467" s="46"/>
      <c r="Q2467" s="46"/>
      <c r="R2467" s="46"/>
      <c r="S2467" s="46"/>
      <c r="T2467" s="46"/>
      <c r="U2467" s="46"/>
      <c r="V2467" s="46"/>
      <c r="W2467" s="46"/>
      <c r="X2467" s="46"/>
      <c r="Y2467" s="46"/>
      <c r="Z2467" s="46"/>
    </row>
    <row r="2468" ht="22.5" customHeight="1">
      <c r="A2468" s="17"/>
      <c r="B2468" s="20"/>
      <c r="C2468" s="13"/>
      <c r="D2468" s="13"/>
      <c r="E2468" s="13"/>
      <c r="F2468" s="15"/>
      <c r="G2468" s="15"/>
      <c r="H2468" s="46"/>
      <c r="I2468" s="46"/>
      <c r="J2468" s="46"/>
      <c r="K2468" s="46"/>
      <c r="L2468" s="46"/>
      <c r="M2468" s="46"/>
      <c r="N2468" s="46"/>
      <c r="O2468" s="46"/>
      <c r="P2468" s="46"/>
      <c r="Q2468" s="46"/>
      <c r="R2468" s="46"/>
      <c r="S2468" s="46"/>
      <c r="T2468" s="46"/>
      <c r="U2468" s="46"/>
      <c r="V2468" s="46"/>
      <c r="W2468" s="46"/>
      <c r="X2468" s="46"/>
      <c r="Y2468" s="46"/>
      <c r="Z2468" s="46"/>
    </row>
    <row r="2469" ht="22.5" customHeight="1">
      <c r="A2469" s="17"/>
      <c r="B2469" s="20"/>
      <c r="C2469" s="13"/>
      <c r="D2469" s="13"/>
      <c r="E2469" s="13"/>
      <c r="F2469" s="15"/>
      <c r="G2469" s="15"/>
      <c r="H2469" s="46"/>
      <c r="I2469" s="46"/>
      <c r="J2469" s="46"/>
      <c r="K2469" s="46"/>
      <c r="L2469" s="46"/>
      <c r="M2469" s="46"/>
      <c r="N2469" s="46"/>
      <c r="O2469" s="46"/>
      <c r="P2469" s="46"/>
      <c r="Q2469" s="46"/>
      <c r="R2469" s="46"/>
      <c r="S2469" s="46"/>
      <c r="T2469" s="46"/>
      <c r="U2469" s="46"/>
      <c r="V2469" s="46"/>
      <c r="W2469" s="46"/>
      <c r="X2469" s="46"/>
      <c r="Y2469" s="46"/>
      <c r="Z2469" s="46"/>
    </row>
    <row r="2470" ht="22.5" customHeight="1">
      <c r="A2470" s="17"/>
      <c r="B2470" s="20"/>
      <c r="C2470" s="13"/>
      <c r="D2470" s="13"/>
      <c r="E2470" s="13"/>
      <c r="F2470" s="15"/>
      <c r="G2470" s="15"/>
      <c r="H2470" s="46"/>
      <c r="I2470" s="46"/>
      <c r="J2470" s="46"/>
      <c r="K2470" s="46"/>
      <c r="L2470" s="46"/>
      <c r="M2470" s="46"/>
      <c r="N2470" s="46"/>
      <c r="O2470" s="46"/>
      <c r="P2470" s="46"/>
      <c r="Q2470" s="46"/>
      <c r="R2470" s="46"/>
      <c r="S2470" s="46"/>
      <c r="T2470" s="46"/>
      <c r="U2470" s="46"/>
      <c r="V2470" s="46"/>
      <c r="W2470" s="46"/>
      <c r="X2470" s="46"/>
      <c r="Y2470" s="46"/>
      <c r="Z2470" s="46"/>
    </row>
    <row r="2471" ht="22.5" customHeight="1">
      <c r="A2471" s="17"/>
      <c r="B2471" s="20"/>
      <c r="C2471" s="13"/>
      <c r="D2471" s="13"/>
      <c r="E2471" s="13"/>
      <c r="F2471" s="15"/>
      <c r="G2471" s="15"/>
      <c r="H2471" s="46"/>
      <c r="I2471" s="46"/>
      <c r="J2471" s="46"/>
      <c r="K2471" s="46"/>
      <c r="L2471" s="46"/>
      <c r="M2471" s="46"/>
      <c r="N2471" s="46"/>
      <c r="O2471" s="46"/>
      <c r="P2471" s="46"/>
      <c r="Q2471" s="46"/>
      <c r="R2471" s="46"/>
      <c r="S2471" s="46"/>
      <c r="T2471" s="46"/>
      <c r="U2471" s="46"/>
      <c r="V2471" s="46"/>
      <c r="W2471" s="46"/>
      <c r="X2471" s="46"/>
      <c r="Y2471" s="46"/>
      <c r="Z2471" s="46"/>
    </row>
    <row r="2472" ht="22.5" customHeight="1">
      <c r="A2472" s="17"/>
      <c r="B2472" s="20"/>
      <c r="C2472" s="13"/>
      <c r="D2472" s="13"/>
      <c r="E2472" s="13"/>
      <c r="F2472" s="15"/>
      <c r="G2472" s="15"/>
      <c r="H2472" s="46"/>
      <c r="I2472" s="46"/>
      <c r="J2472" s="46"/>
      <c r="K2472" s="46"/>
      <c r="L2472" s="46"/>
      <c r="M2472" s="46"/>
      <c r="N2472" s="46"/>
      <c r="O2472" s="46"/>
      <c r="P2472" s="46"/>
      <c r="Q2472" s="46"/>
      <c r="R2472" s="46"/>
      <c r="S2472" s="46"/>
      <c r="T2472" s="46"/>
      <c r="U2472" s="46"/>
      <c r="V2472" s="46"/>
      <c r="W2472" s="46"/>
      <c r="X2472" s="46"/>
      <c r="Y2472" s="46"/>
      <c r="Z2472" s="46"/>
    </row>
    <row r="2473" ht="22.5" customHeight="1">
      <c r="A2473" s="17"/>
      <c r="B2473" s="20"/>
      <c r="C2473" s="13"/>
      <c r="D2473" s="13"/>
      <c r="E2473" s="13"/>
      <c r="F2473" s="15"/>
      <c r="G2473" s="15"/>
      <c r="H2473" s="46"/>
      <c r="I2473" s="46"/>
      <c r="J2473" s="46"/>
      <c r="K2473" s="46"/>
      <c r="L2473" s="46"/>
      <c r="M2473" s="46"/>
      <c r="N2473" s="46"/>
      <c r="O2473" s="46"/>
      <c r="P2473" s="46"/>
      <c r="Q2473" s="46"/>
      <c r="R2473" s="46"/>
      <c r="S2473" s="46"/>
      <c r="T2473" s="46"/>
      <c r="U2473" s="46"/>
      <c r="V2473" s="46"/>
      <c r="W2473" s="46"/>
      <c r="X2473" s="46"/>
      <c r="Y2473" s="46"/>
      <c r="Z2473" s="46"/>
    </row>
    <row r="2474" ht="22.5" customHeight="1">
      <c r="A2474" s="17"/>
      <c r="B2474" s="20"/>
      <c r="C2474" s="13"/>
      <c r="D2474" s="13"/>
      <c r="E2474" s="13"/>
      <c r="F2474" s="15"/>
      <c r="G2474" s="15"/>
      <c r="H2474" s="46"/>
      <c r="I2474" s="46"/>
      <c r="J2474" s="46"/>
      <c r="K2474" s="46"/>
      <c r="L2474" s="46"/>
      <c r="M2474" s="46"/>
      <c r="N2474" s="46"/>
      <c r="O2474" s="46"/>
      <c r="P2474" s="46"/>
      <c r="Q2474" s="46"/>
      <c r="R2474" s="46"/>
      <c r="S2474" s="46"/>
      <c r="T2474" s="46"/>
      <c r="U2474" s="46"/>
      <c r="V2474" s="46"/>
      <c r="W2474" s="46"/>
      <c r="X2474" s="46"/>
      <c r="Y2474" s="46"/>
      <c r="Z2474" s="46"/>
    </row>
    <row r="2475" ht="22.5" customHeight="1">
      <c r="A2475" s="17"/>
      <c r="B2475" s="20"/>
      <c r="C2475" s="13"/>
      <c r="D2475" s="13"/>
      <c r="E2475" s="13"/>
      <c r="F2475" s="15"/>
      <c r="G2475" s="15"/>
      <c r="H2475" s="46"/>
      <c r="I2475" s="46"/>
      <c r="J2475" s="46"/>
      <c r="K2475" s="46"/>
      <c r="L2475" s="46"/>
      <c r="M2475" s="46"/>
      <c r="N2475" s="46"/>
      <c r="O2475" s="46"/>
      <c r="P2475" s="46"/>
      <c r="Q2475" s="46"/>
      <c r="R2475" s="46"/>
      <c r="S2475" s="46"/>
      <c r="T2475" s="46"/>
      <c r="U2475" s="46"/>
      <c r="V2475" s="46"/>
      <c r="W2475" s="46"/>
      <c r="X2475" s="46"/>
      <c r="Y2475" s="46"/>
      <c r="Z2475" s="46"/>
    </row>
    <row r="2476" ht="22.5" customHeight="1">
      <c r="A2476" s="17"/>
      <c r="B2476" s="20"/>
      <c r="C2476" s="13"/>
      <c r="D2476" s="13"/>
      <c r="E2476" s="13"/>
      <c r="F2476" s="15"/>
      <c r="G2476" s="15"/>
      <c r="H2476" s="46"/>
      <c r="I2476" s="46"/>
      <c r="J2476" s="46"/>
      <c r="K2476" s="46"/>
      <c r="L2476" s="46"/>
      <c r="M2476" s="46"/>
      <c r="N2476" s="46"/>
      <c r="O2476" s="46"/>
      <c r="P2476" s="46"/>
      <c r="Q2476" s="46"/>
      <c r="R2476" s="46"/>
      <c r="S2476" s="46"/>
      <c r="T2476" s="46"/>
      <c r="U2476" s="46"/>
      <c r="V2476" s="46"/>
      <c r="W2476" s="46"/>
      <c r="X2476" s="46"/>
      <c r="Y2476" s="46"/>
      <c r="Z2476" s="46"/>
    </row>
    <row r="2477" ht="22.5" customHeight="1">
      <c r="A2477" s="17"/>
      <c r="B2477" s="20"/>
      <c r="C2477" s="13"/>
      <c r="D2477" s="13"/>
      <c r="E2477" s="13"/>
      <c r="F2477" s="15"/>
      <c r="G2477" s="15"/>
      <c r="H2477" s="46"/>
      <c r="I2477" s="46"/>
      <c r="J2477" s="46"/>
      <c r="K2477" s="46"/>
      <c r="L2477" s="46"/>
      <c r="M2477" s="46"/>
      <c r="N2477" s="46"/>
      <c r="O2477" s="46"/>
      <c r="P2477" s="46"/>
      <c r="Q2477" s="46"/>
      <c r="R2477" s="46"/>
      <c r="S2477" s="46"/>
      <c r="T2477" s="46"/>
      <c r="U2477" s="46"/>
      <c r="V2477" s="46"/>
      <c r="W2477" s="46"/>
      <c r="X2477" s="46"/>
      <c r="Y2477" s="46"/>
      <c r="Z2477" s="46"/>
    </row>
    <row r="2478" ht="22.5" customHeight="1">
      <c r="A2478" s="17"/>
      <c r="B2478" s="20"/>
      <c r="C2478" s="13"/>
      <c r="D2478" s="13"/>
      <c r="E2478" s="13"/>
      <c r="F2478" s="15"/>
      <c r="G2478" s="15"/>
      <c r="H2478" s="46"/>
      <c r="I2478" s="46"/>
      <c r="J2478" s="46"/>
      <c r="K2478" s="46"/>
      <c r="L2478" s="46"/>
      <c r="M2478" s="46"/>
      <c r="N2478" s="46"/>
      <c r="O2478" s="46"/>
      <c r="P2478" s="46"/>
      <c r="Q2478" s="46"/>
      <c r="R2478" s="46"/>
      <c r="S2478" s="46"/>
      <c r="T2478" s="46"/>
      <c r="U2478" s="46"/>
      <c r="V2478" s="46"/>
      <c r="W2478" s="46"/>
      <c r="X2478" s="46"/>
      <c r="Y2478" s="46"/>
      <c r="Z2478" s="46"/>
    </row>
    <row r="2479" ht="22.5" customHeight="1">
      <c r="A2479" s="17"/>
      <c r="B2479" s="20"/>
      <c r="C2479" s="13"/>
      <c r="D2479" s="13"/>
      <c r="E2479" s="13"/>
      <c r="F2479" s="15"/>
      <c r="G2479" s="15"/>
      <c r="H2479" s="46"/>
      <c r="I2479" s="46"/>
      <c r="J2479" s="46"/>
      <c r="K2479" s="46"/>
      <c r="L2479" s="46"/>
      <c r="M2479" s="46"/>
      <c r="N2479" s="46"/>
      <c r="O2479" s="46"/>
      <c r="P2479" s="46"/>
      <c r="Q2479" s="46"/>
      <c r="R2479" s="46"/>
      <c r="S2479" s="46"/>
      <c r="T2479" s="46"/>
      <c r="U2479" s="46"/>
      <c r="V2479" s="46"/>
      <c r="W2479" s="46"/>
      <c r="X2479" s="46"/>
      <c r="Y2479" s="46"/>
      <c r="Z2479" s="46"/>
    </row>
    <row r="2480" ht="22.5" customHeight="1">
      <c r="A2480" s="17"/>
      <c r="B2480" s="20"/>
      <c r="C2480" s="13"/>
      <c r="D2480" s="13"/>
      <c r="E2480" s="13"/>
      <c r="F2480" s="15"/>
      <c r="G2480" s="15"/>
      <c r="H2480" s="46"/>
      <c r="I2480" s="46"/>
      <c r="J2480" s="46"/>
      <c r="K2480" s="46"/>
      <c r="L2480" s="46"/>
      <c r="M2480" s="46"/>
      <c r="N2480" s="46"/>
      <c r="O2480" s="46"/>
      <c r="P2480" s="46"/>
      <c r="Q2480" s="46"/>
      <c r="R2480" s="46"/>
      <c r="S2480" s="46"/>
      <c r="T2480" s="46"/>
      <c r="U2480" s="46"/>
      <c r="V2480" s="46"/>
      <c r="W2480" s="46"/>
      <c r="X2480" s="46"/>
      <c r="Y2480" s="46"/>
      <c r="Z2480" s="46"/>
    </row>
    <row r="2481" ht="22.5" customHeight="1">
      <c r="A2481" s="17"/>
      <c r="B2481" s="20"/>
      <c r="C2481" s="13"/>
      <c r="D2481" s="13"/>
      <c r="E2481" s="13"/>
      <c r="F2481" s="15"/>
      <c r="G2481" s="15"/>
      <c r="H2481" s="46"/>
      <c r="I2481" s="46"/>
      <c r="J2481" s="46"/>
      <c r="K2481" s="46"/>
      <c r="L2481" s="46"/>
      <c r="M2481" s="46"/>
      <c r="N2481" s="46"/>
      <c r="O2481" s="46"/>
      <c r="P2481" s="46"/>
      <c r="Q2481" s="46"/>
      <c r="R2481" s="46"/>
      <c r="S2481" s="46"/>
      <c r="T2481" s="46"/>
      <c r="U2481" s="46"/>
      <c r="V2481" s="46"/>
      <c r="W2481" s="46"/>
      <c r="X2481" s="46"/>
      <c r="Y2481" s="46"/>
      <c r="Z2481" s="46"/>
    </row>
    <row r="2482" ht="22.5" customHeight="1">
      <c r="A2482" s="17"/>
      <c r="B2482" s="20"/>
      <c r="C2482" s="13"/>
      <c r="D2482" s="13"/>
      <c r="E2482" s="13"/>
      <c r="F2482" s="15"/>
      <c r="G2482" s="15"/>
      <c r="H2482" s="46"/>
      <c r="I2482" s="46"/>
      <c r="J2482" s="46"/>
      <c r="K2482" s="46"/>
      <c r="L2482" s="46"/>
      <c r="M2482" s="46"/>
      <c r="N2482" s="46"/>
      <c r="O2482" s="46"/>
      <c r="P2482" s="46"/>
      <c r="Q2482" s="46"/>
      <c r="R2482" s="46"/>
      <c r="S2482" s="46"/>
      <c r="T2482" s="46"/>
      <c r="U2482" s="46"/>
      <c r="V2482" s="46"/>
      <c r="W2482" s="46"/>
      <c r="X2482" s="46"/>
      <c r="Y2482" s="46"/>
      <c r="Z2482" s="46"/>
    </row>
    <row r="2483" ht="22.5" customHeight="1">
      <c r="A2483" s="17"/>
      <c r="B2483" s="20"/>
      <c r="C2483" s="13"/>
      <c r="D2483" s="13"/>
      <c r="E2483" s="13"/>
      <c r="F2483" s="15"/>
      <c r="G2483" s="15"/>
      <c r="H2483" s="46"/>
      <c r="I2483" s="46"/>
      <c r="J2483" s="46"/>
      <c r="K2483" s="46"/>
      <c r="L2483" s="46"/>
      <c r="M2483" s="46"/>
      <c r="N2483" s="46"/>
      <c r="O2483" s="46"/>
      <c r="P2483" s="46"/>
      <c r="Q2483" s="46"/>
      <c r="R2483" s="46"/>
      <c r="S2483" s="46"/>
      <c r="T2483" s="46"/>
      <c r="U2483" s="46"/>
      <c r="V2483" s="46"/>
      <c r="W2483" s="46"/>
      <c r="X2483" s="46"/>
      <c r="Y2483" s="46"/>
      <c r="Z2483" s="46"/>
    </row>
    <row r="2484" ht="22.5" customHeight="1">
      <c r="A2484" s="17"/>
      <c r="B2484" s="20"/>
      <c r="C2484" s="13"/>
      <c r="D2484" s="13"/>
      <c r="E2484" s="13"/>
      <c r="F2484" s="15"/>
      <c r="G2484" s="15"/>
      <c r="H2484" s="46"/>
      <c r="I2484" s="46"/>
      <c r="J2484" s="46"/>
      <c r="K2484" s="46"/>
      <c r="L2484" s="46"/>
      <c r="M2484" s="46"/>
      <c r="N2484" s="46"/>
      <c r="O2484" s="46"/>
      <c r="P2484" s="46"/>
      <c r="Q2484" s="46"/>
      <c r="R2484" s="46"/>
      <c r="S2484" s="46"/>
      <c r="T2484" s="46"/>
      <c r="U2484" s="46"/>
      <c r="V2484" s="46"/>
      <c r="W2484" s="46"/>
      <c r="X2484" s="46"/>
      <c r="Y2484" s="46"/>
      <c r="Z2484" s="46"/>
    </row>
    <row r="2485" ht="22.5" customHeight="1">
      <c r="A2485" s="17"/>
      <c r="B2485" s="20"/>
      <c r="C2485" s="13"/>
      <c r="D2485" s="13"/>
      <c r="E2485" s="13"/>
      <c r="F2485" s="15"/>
      <c r="G2485" s="15"/>
      <c r="H2485" s="46"/>
      <c r="I2485" s="46"/>
      <c r="J2485" s="46"/>
      <c r="K2485" s="46"/>
      <c r="L2485" s="46"/>
      <c r="M2485" s="46"/>
      <c r="N2485" s="46"/>
      <c r="O2485" s="46"/>
      <c r="P2485" s="46"/>
      <c r="Q2485" s="46"/>
      <c r="R2485" s="46"/>
      <c r="S2485" s="46"/>
      <c r="T2485" s="46"/>
      <c r="U2485" s="46"/>
      <c r="V2485" s="46"/>
      <c r="W2485" s="46"/>
      <c r="X2485" s="46"/>
      <c r="Y2485" s="46"/>
      <c r="Z2485" s="46"/>
    </row>
    <row r="2486" ht="22.5" customHeight="1">
      <c r="A2486" s="17"/>
      <c r="B2486" s="20"/>
      <c r="C2486" s="13"/>
      <c r="D2486" s="13"/>
      <c r="E2486" s="13"/>
      <c r="F2486" s="15"/>
      <c r="G2486" s="15"/>
      <c r="H2486" s="46"/>
      <c r="I2486" s="46"/>
      <c r="J2486" s="46"/>
      <c r="K2486" s="46"/>
      <c r="L2486" s="46"/>
      <c r="M2486" s="46"/>
      <c r="N2486" s="46"/>
      <c r="O2486" s="46"/>
      <c r="P2486" s="46"/>
      <c r="Q2486" s="46"/>
      <c r="R2486" s="46"/>
      <c r="S2486" s="46"/>
      <c r="T2486" s="46"/>
      <c r="U2486" s="46"/>
      <c r="V2486" s="46"/>
      <c r="W2486" s="46"/>
      <c r="X2486" s="46"/>
      <c r="Y2486" s="46"/>
      <c r="Z2486" s="46"/>
    </row>
    <row r="2487" ht="22.5" customHeight="1">
      <c r="A2487" s="17"/>
      <c r="B2487" s="20"/>
      <c r="C2487" s="13"/>
      <c r="D2487" s="13"/>
      <c r="E2487" s="13"/>
      <c r="F2487" s="15"/>
      <c r="G2487" s="15"/>
      <c r="H2487" s="46"/>
      <c r="I2487" s="46"/>
      <c r="J2487" s="46"/>
      <c r="K2487" s="46"/>
      <c r="L2487" s="46"/>
      <c r="M2487" s="46"/>
      <c r="N2487" s="46"/>
      <c r="O2487" s="46"/>
      <c r="P2487" s="46"/>
      <c r="Q2487" s="46"/>
      <c r="R2487" s="46"/>
      <c r="S2487" s="46"/>
      <c r="T2487" s="46"/>
      <c r="U2487" s="46"/>
      <c r="V2487" s="46"/>
      <c r="W2487" s="46"/>
      <c r="X2487" s="46"/>
      <c r="Y2487" s="46"/>
      <c r="Z2487" s="46"/>
    </row>
    <row r="2488" ht="22.5" customHeight="1">
      <c r="A2488" s="17"/>
      <c r="B2488" s="20"/>
      <c r="C2488" s="13"/>
      <c r="D2488" s="13"/>
      <c r="E2488" s="13"/>
      <c r="F2488" s="15"/>
      <c r="G2488" s="15"/>
      <c r="H2488" s="46"/>
      <c r="I2488" s="46"/>
      <c r="J2488" s="46"/>
      <c r="K2488" s="46"/>
      <c r="L2488" s="46"/>
      <c r="M2488" s="46"/>
      <c r="N2488" s="46"/>
      <c r="O2488" s="46"/>
      <c r="P2488" s="46"/>
      <c r="Q2488" s="46"/>
      <c r="R2488" s="46"/>
      <c r="S2488" s="46"/>
      <c r="T2488" s="46"/>
      <c r="U2488" s="46"/>
      <c r="V2488" s="46"/>
      <c r="W2488" s="46"/>
      <c r="X2488" s="46"/>
      <c r="Y2488" s="46"/>
      <c r="Z2488" s="46"/>
    </row>
    <row r="2489" ht="22.5" customHeight="1">
      <c r="A2489" s="17"/>
      <c r="B2489" s="20"/>
      <c r="C2489" s="13"/>
      <c r="D2489" s="13"/>
      <c r="E2489" s="13"/>
      <c r="F2489" s="15"/>
      <c r="G2489" s="15"/>
      <c r="H2489" s="46"/>
      <c r="I2489" s="46"/>
      <c r="J2489" s="46"/>
      <c r="K2489" s="46"/>
      <c r="L2489" s="46"/>
      <c r="M2489" s="46"/>
      <c r="N2489" s="46"/>
      <c r="O2489" s="46"/>
      <c r="P2489" s="46"/>
      <c r="Q2489" s="46"/>
      <c r="R2489" s="46"/>
      <c r="S2489" s="46"/>
      <c r="T2489" s="46"/>
      <c r="U2489" s="46"/>
      <c r="V2489" s="46"/>
      <c r="W2489" s="46"/>
      <c r="X2489" s="46"/>
      <c r="Y2489" s="46"/>
      <c r="Z2489" s="46"/>
    </row>
    <row r="2490" ht="22.5" customHeight="1">
      <c r="A2490" s="17"/>
      <c r="B2490" s="20"/>
      <c r="C2490" s="13"/>
      <c r="D2490" s="13"/>
      <c r="E2490" s="13"/>
      <c r="F2490" s="15"/>
      <c r="G2490" s="15"/>
      <c r="H2490" s="46"/>
      <c r="I2490" s="46"/>
      <c r="J2490" s="46"/>
      <c r="K2490" s="46"/>
      <c r="L2490" s="46"/>
      <c r="M2490" s="46"/>
      <c r="N2490" s="46"/>
      <c r="O2490" s="46"/>
      <c r="P2490" s="46"/>
      <c r="Q2490" s="46"/>
      <c r="R2490" s="46"/>
      <c r="S2490" s="46"/>
      <c r="T2490" s="46"/>
      <c r="U2490" s="46"/>
      <c r="V2490" s="46"/>
      <c r="W2490" s="46"/>
      <c r="X2490" s="46"/>
      <c r="Y2490" s="46"/>
      <c r="Z2490" s="46"/>
    </row>
    <row r="2491" ht="22.5" customHeight="1">
      <c r="A2491" s="17"/>
      <c r="B2491" s="20"/>
      <c r="C2491" s="13"/>
      <c r="D2491" s="13"/>
      <c r="E2491" s="13"/>
      <c r="F2491" s="15"/>
      <c r="G2491" s="15"/>
      <c r="H2491" s="46"/>
      <c r="I2491" s="46"/>
      <c r="J2491" s="46"/>
      <c r="K2491" s="46"/>
      <c r="L2491" s="46"/>
      <c r="M2491" s="46"/>
      <c r="N2491" s="46"/>
      <c r="O2491" s="46"/>
      <c r="P2491" s="46"/>
      <c r="Q2491" s="46"/>
      <c r="R2491" s="46"/>
      <c r="S2491" s="46"/>
      <c r="T2491" s="46"/>
      <c r="U2491" s="46"/>
      <c r="V2491" s="46"/>
      <c r="W2491" s="46"/>
      <c r="X2491" s="46"/>
      <c r="Y2491" s="46"/>
      <c r="Z2491" s="46"/>
    </row>
    <row r="2492" ht="22.5" customHeight="1">
      <c r="A2492" s="17"/>
      <c r="B2492" s="20"/>
      <c r="C2492" s="13"/>
      <c r="D2492" s="13"/>
      <c r="E2492" s="13"/>
      <c r="F2492" s="15"/>
      <c r="G2492" s="15"/>
      <c r="H2492" s="46"/>
      <c r="I2492" s="46"/>
      <c r="J2492" s="46"/>
      <c r="K2492" s="46"/>
      <c r="L2492" s="46"/>
      <c r="M2492" s="46"/>
      <c r="N2492" s="46"/>
      <c r="O2492" s="46"/>
      <c r="P2492" s="46"/>
      <c r="Q2492" s="46"/>
      <c r="R2492" s="46"/>
      <c r="S2492" s="46"/>
      <c r="T2492" s="46"/>
      <c r="U2492" s="46"/>
      <c r="V2492" s="46"/>
      <c r="W2492" s="46"/>
      <c r="X2492" s="46"/>
      <c r="Y2492" s="46"/>
      <c r="Z2492" s="46"/>
    </row>
    <row r="2493" ht="22.5" customHeight="1">
      <c r="A2493" s="17"/>
      <c r="B2493" s="20"/>
      <c r="C2493" s="13"/>
      <c r="D2493" s="13"/>
      <c r="E2493" s="13"/>
      <c r="F2493" s="15"/>
      <c r="G2493" s="15"/>
      <c r="H2493" s="46"/>
      <c r="I2493" s="46"/>
      <c r="J2493" s="46"/>
      <c r="K2493" s="46"/>
      <c r="L2493" s="46"/>
      <c r="M2493" s="46"/>
      <c r="N2493" s="46"/>
      <c r="O2493" s="46"/>
      <c r="P2493" s="46"/>
      <c r="Q2493" s="46"/>
      <c r="R2493" s="46"/>
      <c r="S2493" s="46"/>
      <c r="T2493" s="46"/>
      <c r="U2493" s="46"/>
      <c r="V2493" s="46"/>
      <c r="W2493" s="46"/>
      <c r="X2493" s="46"/>
      <c r="Y2493" s="46"/>
      <c r="Z2493" s="46"/>
    </row>
    <row r="2494" ht="22.5" customHeight="1">
      <c r="A2494" s="17"/>
      <c r="B2494" s="20"/>
      <c r="C2494" s="13"/>
      <c r="D2494" s="13"/>
      <c r="E2494" s="13"/>
      <c r="F2494" s="15"/>
      <c r="G2494" s="15"/>
      <c r="H2494" s="46"/>
      <c r="I2494" s="46"/>
      <c r="J2494" s="46"/>
      <c r="K2494" s="46"/>
      <c r="L2494" s="46"/>
      <c r="M2494" s="46"/>
      <c r="N2494" s="46"/>
      <c r="O2494" s="46"/>
      <c r="P2494" s="46"/>
      <c r="Q2494" s="46"/>
      <c r="R2494" s="46"/>
      <c r="S2494" s="46"/>
      <c r="T2494" s="46"/>
      <c r="U2494" s="46"/>
      <c r="V2494" s="46"/>
      <c r="W2494" s="46"/>
      <c r="X2494" s="46"/>
      <c r="Y2494" s="46"/>
      <c r="Z2494" s="46"/>
    </row>
    <row r="2495" ht="22.5" customHeight="1">
      <c r="A2495" s="17"/>
      <c r="B2495" s="20"/>
      <c r="C2495" s="13"/>
      <c r="D2495" s="13"/>
      <c r="E2495" s="13"/>
      <c r="F2495" s="15"/>
      <c r="G2495" s="15"/>
      <c r="H2495" s="46"/>
      <c r="I2495" s="46"/>
      <c r="J2495" s="46"/>
      <c r="K2495" s="46"/>
      <c r="L2495" s="46"/>
      <c r="M2495" s="46"/>
      <c r="N2495" s="46"/>
      <c r="O2495" s="46"/>
      <c r="P2495" s="46"/>
      <c r="Q2495" s="46"/>
      <c r="R2495" s="46"/>
      <c r="S2495" s="46"/>
      <c r="T2495" s="46"/>
      <c r="U2495" s="46"/>
      <c r="V2495" s="46"/>
      <c r="W2495" s="46"/>
      <c r="X2495" s="46"/>
      <c r="Y2495" s="46"/>
      <c r="Z2495" s="46"/>
    </row>
    <row r="2496" ht="22.5" customHeight="1">
      <c r="A2496" s="17"/>
      <c r="B2496" s="20"/>
      <c r="C2496" s="13"/>
      <c r="D2496" s="13"/>
      <c r="E2496" s="13"/>
      <c r="F2496" s="15"/>
      <c r="G2496" s="15"/>
      <c r="H2496" s="46"/>
      <c r="I2496" s="46"/>
      <c r="J2496" s="46"/>
      <c r="K2496" s="46"/>
      <c r="L2496" s="46"/>
      <c r="M2496" s="46"/>
      <c r="N2496" s="46"/>
      <c r="O2496" s="46"/>
      <c r="P2496" s="46"/>
      <c r="Q2496" s="46"/>
      <c r="R2496" s="46"/>
      <c r="S2496" s="46"/>
      <c r="T2496" s="46"/>
      <c r="U2496" s="46"/>
      <c r="V2496" s="46"/>
      <c r="W2496" s="46"/>
      <c r="X2496" s="46"/>
      <c r="Y2496" s="46"/>
      <c r="Z2496" s="46"/>
    </row>
    <row r="2497" ht="22.5" customHeight="1">
      <c r="A2497" s="17"/>
      <c r="B2497" s="20"/>
      <c r="C2497" s="13"/>
      <c r="D2497" s="13"/>
      <c r="E2497" s="13"/>
      <c r="F2497" s="15"/>
      <c r="G2497" s="15"/>
      <c r="H2497" s="46"/>
      <c r="I2497" s="46"/>
      <c r="J2497" s="46"/>
      <c r="K2497" s="46"/>
      <c r="L2497" s="46"/>
      <c r="M2497" s="46"/>
      <c r="N2497" s="46"/>
      <c r="O2497" s="46"/>
      <c r="P2497" s="46"/>
      <c r="Q2497" s="46"/>
      <c r="R2497" s="46"/>
      <c r="S2497" s="46"/>
      <c r="T2497" s="46"/>
      <c r="U2497" s="46"/>
      <c r="V2497" s="46"/>
      <c r="W2497" s="46"/>
      <c r="X2497" s="46"/>
      <c r="Y2497" s="46"/>
      <c r="Z2497" s="46"/>
    </row>
    <row r="2498" ht="22.5" customHeight="1">
      <c r="A2498" s="17"/>
      <c r="B2498" s="20"/>
      <c r="C2498" s="13"/>
      <c r="D2498" s="13"/>
      <c r="E2498" s="13"/>
      <c r="F2498" s="15"/>
      <c r="G2498" s="15"/>
      <c r="H2498" s="46"/>
      <c r="I2498" s="46"/>
      <c r="J2498" s="46"/>
      <c r="K2498" s="46"/>
      <c r="L2498" s="46"/>
      <c r="M2498" s="46"/>
      <c r="N2498" s="46"/>
      <c r="O2498" s="46"/>
      <c r="P2498" s="46"/>
      <c r="Q2498" s="46"/>
      <c r="R2498" s="46"/>
      <c r="S2498" s="46"/>
      <c r="T2498" s="46"/>
      <c r="U2498" s="46"/>
      <c r="V2498" s="46"/>
      <c r="W2498" s="46"/>
      <c r="X2498" s="46"/>
      <c r="Y2498" s="46"/>
      <c r="Z2498" s="46"/>
    </row>
    <row r="2499" ht="22.5" customHeight="1">
      <c r="A2499" s="17"/>
      <c r="B2499" s="20"/>
      <c r="C2499" s="13"/>
      <c r="D2499" s="13"/>
      <c r="E2499" s="13"/>
      <c r="F2499" s="15"/>
      <c r="G2499" s="15"/>
      <c r="H2499" s="46"/>
      <c r="I2499" s="46"/>
      <c r="J2499" s="46"/>
      <c r="K2499" s="46"/>
      <c r="L2499" s="46"/>
      <c r="M2499" s="46"/>
      <c r="N2499" s="46"/>
      <c r="O2499" s="46"/>
      <c r="P2499" s="46"/>
      <c r="Q2499" s="46"/>
      <c r="R2499" s="46"/>
      <c r="S2499" s="46"/>
      <c r="T2499" s="46"/>
      <c r="U2499" s="46"/>
      <c r="V2499" s="46"/>
      <c r="W2499" s="46"/>
      <c r="X2499" s="46"/>
      <c r="Y2499" s="46"/>
      <c r="Z2499" s="46"/>
    </row>
    <row r="2500" ht="22.5" customHeight="1">
      <c r="A2500" s="17"/>
      <c r="B2500" s="20"/>
      <c r="C2500" s="13"/>
      <c r="D2500" s="13"/>
      <c r="E2500" s="13"/>
      <c r="F2500" s="15"/>
      <c r="G2500" s="15"/>
      <c r="H2500" s="46"/>
      <c r="I2500" s="46"/>
      <c r="J2500" s="46"/>
      <c r="K2500" s="46"/>
      <c r="L2500" s="46"/>
      <c r="M2500" s="46"/>
      <c r="N2500" s="46"/>
      <c r="O2500" s="46"/>
      <c r="P2500" s="46"/>
      <c r="Q2500" s="46"/>
      <c r="R2500" s="46"/>
      <c r="S2500" s="46"/>
      <c r="T2500" s="46"/>
      <c r="U2500" s="46"/>
      <c r="V2500" s="46"/>
      <c r="W2500" s="46"/>
      <c r="X2500" s="46"/>
      <c r="Y2500" s="46"/>
      <c r="Z2500" s="46"/>
    </row>
    <row r="2501" ht="22.5" customHeight="1">
      <c r="A2501" s="17"/>
      <c r="B2501" s="20"/>
      <c r="C2501" s="13"/>
      <c r="D2501" s="13"/>
      <c r="E2501" s="13"/>
      <c r="F2501" s="15"/>
      <c r="G2501" s="15"/>
      <c r="H2501" s="46"/>
      <c r="I2501" s="46"/>
      <c r="J2501" s="46"/>
      <c r="K2501" s="46"/>
      <c r="L2501" s="46"/>
      <c r="M2501" s="46"/>
      <c r="N2501" s="46"/>
      <c r="O2501" s="46"/>
      <c r="P2501" s="46"/>
      <c r="Q2501" s="46"/>
      <c r="R2501" s="46"/>
      <c r="S2501" s="46"/>
      <c r="T2501" s="46"/>
      <c r="U2501" s="46"/>
      <c r="V2501" s="46"/>
      <c r="W2501" s="46"/>
      <c r="X2501" s="46"/>
      <c r="Y2501" s="46"/>
      <c r="Z2501" s="46"/>
    </row>
    <row r="2502" ht="22.5" customHeight="1">
      <c r="A2502" s="17"/>
      <c r="B2502" s="20"/>
      <c r="C2502" s="13"/>
      <c r="D2502" s="13"/>
      <c r="E2502" s="13"/>
      <c r="F2502" s="15"/>
      <c r="G2502" s="15"/>
      <c r="H2502" s="46"/>
      <c r="I2502" s="46"/>
      <c r="J2502" s="46"/>
      <c r="K2502" s="46"/>
      <c r="L2502" s="46"/>
      <c r="M2502" s="46"/>
      <c r="N2502" s="46"/>
      <c r="O2502" s="46"/>
      <c r="P2502" s="46"/>
      <c r="Q2502" s="46"/>
      <c r="R2502" s="46"/>
      <c r="S2502" s="46"/>
      <c r="T2502" s="46"/>
      <c r="U2502" s="46"/>
      <c r="V2502" s="46"/>
      <c r="W2502" s="46"/>
      <c r="X2502" s="46"/>
      <c r="Y2502" s="46"/>
      <c r="Z2502" s="46"/>
    </row>
    <row r="2503" ht="22.5" customHeight="1">
      <c r="A2503" s="17"/>
      <c r="B2503" s="20"/>
      <c r="C2503" s="13"/>
      <c r="D2503" s="13"/>
      <c r="E2503" s="13"/>
      <c r="F2503" s="15"/>
      <c r="G2503" s="15"/>
      <c r="H2503" s="46"/>
      <c r="I2503" s="46"/>
      <c r="J2503" s="46"/>
      <c r="K2503" s="46"/>
      <c r="L2503" s="46"/>
      <c r="M2503" s="46"/>
      <c r="N2503" s="46"/>
      <c r="O2503" s="46"/>
      <c r="P2503" s="46"/>
      <c r="Q2503" s="46"/>
      <c r="R2503" s="46"/>
      <c r="S2503" s="46"/>
      <c r="T2503" s="46"/>
      <c r="U2503" s="46"/>
      <c r="V2503" s="46"/>
      <c r="W2503" s="46"/>
      <c r="X2503" s="46"/>
      <c r="Y2503" s="46"/>
      <c r="Z2503" s="46"/>
    </row>
    <row r="2504" ht="22.5" customHeight="1">
      <c r="A2504" s="17"/>
      <c r="B2504" s="20"/>
      <c r="C2504" s="13"/>
      <c r="D2504" s="13"/>
      <c r="E2504" s="13"/>
      <c r="F2504" s="15"/>
      <c r="G2504" s="15"/>
      <c r="H2504" s="46"/>
      <c r="I2504" s="46"/>
      <c r="J2504" s="46"/>
      <c r="K2504" s="46"/>
      <c r="L2504" s="46"/>
      <c r="M2504" s="46"/>
      <c r="N2504" s="46"/>
      <c r="O2504" s="46"/>
      <c r="P2504" s="46"/>
      <c r="Q2504" s="46"/>
      <c r="R2504" s="46"/>
      <c r="S2504" s="46"/>
      <c r="T2504" s="46"/>
      <c r="U2504" s="46"/>
      <c r="V2504" s="46"/>
      <c r="W2504" s="46"/>
      <c r="X2504" s="46"/>
      <c r="Y2504" s="46"/>
      <c r="Z2504" s="46"/>
    </row>
    <row r="2505" ht="22.5" customHeight="1">
      <c r="A2505" s="17"/>
      <c r="B2505" s="20"/>
      <c r="C2505" s="13"/>
      <c r="D2505" s="13"/>
      <c r="E2505" s="13"/>
      <c r="F2505" s="15"/>
      <c r="G2505" s="15"/>
      <c r="H2505" s="46"/>
      <c r="I2505" s="46"/>
      <c r="J2505" s="46"/>
      <c r="K2505" s="46"/>
      <c r="L2505" s="46"/>
      <c r="M2505" s="46"/>
      <c r="N2505" s="46"/>
      <c r="O2505" s="46"/>
      <c r="P2505" s="46"/>
      <c r="Q2505" s="46"/>
      <c r="R2505" s="46"/>
      <c r="S2505" s="46"/>
      <c r="T2505" s="46"/>
      <c r="U2505" s="46"/>
      <c r="V2505" s="46"/>
      <c r="W2505" s="46"/>
      <c r="X2505" s="46"/>
      <c r="Y2505" s="46"/>
      <c r="Z2505" s="46"/>
    </row>
    <row r="2506" ht="22.5" customHeight="1">
      <c r="A2506" s="17"/>
      <c r="B2506" s="20"/>
      <c r="C2506" s="13"/>
      <c r="D2506" s="13"/>
      <c r="E2506" s="13"/>
      <c r="F2506" s="15"/>
      <c r="G2506" s="15"/>
      <c r="H2506" s="46"/>
      <c r="I2506" s="46"/>
      <c r="J2506" s="46"/>
      <c r="K2506" s="46"/>
      <c r="L2506" s="46"/>
      <c r="M2506" s="46"/>
      <c r="N2506" s="46"/>
      <c r="O2506" s="46"/>
      <c r="P2506" s="46"/>
      <c r="Q2506" s="46"/>
      <c r="R2506" s="46"/>
      <c r="S2506" s="46"/>
      <c r="T2506" s="46"/>
      <c r="U2506" s="46"/>
      <c r="V2506" s="46"/>
      <c r="W2506" s="46"/>
      <c r="X2506" s="46"/>
      <c r="Y2506" s="46"/>
      <c r="Z2506" s="46"/>
    </row>
    <row r="2507" ht="22.5" customHeight="1">
      <c r="A2507" s="17"/>
      <c r="B2507" s="20"/>
      <c r="C2507" s="13"/>
      <c r="D2507" s="13"/>
      <c r="E2507" s="13"/>
      <c r="F2507" s="15"/>
      <c r="G2507" s="15"/>
      <c r="H2507" s="46"/>
      <c r="I2507" s="46"/>
      <c r="J2507" s="46"/>
      <c r="K2507" s="46"/>
      <c r="L2507" s="46"/>
      <c r="M2507" s="46"/>
      <c r="N2507" s="46"/>
      <c r="O2507" s="46"/>
      <c r="P2507" s="46"/>
      <c r="Q2507" s="46"/>
      <c r="R2507" s="46"/>
      <c r="S2507" s="46"/>
      <c r="T2507" s="46"/>
      <c r="U2507" s="46"/>
      <c r="V2507" s="46"/>
      <c r="W2507" s="46"/>
      <c r="X2507" s="46"/>
      <c r="Y2507" s="46"/>
      <c r="Z2507" s="46"/>
    </row>
    <row r="2508" ht="22.5" customHeight="1">
      <c r="A2508" s="17"/>
      <c r="B2508" s="20"/>
      <c r="C2508" s="13"/>
      <c r="D2508" s="13"/>
      <c r="E2508" s="13"/>
      <c r="F2508" s="15"/>
      <c r="G2508" s="15"/>
      <c r="H2508" s="46"/>
      <c r="I2508" s="46"/>
      <c r="J2508" s="46"/>
      <c r="K2508" s="46"/>
      <c r="L2508" s="46"/>
      <c r="M2508" s="46"/>
      <c r="N2508" s="46"/>
      <c r="O2508" s="46"/>
      <c r="P2508" s="46"/>
      <c r="Q2508" s="46"/>
      <c r="R2508" s="46"/>
      <c r="S2508" s="46"/>
      <c r="T2508" s="46"/>
      <c r="U2508" s="46"/>
      <c r="V2508" s="46"/>
      <c r="W2508" s="46"/>
      <c r="X2508" s="46"/>
      <c r="Y2508" s="46"/>
      <c r="Z2508" s="46"/>
    </row>
    <row r="2509" ht="22.5" customHeight="1">
      <c r="A2509" s="17"/>
      <c r="B2509" s="20"/>
      <c r="C2509" s="13"/>
      <c r="D2509" s="13"/>
      <c r="E2509" s="13"/>
      <c r="F2509" s="15"/>
      <c r="G2509" s="15"/>
      <c r="H2509" s="46"/>
      <c r="I2509" s="46"/>
      <c r="J2509" s="46"/>
      <c r="K2509" s="46"/>
      <c r="L2509" s="46"/>
      <c r="M2509" s="46"/>
      <c r="N2509" s="46"/>
      <c r="O2509" s="46"/>
      <c r="P2509" s="46"/>
      <c r="Q2509" s="46"/>
      <c r="R2509" s="46"/>
      <c r="S2509" s="46"/>
      <c r="T2509" s="46"/>
      <c r="U2509" s="46"/>
      <c r="V2509" s="46"/>
      <c r="W2509" s="46"/>
      <c r="X2509" s="46"/>
      <c r="Y2509" s="46"/>
      <c r="Z2509" s="46"/>
    </row>
    <row r="2510" ht="22.5" customHeight="1">
      <c r="A2510" s="17"/>
      <c r="B2510" s="20"/>
      <c r="C2510" s="13"/>
      <c r="D2510" s="13"/>
      <c r="E2510" s="13"/>
      <c r="F2510" s="15"/>
      <c r="G2510" s="15"/>
      <c r="H2510" s="46"/>
      <c r="I2510" s="46"/>
      <c r="J2510" s="46"/>
      <c r="K2510" s="46"/>
      <c r="L2510" s="46"/>
      <c r="M2510" s="46"/>
      <c r="N2510" s="46"/>
      <c r="O2510" s="46"/>
      <c r="P2510" s="46"/>
      <c r="Q2510" s="46"/>
      <c r="R2510" s="46"/>
      <c r="S2510" s="46"/>
      <c r="T2510" s="46"/>
      <c r="U2510" s="46"/>
      <c r="V2510" s="46"/>
      <c r="W2510" s="46"/>
      <c r="X2510" s="46"/>
      <c r="Y2510" s="46"/>
      <c r="Z2510" s="46"/>
    </row>
    <row r="2511" ht="22.5" customHeight="1">
      <c r="A2511" s="17"/>
      <c r="B2511" s="20"/>
      <c r="C2511" s="13"/>
      <c r="D2511" s="13"/>
      <c r="E2511" s="13"/>
      <c r="F2511" s="15"/>
      <c r="G2511" s="15"/>
      <c r="H2511" s="46"/>
      <c r="I2511" s="46"/>
      <c r="J2511" s="46"/>
      <c r="K2511" s="46"/>
      <c r="L2511" s="46"/>
      <c r="M2511" s="46"/>
      <c r="N2511" s="46"/>
      <c r="O2511" s="46"/>
      <c r="P2511" s="46"/>
      <c r="Q2511" s="46"/>
      <c r="R2511" s="46"/>
      <c r="S2511" s="46"/>
      <c r="T2511" s="46"/>
      <c r="U2511" s="46"/>
      <c r="V2511" s="46"/>
      <c r="W2511" s="46"/>
      <c r="X2511" s="46"/>
      <c r="Y2511" s="46"/>
      <c r="Z2511" s="46"/>
    </row>
    <row r="2512" ht="22.5" customHeight="1">
      <c r="A2512" s="17"/>
      <c r="B2512" s="20"/>
      <c r="C2512" s="13"/>
      <c r="D2512" s="13"/>
      <c r="E2512" s="13"/>
      <c r="F2512" s="15"/>
      <c r="G2512" s="15"/>
      <c r="H2512" s="46"/>
      <c r="I2512" s="46"/>
      <c r="J2512" s="46"/>
      <c r="K2512" s="46"/>
      <c r="L2512" s="46"/>
      <c r="M2512" s="46"/>
      <c r="N2512" s="46"/>
      <c r="O2512" s="46"/>
      <c r="P2512" s="46"/>
      <c r="Q2512" s="46"/>
      <c r="R2512" s="46"/>
      <c r="S2512" s="46"/>
      <c r="T2512" s="46"/>
      <c r="U2512" s="46"/>
      <c r="V2512" s="46"/>
      <c r="W2512" s="46"/>
      <c r="X2512" s="46"/>
      <c r="Y2512" s="46"/>
      <c r="Z2512" s="46"/>
    </row>
    <row r="2513" ht="22.5" customHeight="1">
      <c r="A2513" s="17"/>
      <c r="B2513" s="20"/>
      <c r="C2513" s="13"/>
      <c r="D2513" s="13"/>
      <c r="E2513" s="13"/>
      <c r="F2513" s="15"/>
      <c r="G2513" s="15"/>
      <c r="H2513" s="46"/>
      <c r="I2513" s="46"/>
      <c r="J2513" s="46"/>
      <c r="K2513" s="46"/>
      <c r="L2513" s="46"/>
      <c r="M2513" s="46"/>
      <c r="N2513" s="46"/>
      <c r="O2513" s="46"/>
      <c r="P2513" s="46"/>
      <c r="Q2513" s="46"/>
      <c r="R2513" s="46"/>
      <c r="S2513" s="46"/>
      <c r="T2513" s="46"/>
      <c r="U2513" s="46"/>
      <c r="V2513" s="46"/>
      <c r="W2513" s="46"/>
      <c r="X2513" s="46"/>
      <c r="Y2513" s="46"/>
      <c r="Z2513" s="46"/>
    </row>
    <row r="2514" ht="22.5" customHeight="1">
      <c r="A2514" s="17"/>
      <c r="B2514" s="20"/>
      <c r="C2514" s="13"/>
      <c r="D2514" s="13"/>
      <c r="E2514" s="13"/>
      <c r="F2514" s="15"/>
      <c r="G2514" s="15"/>
      <c r="H2514" s="46"/>
      <c r="I2514" s="46"/>
      <c r="J2514" s="46"/>
      <c r="K2514" s="46"/>
      <c r="L2514" s="46"/>
      <c r="M2514" s="46"/>
      <c r="N2514" s="46"/>
      <c r="O2514" s="46"/>
      <c r="P2514" s="46"/>
      <c r="Q2514" s="46"/>
      <c r="R2514" s="46"/>
      <c r="S2514" s="46"/>
      <c r="T2514" s="46"/>
      <c r="U2514" s="46"/>
      <c r="V2514" s="46"/>
      <c r="W2514" s="46"/>
      <c r="X2514" s="46"/>
      <c r="Y2514" s="46"/>
      <c r="Z2514" s="46"/>
    </row>
    <row r="2515" ht="22.5" customHeight="1">
      <c r="A2515" s="17"/>
      <c r="B2515" s="20"/>
      <c r="C2515" s="13"/>
      <c r="D2515" s="13"/>
      <c r="E2515" s="13"/>
      <c r="F2515" s="15"/>
      <c r="G2515" s="15"/>
      <c r="H2515" s="46"/>
      <c r="I2515" s="46"/>
      <c r="J2515" s="46"/>
      <c r="K2515" s="46"/>
      <c r="L2515" s="46"/>
      <c r="M2515" s="46"/>
      <c r="N2515" s="46"/>
      <c r="O2515" s="46"/>
      <c r="P2515" s="46"/>
      <c r="Q2515" s="46"/>
      <c r="R2515" s="46"/>
      <c r="S2515" s="46"/>
      <c r="T2515" s="46"/>
      <c r="U2515" s="46"/>
      <c r="V2515" s="46"/>
      <c r="W2515" s="46"/>
      <c r="X2515" s="46"/>
      <c r="Y2515" s="46"/>
      <c r="Z2515" s="46"/>
    </row>
    <row r="2516" ht="22.5" customHeight="1">
      <c r="A2516" s="17"/>
      <c r="B2516" s="20"/>
      <c r="C2516" s="13"/>
      <c r="D2516" s="13"/>
      <c r="E2516" s="13"/>
      <c r="F2516" s="15"/>
      <c r="G2516" s="15"/>
      <c r="H2516" s="46"/>
      <c r="I2516" s="46"/>
      <c r="J2516" s="46"/>
      <c r="K2516" s="46"/>
      <c r="L2516" s="46"/>
      <c r="M2516" s="46"/>
      <c r="N2516" s="46"/>
      <c r="O2516" s="46"/>
      <c r="P2516" s="46"/>
      <c r="Q2516" s="46"/>
      <c r="R2516" s="46"/>
      <c r="S2516" s="46"/>
      <c r="T2516" s="46"/>
      <c r="U2516" s="46"/>
      <c r="V2516" s="46"/>
      <c r="W2516" s="46"/>
      <c r="X2516" s="46"/>
      <c r="Y2516" s="46"/>
      <c r="Z2516" s="46"/>
    </row>
    <row r="2517" ht="22.5" customHeight="1">
      <c r="A2517" s="17"/>
      <c r="B2517" s="20"/>
      <c r="C2517" s="13"/>
      <c r="D2517" s="13"/>
      <c r="E2517" s="13"/>
      <c r="F2517" s="15"/>
      <c r="G2517" s="15"/>
      <c r="H2517" s="46"/>
      <c r="I2517" s="46"/>
      <c r="J2517" s="46"/>
      <c r="K2517" s="46"/>
      <c r="L2517" s="46"/>
      <c r="M2517" s="46"/>
      <c r="N2517" s="46"/>
      <c r="O2517" s="46"/>
      <c r="P2517" s="46"/>
      <c r="Q2517" s="46"/>
      <c r="R2517" s="46"/>
      <c r="S2517" s="46"/>
      <c r="T2517" s="46"/>
      <c r="U2517" s="46"/>
      <c r="V2517" s="46"/>
      <c r="W2517" s="46"/>
      <c r="X2517" s="46"/>
      <c r="Y2517" s="46"/>
      <c r="Z2517" s="46"/>
    </row>
    <row r="2518" ht="22.5" customHeight="1">
      <c r="A2518" s="17"/>
      <c r="B2518" s="20"/>
      <c r="C2518" s="13"/>
      <c r="D2518" s="13"/>
      <c r="E2518" s="13"/>
      <c r="F2518" s="15"/>
      <c r="G2518" s="15"/>
      <c r="H2518" s="46"/>
      <c r="I2518" s="46"/>
      <c r="J2518" s="46"/>
      <c r="K2518" s="46"/>
      <c r="L2518" s="46"/>
      <c r="M2518" s="46"/>
      <c r="N2518" s="46"/>
      <c r="O2518" s="46"/>
      <c r="P2518" s="46"/>
      <c r="Q2518" s="46"/>
      <c r="R2518" s="46"/>
      <c r="S2518" s="46"/>
      <c r="T2518" s="46"/>
      <c r="U2518" s="46"/>
      <c r="V2518" s="46"/>
      <c r="W2518" s="46"/>
      <c r="X2518" s="46"/>
      <c r="Y2518" s="46"/>
      <c r="Z2518" s="46"/>
    </row>
    <row r="2519" ht="22.5" customHeight="1">
      <c r="A2519" s="17"/>
      <c r="B2519" s="20"/>
      <c r="C2519" s="13"/>
      <c r="D2519" s="13"/>
      <c r="E2519" s="13"/>
      <c r="F2519" s="15"/>
      <c r="G2519" s="15"/>
      <c r="H2519" s="46"/>
      <c r="I2519" s="46"/>
      <c r="J2519" s="46"/>
      <c r="K2519" s="46"/>
      <c r="L2519" s="46"/>
      <c r="M2519" s="46"/>
      <c r="N2519" s="46"/>
      <c r="O2519" s="46"/>
      <c r="P2519" s="46"/>
      <c r="Q2519" s="46"/>
      <c r="R2519" s="46"/>
      <c r="S2519" s="46"/>
      <c r="T2519" s="46"/>
      <c r="U2519" s="46"/>
      <c r="V2519" s="46"/>
      <c r="W2519" s="46"/>
      <c r="X2519" s="46"/>
      <c r="Y2519" s="46"/>
      <c r="Z2519" s="46"/>
    </row>
    <row r="2520" ht="22.5" customHeight="1">
      <c r="A2520" s="17"/>
      <c r="B2520" s="20"/>
      <c r="C2520" s="13"/>
      <c r="D2520" s="13"/>
      <c r="E2520" s="13"/>
      <c r="F2520" s="15"/>
      <c r="G2520" s="15"/>
      <c r="H2520" s="46"/>
      <c r="I2520" s="46"/>
      <c r="J2520" s="46"/>
      <c r="K2520" s="46"/>
      <c r="L2520" s="46"/>
      <c r="M2520" s="46"/>
      <c r="N2520" s="46"/>
      <c r="O2520" s="46"/>
      <c r="P2520" s="46"/>
      <c r="Q2520" s="46"/>
      <c r="R2520" s="46"/>
      <c r="S2520" s="46"/>
      <c r="T2520" s="46"/>
      <c r="U2520" s="46"/>
      <c r="V2520" s="46"/>
      <c r="W2520" s="46"/>
      <c r="X2520" s="46"/>
      <c r="Y2520" s="46"/>
      <c r="Z2520" s="46"/>
    </row>
    <row r="2521" ht="22.5" customHeight="1">
      <c r="A2521" s="17"/>
      <c r="B2521" s="20"/>
      <c r="C2521" s="13"/>
      <c r="D2521" s="13"/>
      <c r="E2521" s="13"/>
      <c r="F2521" s="15"/>
      <c r="G2521" s="15"/>
      <c r="H2521" s="46"/>
      <c r="I2521" s="46"/>
      <c r="J2521" s="46"/>
      <c r="K2521" s="46"/>
      <c r="L2521" s="46"/>
      <c r="M2521" s="46"/>
      <c r="N2521" s="46"/>
      <c r="O2521" s="46"/>
      <c r="P2521" s="46"/>
      <c r="Q2521" s="46"/>
      <c r="R2521" s="46"/>
      <c r="S2521" s="46"/>
      <c r="T2521" s="46"/>
      <c r="U2521" s="46"/>
      <c r="V2521" s="46"/>
      <c r="W2521" s="46"/>
      <c r="X2521" s="46"/>
      <c r="Y2521" s="46"/>
      <c r="Z2521" s="46"/>
    </row>
    <row r="2522" ht="22.5" customHeight="1">
      <c r="A2522" s="17"/>
      <c r="B2522" s="20"/>
      <c r="C2522" s="13"/>
      <c r="D2522" s="13"/>
      <c r="E2522" s="13"/>
      <c r="F2522" s="15"/>
      <c r="G2522" s="15"/>
      <c r="H2522" s="46"/>
      <c r="I2522" s="46"/>
      <c r="J2522" s="46"/>
      <c r="K2522" s="46"/>
      <c r="L2522" s="46"/>
      <c r="M2522" s="46"/>
      <c r="N2522" s="46"/>
      <c r="O2522" s="46"/>
      <c r="P2522" s="46"/>
      <c r="Q2522" s="46"/>
      <c r="R2522" s="46"/>
      <c r="S2522" s="46"/>
      <c r="T2522" s="46"/>
      <c r="U2522" s="46"/>
      <c r="V2522" s="46"/>
      <c r="W2522" s="46"/>
      <c r="X2522" s="46"/>
      <c r="Y2522" s="46"/>
      <c r="Z2522" s="46"/>
    </row>
    <row r="2523" ht="22.5" customHeight="1">
      <c r="A2523" s="17"/>
      <c r="B2523" s="20"/>
      <c r="C2523" s="13"/>
      <c r="D2523" s="13"/>
      <c r="E2523" s="13"/>
      <c r="F2523" s="15"/>
      <c r="G2523" s="15"/>
      <c r="H2523" s="46"/>
      <c r="I2523" s="46"/>
      <c r="J2523" s="46"/>
      <c r="K2523" s="46"/>
      <c r="L2523" s="46"/>
      <c r="M2523" s="46"/>
      <c r="N2523" s="46"/>
      <c r="O2523" s="46"/>
      <c r="P2523" s="46"/>
      <c r="Q2523" s="46"/>
      <c r="R2523" s="46"/>
      <c r="S2523" s="46"/>
      <c r="T2523" s="46"/>
      <c r="U2523" s="46"/>
      <c r="V2523" s="46"/>
      <c r="W2523" s="46"/>
      <c r="X2523" s="46"/>
      <c r="Y2523" s="46"/>
      <c r="Z2523" s="46"/>
    </row>
    <row r="2524" ht="22.5" customHeight="1">
      <c r="A2524" s="17"/>
      <c r="B2524" s="20"/>
      <c r="C2524" s="13"/>
      <c r="D2524" s="13"/>
      <c r="E2524" s="13"/>
      <c r="F2524" s="15"/>
      <c r="G2524" s="15"/>
      <c r="H2524" s="46"/>
      <c r="I2524" s="46"/>
      <c r="J2524" s="46"/>
      <c r="K2524" s="46"/>
      <c r="L2524" s="46"/>
      <c r="M2524" s="46"/>
      <c r="N2524" s="46"/>
      <c r="O2524" s="46"/>
      <c r="P2524" s="46"/>
      <c r="Q2524" s="46"/>
      <c r="R2524" s="46"/>
      <c r="S2524" s="46"/>
      <c r="T2524" s="46"/>
      <c r="U2524" s="46"/>
      <c r="V2524" s="46"/>
      <c r="W2524" s="46"/>
      <c r="X2524" s="46"/>
      <c r="Y2524" s="46"/>
      <c r="Z2524" s="46"/>
    </row>
    <row r="2525" ht="22.5" customHeight="1">
      <c r="A2525" s="17"/>
      <c r="B2525" s="20"/>
      <c r="C2525" s="13"/>
      <c r="D2525" s="13"/>
      <c r="E2525" s="13"/>
      <c r="F2525" s="15"/>
      <c r="G2525" s="15"/>
      <c r="H2525" s="46"/>
      <c r="I2525" s="46"/>
      <c r="J2525" s="46"/>
      <c r="K2525" s="46"/>
      <c r="L2525" s="46"/>
      <c r="M2525" s="46"/>
      <c r="N2525" s="46"/>
      <c r="O2525" s="46"/>
      <c r="P2525" s="46"/>
      <c r="Q2525" s="46"/>
      <c r="R2525" s="46"/>
      <c r="S2525" s="46"/>
      <c r="T2525" s="46"/>
      <c r="U2525" s="46"/>
      <c r="V2525" s="46"/>
      <c r="W2525" s="46"/>
      <c r="X2525" s="46"/>
      <c r="Y2525" s="46"/>
      <c r="Z2525" s="46"/>
    </row>
    <row r="2526" ht="22.5" customHeight="1">
      <c r="A2526" s="17"/>
      <c r="B2526" s="20"/>
      <c r="C2526" s="13"/>
      <c r="D2526" s="13"/>
      <c r="E2526" s="13"/>
      <c r="F2526" s="15"/>
      <c r="G2526" s="15"/>
      <c r="H2526" s="46"/>
      <c r="I2526" s="46"/>
      <c r="J2526" s="46"/>
      <c r="K2526" s="46"/>
      <c r="L2526" s="46"/>
      <c r="M2526" s="46"/>
      <c r="N2526" s="46"/>
      <c r="O2526" s="46"/>
      <c r="P2526" s="46"/>
      <c r="Q2526" s="46"/>
      <c r="R2526" s="46"/>
      <c r="S2526" s="46"/>
      <c r="T2526" s="46"/>
      <c r="U2526" s="46"/>
      <c r="V2526" s="46"/>
      <c r="W2526" s="46"/>
      <c r="X2526" s="46"/>
      <c r="Y2526" s="46"/>
      <c r="Z2526" s="46"/>
    </row>
    <row r="2527" ht="22.5" customHeight="1">
      <c r="A2527" s="17"/>
      <c r="B2527" s="20"/>
      <c r="C2527" s="13"/>
      <c r="D2527" s="13"/>
      <c r="E2527" s="13"/>
      <c r="F2527" s="15"/>
      <c r="G2527" s="15"/>
      <c r="H2527" s="46"/>
      <c r="I2527" s="46"/>
      <c r="J2527" s="46"/>
      <c r="K2527" s="46"/>
      <c r="L2527" s="46"/>
      <c r="M2527" s="46"/>
      <c r="N2527" s="46"/>
      <c r="O2527" s="46"/>
      <c r="P2527" s="46"/>
      <c r="Q2527" s="46"/>
      <c r="R2527" s="46"/>
      <c r="S2527" s="46"/>
      <c r="T2527" s="46"/>
      <c r="U2527" s="46"/>
      <c r="V2527" s="46"/>
      <c r="W2527" s="46"/>
      <c r="X2527" s="46"/>
      <c r="Y2527" s="46"/>
      <c r="Z2527" s="46"/>
    </row>
    <row r="2528" ht="22.5" customHeight="1">
      <c r="A2528" s="17"/>
      <c r="B2528" s="20"/>
      <c r="C2528" s="13"/>
      <c r="D2528" s="13"/>
      <c r="E2528" s="13"/>
      <c r="F2528" s="15"/>
      <c r="G2528" s="15"/>
      <c r="H2528" s="46"/>
      <c r="I2528" s="46"/>
      <c r="J2528" s="46"/>
      <c r="K2528" s="46"/>
      <c r="L2528" s="46"/>
      <c r="M2528" s="46"/>
      <c r="N2528" s="46"/>
      <c r="O2528" s="46"/>
      <c r="P2528" s="46"/>
      <c r="Q2528" s="46"/>
      <c r="R2528" s="46"/>
      <c r="S2528" s="46"/>
      <c r="T2528" s="46"/>
      <c r="U2528" s="46"/>
      <c r="V2528" s="46"/>
      <c r="W2528" s="46"/>
      <c r="X2528" s="46"/>
      <c r="Y2528" s="46"/>
      <c r="Z2528" s="46"/>
    </row>
    <row r="2529" ht="22.5" customHeight="1">
      <c r="A2529" s="17"/>
      <c r="B2529" s="20"/>
      <c r="C2529" s="13"/>
      <c r="D2529" s="13"/>
      <c r="E2529" s="13"/>
      <c r="F2529" s="15"/>
      <c r="G2529" s="15"/>
      <c r="H2529" s="46"/>
      <c r="I2529" s="46"/>
      <c r="J2529" s="46"/>
      <c r="K2529" s="46"/>
      <c r="L2529" s="46"/>
      <c r="M2529" s="46"/>
      <c r="N2529" s="46"/>
      <c r="O2529" s="46"/>
      <c r="P2529" s="46"/>
      <c r="Q2529" s="46"/>
      <c r="R2529" s="46"/>
      <c r="S2529" s="46"/>
      <c r="T2529" s="46"/>
      <c r="U2529" s="46"/>
      <c r="V2529" s="46"/>
      <c r="W2529" s="46"/>
      <c r="X2529" s="46"/>
      <c r="Y2529" s="46"/>
      <c r="Z2529" s="46"/>
    </row>
    <row r="2530" ht="22.5" customHeight="1">
      <c r="A2530" s="17"/>
      <c r="B2530" s="20"/>
      <c r="C2530" s="13"/>
      <c r="D2530" s="13"/>
      <c r="E2530" s="13"/>
      <c r="F2530" s="15"/>
      <c r="G2530" s="15"/>
      <c r="H2530" s="46"/>
      <c r="I2530" s="46"/>
      <c r="J2530" s="46"/>
      <c r="K2530" s="46"/>
      <c r="L2530" s="46"/>
      <c r="M2530" s="46"/>
      <c r="N2530" s="46"/>
      <c r="O2530" s="46"/>
      <c r="P2530" s="46"/>
      <c r="Q2530" s="46"/>
      <c r="R2530" s="46"/>
      <c r="S2530" s="46"/>
      <c r="T2530" s="46"/>
      <c r="U2530" s="46"/>
      <c r="V2530" s="46"/>
      <c r="W2530" s="46"/>
      <c r="X2530" s="46"/>
      <c r="Y2530" s="46"/>
      <c r="Z2530" s="46"/>
    </row>
    <row r="2531" ht="22.5" customHeight="1">
      <c r="A2531" s="17"/>
      <c r="B2531" s="20"/>
      <c r="C2531" s="13"/>
      <c r="D2531" s="13"/>
      <c r="E2531" s="13"/>
      <c r="F2531" s="15"/>
      <c r="G2531" s="15"/>
      <c r="H2531" s="46"/>
      <c r="I2531" s="46"/>
      <c r="J2531" s="46"/>
      <c r="K2531" s="46"/>
      <c r="L2531" s="46"/>
      <c r="M2531" s="46"/>
      <c r="N2531" s="46"/>
      <c r="O2531" s="46"/>
      <c r="P2531" s="46"/>
      <c r="Q2531" s="46"/>
      <c r="R2531" s="46"/>
      <c r="S2531" s="46"/>
      <c r="T2531" s="46"/>
      <c r="U2531" s="46"/>
      <c r="V2531" s="46"/>
      <c r="W2531" s="46"/>
      <c r="X2531" s="46"/>
      <c r="Y2531" s="46"/>
      <c r="Z2531" s="46"/>
    </row>
    <row r="2532" ht="22.5" customHeight="1">
      <c r="A2532" s="17"/>
      <c r="B2532" s="20"/>
      <c r="C2532" s="13"/>
      <c r="D2532" s="13"/>
      <c r="E2532" s="13"/>
      <c r="F2532" s="15"/>
      <c r="G2532" s="15"/>
      <c r="H2532" s="46"/>
      <c r="I2532" s="46"/>
      <c r="J2532" s="46"/>
      <c r="K2532" s="46"/>
      <c r="L2532" s="46"/>
      <c r="M2532" s="46"/>
      <c r="N2532" s="46"/>
      <c r="O2532" s="46"/>
      <c r="P2532" s="46"/>
      <c r="Q2532" s="46"/>
      <c r="R2532" s="46"/>
      <c r="S2532" s="46"/>
      <c r="T2532" s="46"/>
      <c r="U2532" s="46"/>
      <c r="V2532" s="46"/>
      <c r="W2532" s="46"/>
      <c r="X2532" s="46"/>
      <c r="Y2532" s="46"/>
      <c r="Z2532" s="46"/>
    </row>
    <row r="2533" ht="22.5" customHeight="1">
      <c r="A2533" s="17"/>
      <c r="B2533" s="20"/>
      <c r="C2533" s="13"/>
      <c r="D2533" s="13"/>
      <c r="E2533" s="13"/>
      <c r="F2533" s="15"/>
      <c r="G2533" s="15"/>
      <c r="H2533" s="46"/>
      <c r="I2533" s="46"/>
      <c r="J2533" s="46"/>
      <c r="K2533" s="46"/>
      <c r="L2533" s="46"/>
      <c r="M2533" s="46"/>
      <c r="N2533" s="46"/>
      <c r="O2533" s="46"/>
      <c r="P2533" s="46"/>
      <c r="Q2533" s="46"/>
      <c r="R2533" s="46"/>
      <c r="S2533" s="46"/>
      <c r="T2533" s="46"/>
      <c r="U2533" s="46"/>
      <c r="V2533" s="46"/>
      <c r="W2533" s="46"/>
      <c r="X2533" s="46"/>
      <c r="Y2533" s="46"/>
      <c r="Z2533" s="46"/>
    </row>
    <row r="2534" ht="22.5" customHeight="1">
      <c r="A2534" s="17"/>
      <c r="B2534" s="20"/>
      <c r="C2534" s="13"/>
      <c r="D2534" s="13"/>
      <c r="E2534" s="13"/>
      <c r="F2534" s="15"/>
      <c r="G2534" s="15"/>
      <c r="H2534" s="46"/>
      <c r="I2534" s="46"/>
      <c r="J2534" s="46"/>
      <c r="K2534" s="46"/>
      <c r="L2534" s="46"/>
      <c r="M2534" s="46"/>
      <c r="N2534" s="46"/>
      <c r="O2534" s="46"/>
      <c r="P2534" s="46"/>
      <c r="Q2534" s="46"/>
      <c r="R2534" s="46"/>
      <c r="S2534" s="46"/>
      <c r="T2534" s="46"/>
      <c r="U2534" s="46"/>
      <c r="V2534" s="46"/>
      <c r="W2534" s="46"/>
      <c r="X2534" s="46"/>
      <c r="Y2534" s="46"/>
      <c r="Z2534" s="46"/>
    </row>
    <row r="2535" ht="22.5" customHeight="1">
      <c r="A2535" s="17"/>
      <c r="B2535" s="20"/>
      <c r="C2535" s="13"/>
      <c r="D2535" s="13"/>
      <c r="E2535" s="13"/>
      <c r="F2535" s="15"/>
      <c r="G2535" s="15"/>
      <c r="H2535" s="46"/>
      <c r="I2535" s="46"/>
      <c r="J2535" s="46"/>
      <c r="K2535" s="46"/>
      <c r="L2535" s="46"/>
      <c r="M2535" s="46"/>
      <c r="N2535" s="46"/>
      <c r="O2535" s="46"/>
      <c r="P2535" s="46"/>
      <c r="Q2535" s="46"/>
      <c r="R2535" s="46"/>
      <c r="S2535" s="46"/>
      <c r="T2535" s="46"/>
      <c r="U2535" s="46"/>
      <c r="V2535" s="46"/>
      <c r="W2535" s="46"/>
      <c r="X2535" s="46"/>
      <c r="Y2535" s="46"/>
      <c r="Z2535" s="46"/>
    </row>
    <row r="2536" ht="22.5" customHeight="1">
      <c r="A2536" s="17"/>
      <c r="B2536" s="20"/>
      <c r="C2536" s="13"/>
      <c r="D2536" s="13"/>
      <c r="E2536" s="13"/>
      <c r="F2536" s="15"/>
      <c r="G2536" s="15"/>
      <c r="H2536" s="46"/>
      <c r="I2536" s="46"/>
      <c r="J2536" s="46"/>
      <c r="K2536" s="46"/>
      <c r="L2536" s="46"/>
      <c r="M2536" s="46"/>
      <c r="N2536" s="46"/>
      <c r="O2536" s="46"/>
      <c r="P2536" s="46"/>
      <c r="Q2536" s="46"/>
      <c r="R2536" s="46"/>
      <c r="S2536" s="46"/>
      <c r="T2536" s="46"/>
      <c r="U2536" s="46"/>
      <c r="V2536" s="46"/>
      <c r="W2536" s="46"/>
      <c r="X2536" s="46"/>
      <c r="Y2536" s="46"/>
      <c r="Z2536" s="46"/>
    </row>
    <row r="2537" ht="22.5" customHeight="1">
      <c r="A2537" s="17"/>
      <c r="B2537" s="20"/>
      <c r="C2537" s="13"/>
      <c r="D2537" s="13"/>
      <c r="E2537" s="13"/>
      <c r="F2537" s="15"/>
      <c r="G2537" s="15"/>
      <c r="H2537" s="46"/>
      <c r="I2537" s="46"/>
      <c r="J2537" s="46"/>
      <c r="K2537" s="46"/>
      <c r="L2537" s="46"/>
      <c r="M2537" s="46"/>
      <c r="N2537" s="46"/>
      <c r="O2537" s="46"/>
      <c r="P2537" s="46"/>
      <c r="Q2537" s="46"/>
      <c r="R2537" s="46"/>
      <c r="S2537" s="46"/>
      <c r="T2537" s="46"/>
      <c r="U2537" s="46"/>
      <c r="V2537" s="46"/>
      <c r="W2537" s="46"/>
      <c r="X2537" s="46"/>
      <c r="Y2537" s="46"/>
      <c r="Z2537" s="46"/>
    </row>
    <row r="2538" ht="22.5" customHeight="1">
      <c r="A2538" s="17"/>
      <c r="B2538" s="20"/>
      <c r="C2538" s="13"/>
      <c r="D2538" s="13"/>
      <c r="E2538" s="13"/>
      <c r="F2538" s="15"/>
      <c r="G2538" s="15"/>
      <c r="H2538" s="46"/>
      <c r="I2538" s="46"/>
      <c r="J2538" s="46"/>
      <c r="K2538" s="46"/>
      <c r="L2538" s="46"/>
      <c r="M2538" s="46"/>
      <c r="N2538" s="46"/>
      <c r="O2538" s="46"/>
      <c r="P2538" s="46"/>
      <c r="Q2538" s="46"/>
      <c r="R2538" s="46"/>
      <c r="S2538" s="46"/>
      <c r="T2538" s="46"/>
      <c r="U2538" s="46"/>
      <c r="V2538" s="46"/>
      <c r="W2538" s="46"/>
      <c r="X2538" s="46"/>
      <c r="Y2538" s="46"/>
      <c r="Z2538" s="46"/>
    </row>
    <row r="2539" ht="22.5" customHeight="1">
      <c r="A2539" s="17"/>
      <c r="B2539" s="20"/>
      <c r="C2539" s="13"/>
      <c r="D2539" s="13"/>
      <c r="E2539" s="13"/>
      <c r="F2539" s="15"/>
      <c r="G2539" s="15"/>
      <c r="H2539" s="46"/>
      <c r="I2539" s="46"/>
      <c r="J2539" s="46"/>
      <c r="K2539" s="46"/>
      <c r="L2539" s="46"/>
      <c r="M2539" s="46"/>
      <c r="N2539" s="46"/>
      <c r="O2539" s="46"/>
      <c r="P2539" s="46"/>
      <c r="Q2539" s="46"/>
      <c r="R2539" s="46"/>
      <c r="S2539" s="46"/>
      <c r="T2539" s="46"/>
      <c r="U2539" s="46"/>
      <c r="V2539" s="46"/>
      <c r="W2539" s="46"/>
      <c r="X2539" s="46"/>
      <c r="Y2539" s="46"/>
      <c r="Z2539" s="46"/>
    </row>
    <row r="2540" ht="22.5" customHeight="1">
      <c r="A2540" s="17"/>
      <c r="B2540" s="20"/>
      <c r="C2540" s="13"/>
      <c r="D2540" s="13"/>
      <c r="E2540" s="13"/>
      <c r="F2540" s="15"/>
      <c r="G2540" s="15"/>
      <c r="H2540" s="46"/>
      <c r="I2540" s="46"/>
      <c r="J2540" s="46"/>
      <c r="K2540" s="46"/>
      <c r="L2540" s="46"/>
      <c r="M2540" s="46"/>
      <c r="N2540" s="46"/>
      <c r="O2540" s="46"/>
      <c r="P2540" s="46"/>
      <c r="Q2540" s="46"/>
      <c r="R2540" s="46"/>
      <c r="S2540" s="46"/>
      <c r="T2540" s="46"/>
      <c r="U2540" s="46"/>
      <c r="V2540" s="46"/>
      <c r="W2540" s="46"/>
      <c r="X2540" s="46"/>
      <c r="Y2540" s="46"/>
      <c r="Z2540" s="46"/>
    </row>
    <row r="2541" ht="22.5" customHeight="1">
      <c r="A2541" s="17"/>
      <c r="B2541" s="20"/>
      <c r="C2541" s="13"/>
      <c r="D2541" s="13"/>
      <c r="E2541" s="13"/>
      <c r="F2541" s="15"/>
      <c r="G2541" s="15"/>
      <c r="H2541" s="46"/>
      <c r="I2541" s="46"/>
      <c r="J2541" s="46"/>
      <c r="K2541" s="46"/>
      <c r="L2541" s="46"/>
      <c r="M2541" s="46"/>
      <c r="N2541" s="46"/>
      <c r="O2541" s="46"/>
      <c r="P2541" s="46"/>
      <c r="Q2541" s="46"/>
      <c r="R2541" s="46"/>
      <c r="S2541" s="46"/>
      <c r="T2541" s="46"/>
      <c r="U2541" s="46"/>
      <c r="V2541" s="46"/>
      <c r="W2541" s="46"/>
      <c r="X2541" s="46"/>
      <c r="Y2541" s="46"/>
      <c r="Z2541" s="46"/>
    </row>
    <row r="2542" ht="22.5" customHeight="1">
      <c r="A2542" s="17"/>
      <c r="B2542" s="20"/>
      <c r="C2542" s="13"/>
      <c r="D2542" s="13"/>
      <c r="E2542" s="13"/>
      <c r="F2542" s="15"/>
      <c r="G2542" s="15"/>
      <c r="H2542" s="46"/>
      <c r="I2542" s="46"/>
      <c r="J2542" s="46"/>
      <c r="K2542" s="46"/>
      <c r="L2542" s="46"/>
      <c r="M2542" s="46"/>
      <c r="N2542" s="46"/>
      <c r="O2542" s="46"/>
      <c r="P2542" s="46"/>
      <c r="Q2542" s="46"/>
      <c r="R2542" s="46"/>
      <c r="S2542" s="46"/>
      <c r="T2542" s="46"/>
      <c r="U2542" s="46"/>
      <c r="V2542" s="46"/>
      <c r="W2542" s="46"/>
      <c r="X2542" s="46"/>
      <c r="Y2542" s="46"/>
      <c r="Z2542" s="46"/>
    </row>
    <row r="2543" ht="22.5" customHeight="1">
      <c r="A2543" s="17"/>
      <c r="B2543" s="20"/>
      <c r="C2543" s="13"/>
      <c r="D2543" s="13"/>
      <c r="E2543" s="13"/>
      <c r="F2543" s="15"/>
      <c r="G2543" s="15"/>
      <c r="H2543" s="46"/>
      <c r="I2543" s="46"/>
      <c r="J2543" s="46"/>
      <c r="K2543" s="46"/>
      <c r="L2543" s="46"/>
      <c r="M2543" s="46"/>
      <c r="N2543" s="46"/>
      <c r="O2543" s="46"/>
      <c r="P2543" s="46"/>
      <c r="Q2543" s="46"/>
      <c r="R2543" s="46"/>
      <c r="S2543" s="46"/>
      <c r="T2543" s="46"/>
      <c r="U2543" s="46"/>
      <c r="V2543" s="46"/>
      <c r="W2543" s="46"/>
      <c r="X2543" s="46"/>
      <c r="Y2543" s="46"/>
      <c r="Z2543" s="46"/>
    </row>
    <row r="2544" ht="22.5" customHeight="1">
      <c r="A2544" s="17"/>
      <c r="B2544" s="20"/>
      <c r="C2544" s="13"/>
      <c r="D2544" s="13"/>
      <c r="E2544" s="13"/>
      <c r="F2544" s="15"/>
      <c r="G2544" s="15"/>
      <c r="H2544" s="46"/>
      <c r="I2544" s="46"/>
      <c r="J2544" s="46"/>
      <c r="K2544" s="46"/>
      <c r="L2544" s="46"/>
      <c r="M2544" s="46"/>
      <c r="N2544" s="46"/>
      <c r="O2544" s="46"/>
      <c r="P2544" s="46"/>
      <c r="Q2544" s="46"/>
      <c r="R2544" s="46"/>
      <c r="S2544" s="46"/>
      <c r="T2544" s="46"/>
      <c r="U2544" s="46"/>
      <c r="V2544" s="46"/>
      <c r="W2544" s="46"/>
      <c r="X2544" s="46"/>
      <c r="Y2544" s="46"/>
      <c r="Z2544" s="46"/>
    </row>
    <row r="2545" ht="22.5" customHeight="1">
      <c r="A2545" s="17"/>
      <c r="B2545" s="20"/>
      <c r="C2545" s="13"/>
      <c r="D2545" s="13"/>
      <c r="E2545" s="13"/>
      <c r="F2545" s="15"/>
      <c r="G2545" s="15"/>
      <c r="H2545" s="46"/>
      <c r="I2545" s="46"/>
      <c r="J2545" s="46"/>
      <c r="K2545" s="46"/>
      <c r="L2545" s="46"/>
      <c r="M2545" s="46"/>
      <c r="N2545" s="46"/>
      <c r="O2545" s="46"/>
      <c r="P2545" s="46"/>
      <c r="Q2545" s="46"/>
      <c r="R2545" s="46"/>
      <c r="S2545" s="46"/>
      <c r="T2545" s="46"/>
      <c r="U2545" s="46"/>
      <c r="V2545" s="46"/>
      <c r="W2545" s="46"/>
      <c r="X2545" s="46"/>
      <c r="Y2545" s="46"/>
      <c r="Z2545" s="46"/>
    </row>
    <row r="2546" ht="22.5" customHeight="1">
      <c r="A2546" s="17"/>
      <c r="B2546" s="20"/>
      <c r="C2546" s="13"/>
      <c r="D2546" s="13"/>
      <c r="E2546" s="13"/>
      <c r="F2546" s="15"/>
      <c r="G2546" s="15"/>
      <c r="H2546" s="46"/>
      <c r="I2546" s="46"/>
      <c r="J2546" s="46"/>
      <c r="K2546" s="46"/>
      <c r="L2546" s="46"/>
      <c r="M2546" s="46"/>
      <c r="N2546" s="46"/>
      <c r="O2546" s="46"/>
      <c r="P2546" s="46"/>
      <c r="Q2546" s="46"/>
      <c r="R2546" s="46"/>
      <c r="S2546" s="46"/>
      <c r="T2546" s="46"/>
      <c r="U2546" s="46"/>
      <c r="V2546" s="46"/>
      <c r="W2546" s="46"/>
      <c r="X2546" s="46"/>
      <c r="Y2546" s="46"/>
      <c r="Z2546" s="46"/>
    </row>
    <row r="2547" ht="22.5" customHeight="1">
      <c r="A2547" s="17"/>
      <c r="B2547" s="20"/>
      <c r="C2547" s="13"/>
      <c r="D2547" s="13"/>
      <c r="E2547" s="13"/>
      <c r="F2547" s="15"/>
      <c r="G2547" s="15"/>
      <c r="H2547" s="46"/>
      <c r="I2547" s="46"/>
      <c r="J2547" s="46"/>
      <c r="K2547" s="46"/>
      <c r="L2547" s="46"/>
      <c r="M2547" s="46"/>
      <c r="N2547" s="46"/>
      <c r="O2547" s="46"/>
      <c r="P2547" s="46"/>
      <c r="Q2547" s="46"/>
      <c r="R2547" s="46"/>
      <c r="S2547" s="46"/>
      <c r="T2547" s="46"/>
      <c r="U2547" s="46"/>
      <c r="V2547" s="46"/>
      <c r="W2547" s="46"/>
      <c r="X2547" s="46"/>
      <c r="Y2547" s="46"/>
      <c r="Z2547" s="46"/>
    </row>
    <row r="2548" ht="22.5" customHeight="1">
      <c r="A2548" s="17"/>
      <c r="B2548" s="20"/>
      <c r="C2548" s="13"/>
      <c r="D2548" s="13"/>
      <c r="E2548" s="13"/>
      <c r="F2548" s="15"/>
      <c r="G2548" s="15"/>
      <c r="H2548" s="46"/>
      <c r="I2548" s="46"/>
      <c r="J2548" s="46"/>
      <c r="K2548" s="46"/>
      <c r="L2548" s="46"/>
      <c r="M2548" s="46"/>
      <c r="N2548" s="46"/>
      <c r="O2548" s="46"/>
      <c r="P2548" s="46"/>
      <c r="Q2548" s="46"/>
      <c r="R2548" s="46"/>
      <c r="S2548" s="46"/>
      <c r="T2548" s="46"/>
      <c r="U2548" s="46"/>
      <c r="V2548" s="46"/>
      <c r="W2548" s="46"/>
      <c r="X2548" s="46"/>
      <c r="Y2548" s="46"/>
      <c r="Z2548" s="46"/>
    </row>
    <row r="2549" ht="22.5" customHeight="1">
      <c r="A2549" s="17"/>
      <c r="B2549" s="20"/>
      <c r="C2549" s="13"/>
      <c r="D2549" s="13"/>
      <c r="E2549" s="13"/>
      <c r="F2549" s="15"/>
      <c r="G2549" s="15"/>
      <c r="H2549" s="46"/>
      <c r="I2549" s="46"/>
      <c r="J2549" s="46"/>
      <c r="K2549" s="46"/>
      <c r="L2549" s="46"/>
      <c r="M2549" s="46"/>
      <c r="N2549" s="46"/>
      <c r="O2549" s="46"/>
      <c r="P2549" s="46"/>
      <c r="Q2549" s="46"/>
      <c r="R2549" s="46"/>
      <c r="S2549" s="46"/>
      <c r="T2549" s="46"/>
      <c r="U2549" s="46"/>
      <c r="V2549" s="46"/>
      <c r="W2549" s="46"/>
      <c r="X2549" s="46"/>
      <c r="Y2549" s="46"/>
      <c r="Z2549" s="46"/>
    </row>
    <row r="2550" ht="22.5" customHeight="1">
      <c r="A2550" s="17"/>
      <c r="B2550" s="20"/>
      <c r="C2550" s="13"/>
      <c r="D2550" s="13"/>
      <c r="E2550" s="13"/>
      <c r="F2550" s="15"/>
      <c r="G2550" s="15"/>
      <c r="H2550" s="46"/>
      <c r="I2550" s="46"/>
      <c r="J2550" s="46"/>
      <c r="K2550" s="46"/>
      <c r="L2550" s="46"/>
      <c r="M2550" s="46"/>
      <c r="N2550" s="46"/>
      <c r="O2550" s="46"/>
      <c r="P2550" s="46"/>
      <c r="Q2550" s="46"/>
      <c r="R2550" s="46"/>
      <c r="S2550" s="46"/>
      <c r="T2550" s="46"/>
      <c r="U2550" s="46"/>
      <c r="V2550" s="46"/>
      <c r="W2550" s="46"/>
      <c r="X2550" s="46"/>
      <c r="Y2550" s="46"/>
      <c r="Z2550" s="46"/>
    </row>
    <row r="2551" ht="22.5" customHeight="1">
      <c r="A2551" s="17"/>
      <c r="B2551" s="20"/>
      <c r="C2551" s="13"/>
      <c r="D2551" s="13"/>
      <c r="E2551" s="13"/>
      <c r="F2551" s="15"/>
      <c r="G2551" s="15"/>
      <c r="H2551" s="46"/>
      <c r="I2551" s="46"/>
      <c r="J2551" s="46"/>
      <c r="K2551" s="46"/>
      <c r="L2551" s="46"/>
      <c r="M2551" s="46"/>
      <c r="N2551" s="46"/>
      <c r="O2551" s="46"/>
      <c r="P2551" s="46"/>
      <c r="Q2551" s="46"/>
      <c r="R2551" s="46"/>
      <c r="S2551" s="46"/>
      <c r="T2551" s="46"/>
      <c r="U2551" s="46"/>
      <c r="V2551" s="46"/>
      <c r="W2551" s="46"/>
      <c r="X2551" s="46"/>
      <c r="Y2551" s="46"/>
      <c r="Z2551" s="46"/>
    </row>
    <row r="2552" ht="22.5" customHeight="1">
      <c r="A2552" s="17"/>
      <c r="B2552" s="20"/>
      <c r="C2552" s="13"/>
      <c r="D2552" s="13"/>
      <c r="E2552" s="13"/>
      <c r="F2552" s="15"/>
      <c r="G2552" s="15"/>
      <c r="H2552" s="46"/>
      <c r="I2552" s="46"/>
      <c r="J2552" s="46"/>
      <c r="K2552" s="46"/>
      <c r="L2552" s="46"/>
      <c r="M2552" s="46"/>
      <c r="N2552" s="46"/>
      <c r="O2552" s="46"/>
      <c r="P2552" s="46"/>
      <c r="Q2552" s="46"/>
      <c r="R2552" s="46"/>
      <c r="S2552" s="46"/>
      <c r="T2552" s="46"/>
      <c r="U2552" s="46"/>
      <c r="V2552" s="46"/>
      <c r="W2552" s="46"/>
      <c r="X2552" s="46"/>
      <c r="Y2552" s="46"/>
      <c r="Z2552" s="46"/>
    </row>
    <row r="2553" ht="22.5" customHeight="1">
      <c r="A2553" s="17"/>
      <c r="B2553" s="20"/>
      <c r="C2553" s="13"/>
      <c r="D2553" s="13"/>
      <c r="E2553" s="13"/>
      <c r="F2553" s="15"/>
      <c r="G2553" s="15"/>
      <c r="H2553" s="46"/>
      <c r="I2553" s="46"/>
      <c r="J2553" s="46"/>
      <c r="K2553" s="46"/>
      <c r="L2553" s="46"/>
      <c r="M2553" s="46"/>
      <c r="N2553" s="46"/>
      <c r="O2553" s="46"/>
      <c r="P2553" s="46"/>
      <c r="Q2553" s="46"/>
      <c r="R2553" s="46"/>
      <c r="S2553" s="46"/>
      <c r="T2553" s="46"/>
      <c r="U2553" s="46"/>
      <c r="V2553" s="46"/>
      <c r="W2553" s="46"/>
      <c r="X2553" s="46"/>
      <c r="Y2553" s="46"/>
      <c r="Z2553" s="46"/>
    </row>
    <row r="2554" ht="22.5" customHeight="1">
      <c r="A2554" s="17"/>
      <c r="B2554" s="20"/>
      <c r="C2554" s="13"/>
      <c r="D2554" s="13"/>
      <c r="E2554" s="13"/>
      <c r="F2554" s="15"/>
      <c r="G2554" s="15"/>
      <c r="H2554" s="46"/>
      <c r="I2554" s="46"/>
      <c r="J2554" s="46"/>
      <c r="K2554" s="46"/>
      <c r="L2554" s="46"/>
      <c r="M2554" s="46"/>
      <c r="N2554" s="46"/>
      <c r="O2554" s="46"/>
      <c r="P2554" s="46"/>
      <c r="Q2554" s="46"/>
      <c r="R2554" s="46"/>
      <c r="S2554" s="46"/>
      <c r="T2554" s="46"/>
      <c r="U2554" s="46"/>
      <c r="V2554" s="46"/>
      <c r="W2554" s="46"/>
      <c r="X2554" s="46"/>
      <c r="Y2554" s="46"/>
      <c r="Z2554" s="46"/>
    </row>
    <row r="2555" ht="22.5" customHeight="1">
      <c r="A2555" s="17"/>
      <c r="B2555" s="20"/>
      <c r="C2555" s="13"/>
      <c r="D2555" s="13"/>
      <c r="E2555" s="13"/>
      <c r="F2555" s="15"/>
      <c r="G2555" s="15"/>
      <c r="H2555" s="46"/>
      <c r="I2555" s="46"/>
      <c r="J2555" s="46"/>
      <c r="K2555" s="46"/>
      <c r="L2555" s="46"/>
      <c r="M2555" s="46"/>
      <c r="N2555" s="46"/>
      <c r="O2555" s="46"/>
      <c r="P2555" s="46"/>
      <c r="Q2555" s="46"/>
      <c r="R2555" s="46"/>
      <c r="S2555" s="46"/>
      <c r="T2555" s="46"/>
      <c r="U2555" s="46"/>
      <c r="V2555" s="46"/>
      <c r="W2555" s="46"/>
      <c r="X2555" s="46"/>
      <c r="Y2555" s="46"/>
      <c r="Z2555" s="46"/>
    </row>
    <row r="2556" ht="22.5" customHeight="1">
      <c r="A2556" s="17"/>
      <c r="B2556" s="20"/>
      <c r="C2556" s="13"/>
      <c r="D2556" s="13"/>
      <c r="E2556" s="13"/>
      <c r="F2556" s="15"/>
      <c r="G2556" s="15"/>
      <c r="H2556" s="46"/>
      <c r="I2556" s="46"/>
      <c r="J2556" s="46"/>
      <c r="K2556" s="46"/>
      <c r="L2556" s="46"/>
      <c r="M2556" s="46"/>
      <c r="N2556" s="46"/>
      <c r="O2556" s="46"/>
      <c r="P2556" s="46"/>
      <c r="Q2556" s="46"/>
      <c r="R2556" s="46"/>
      <c r="S2556" s="46"/>
      <c r="T2556" s="46"/>
      <c r="U2556" s="46"/>
      <c r="V2556" s="46"/>
      <c r="W2556" s="46"/>
      <c r="X2556" s="46"/>
      <c r="Y2556" s="46"/>
      <c r="Z2556" s="46"/>
    </row>
    <row r="2557" ht="22.5" customHeight="1">
      <c r="A2557" s="17"/>
      <c r="B2557" s="20"/>
      <c r="C2557" s="13"/>
      <c r="D2557" s="13"/>
      <c r="E2557" s="13"/>
      <c r="F2557" s="15"/>
      <c r="G2557" s="15"/>
      <c r="H2557" s="46"/>
      <c r="I2557" s="46"/>
      <c r="J2557" s="46"/>
      <c r="K2557" s="46"/>
      <c r="L2557" s="46"/>
      <c r="M2557" s="46"/>
      <c r="N2557" s="46"/>
      <c r="O2557" s="46"/>
      <c r="P2557" s="46"/>
      <c r="Q2557" s="46"/>
      <c r="R2557" s="46"/>
      <c r="S2557" s="46"/>
      <c r="T2557" s="46"/>
      <c r="U2557" s="46"/>
      <c r="V2557" s="46"/>
      <c r="W2557" s="46"/>
      <c r="X2557" s="46"/>
      <c r="Y2557" s="46"/>
      <c r="Z2557" s="46"/>
    </row>
    <row r="2558" ht="22.5" customHeight="1">
      <c r="A2558" s="17"/>
      <c r="B2558" s="20"/>
      <c r="C2558" s="13"/>
      <c r="D2558" s="13"/>
      <c r="E2558" s="13"/>
      <c r="F2558" s="15"/>
      <c r="G2558" s="15"/>
      <c r="H2558" s="46"/>
      <c r="I2558" s="46"/>
      <c r="J2558" s="46"/>
      <c r="K2558" s="46"/>
      <c r="L2558" s="46"/>
      <c r="M2558" s="46"/>
      <c r="N2558" s="46"/>
      <c r="O2558" s="46"/>
      <c r="P2558" s="46"/>
      <c r="Q2558" s="46"/>
      <c r="R2558" s="46"/>
      <c r="S2558" s="46"/>
      <c r="T2558" s="46"/>
      <c r="U2558" s="46"/>
      <c r="V2558" s="46"/>
      <c r="W2558" s="46"/>
      <c r="X2558" s="46"/>
      <c r="Y2558" s="46"/>
      <c r="Z2558" s="46"/>
    </row>
    <row r="2559" ht="22.5" customHeight="1">
      <c r="A2559" s="17"/>
      <c r="B2559" s="20"/>
      <c r="C2559" s="13"/>
      <c r="D2559" s="13"/>
      <c r="E2559" s="13"/>
      <c r="F2559" s="15"/>
      <c r="G2559" s="15"/>
      <c r="H2559" s="46"/>
      <c r="I2559" s="46"/>
      <c r="J2559" s="46"/>
      <c r="K2559" s="46"/>
      <c r="L2559" s="46"/>
      <c r="M2559" s="46"/>
      <c r="N2559" s="46"/>
      <c r="O2559" s="46"/>
      <c r="P2559" s="46"/>
      <c r="Q2559" s="46"/>
      <c r="R2559" s="46"/>
      <c r="S2559" s="46"/>
      <c r="T2559" s="46"/>
      <c r="U2559" s="46"/>
      <c r="V2559" s="46"/>
      <c r="W2559" s="46"/>
      <c r="X2559" s="46"/>
      <c r="Y2559" s="46"/>
      <c r="Z2559" s="46"/>
    </row>
    <row r="2560" ht="22.5" customHeight="1">
      <c r="A2560" s="17"/>
      <c r="B2560" s="20"/>
      <c r="C2560" s="13"/>
      <c r="D2560" s="13"/>
      <c r="E2560" s="13"/>
      <c r="F2560" s="15"/>
      <c r="G2560" s="15"/>
      <c r="H2560" s="46"/>
      <c r="I2560" s="46"/>
      <c r="J2560" s="46"/>
      <c r="K2560" s="46"/>
      <c r="L2560" s="46"/>
      <c r="M2560" s="46"/>
      <c r="N2560" s="46"/>
      <c r="O2560" s="46"/>
      <c r="P2560" s="46"/>
      <c r="Q2560" s="46"/>
      <c r="R2560" s="46"/>
      <c r="S2560" s="46"/>
      <c r="T2560" s="46"/>
      <c r="U2560" s="46"/>
      <c r="V2560" s="46"/>
      <c r="W2560" s="46"/>
      <c r="X2560" s="46"/>
      <c r="Y2560" s="46"/>
      <c r="Z2560" s="46"/>
    </row>
    <row r="2561" ht="22.5" customHeight="1">
      <c r="A2561" s="17"/>
      <c r="B2561" s="20"/>
      <c r="C2561" s="13"/>
      <c r="D2561" s="13"/>
      <c r="E2561" s="13"/>
      <c r="F2561" s="15"/>
      <c r="G2561" s="15"/>
      <c r="H2561" s="46"/>
      <c r="I2561" s="46"/>
      <c r="J2561" s="46"/>
      <c r="K2561" s="46"/>
      <c r="L2561" s="46"/>
      <c r="M2561" s="46"/>
      <c r="N2561" s="46"/>
      <c r="O2561" s="46"/>
      <c r="P2561" s="46"/>
      <c r="Q2561" s="46"/>
      <c r="R2561" s="46"/>
      <c r="S2561" s="46"/>
      <c r="T2561" s="46"/>
      <c r="U2561" s="46"/>
      <c r="V2561" s="46"/>
      <c r="W2561" s="46"/>
      <c r="X2561" s="46"/>
      <c r="Y2561" s="46"/>
      <c r="Z2561" s="46"/>
    </row>
    <row r="2562" ht="22.5" customHeight="1">
      <c r="A2562" s="17"/>
      <c r="B2562" s="20"/>
      <c r="C2562" s="13"/>
      <c r="D2562" s="13"/>
      <c r="E2562" s="13"/>
      <c r="F2562" s="15"/>
      <c r="G2562" s="15"/>
      <c r="H2562" s="46"/>
      <c r="I2562" s="46"/>
      <c r="J2562" s="46"/>
      <c r="K2562" s="46"/>
      <c r="L2562" s="46"/>
      <c r="M2562" s="46"/>
      <c r="N2562" s="46"/>
      <c r="O2562" s="46"/>
      <c r="P2562" s="46"/>
      <c r="Q2562" s="46"/>
      <c r="R2562" s="46"/>
      <c r="S2562" s="46"/>
      <c r="T2562" s="46"/>
      <c r="U2562" s="46"/>
      <c r="V2562" s="46"/>
      <c r="W2562" s="46"/>
      <c r="X2562" s="46"/>
      <c r="Y2562" s="46"/>
      <c r="Z2562" s="46"/>
    </row>
    <row r="2563" ht="22.5" customHeight="1">
      <c r="A2563" s="17"/>
      <c r="B2563" s="20"/>
      <c r="C2563" s="13"/>
      <c r="D2563" s="13"/>
      <c r="E2563" s="13"/>
      <c r="F2563" s="15"/>
      <c r="G2563" s="15"/>
      <c r="H2563" s="46"/>
      <c r="I2563" s="46"/>
      <c r="J2563" s="46"/>
      <c r="K2563" s="46"/>
      <c r="L2563" s="46"/>
      <c r="M2563" s="46"/>
      <c r="N2563" s="46"/>
      <c r="O2563" s="46"/>
      <c r="P2563" s="46"/>
      <c r="Q2563" s="46"/>
      <c r="R2563" s="46"/>
      <c r="S2563" s="46"/>
      <c r="T2563" s="46"/>
      <c r="U2563" s="46"/>
      <c r="V2563" s="46"/>
      <c r="W2563" s="46"/>
      <c r="X2563" s="46"/>
      <c r="Y2563" s="46"/>
      <c r="Z2563" s="46"/>
    </row>
    <row r="2564" ht="22.5" customHeight="1">
      <c r="A2564" s="17"/>
      <c r="B2564" s="20"/>
      <c r="C2564" s="13"/>
      <c r="D2564" s="13"/>
      <c r="E2564" s="13"/>
      <c r="F2564" s="15"/>
      <c r="G2564" s="15"/>
      <c r="H2564" s="46"/>
      <c r="I2564" s="46"/>
      <c r="J2564" s="46"/>
      <c r="K2564" s="46"/>
      <c r="L2564" s="46"/>
      <c r="M2564" s="46"/>
      <c r="N2564" s="46"/>
      <c r="O2564" s="46"/>
      <c r="P2564" s="46"/>
      <c r="Q2564" s="46"/>
      <c r="R2564" s="46"/>
      <c r="S2564" s="46"/>
      <c r="T2564" s="46"/>
      <c r="U2564" s="46"/>
      <c r="V2564" s="46"/>
      <c r="W2564" s="46"/>
      <c r="X2564" s="46"/>
      <c r="Y2564" s="46"/>
      <c r="Z2564" s="46"/>
    </row>
    <row r="2565" ht="22.5" customHeight="1">
      <c r="A2565" s="17"/>
      <c r="B2565" s="20"/>
      <c r="C2565" s="13"/>
      <c r="D2565" s="13"/>
      <c r="E2565" s="13"/>
      <c r="F2565" s="15"/>
      <c r="G2565" s="15"/>
      <c r="H2565" s="46"/>
      <c r="I2565" s="46"/>
      <c r="J2565" s="46"/>
      <c r="K2565" s="46"/>
      <c r="L2565" s="46"/>
      <c r="M2565" s="46"/>
      <c r="N2565" s="46"/>
      <c r="O2565" s="46"/>
      <c r="P2565" s="46"/>
      <c r="Q2565" s="46"/>
      <c r="R2565" s="46"/>
      <c r="S2565" s="46"/>
      <c r="T2565" s="46"/>
      <c r="U2565" s="46"/>
      <c r="V2565" s="46"/>
      <c r="W2565" s="46"/>
      <c r="X2565" s="46"/>
      <c r="Y2565" s="46"/>
      <c r="Z2565" s="46"/>
    </row>
    <row r="2566" ht="22.5" customHeight="1">
      <c r="A2566" s="17"/>
      <c r="B2566" s="20"/>
      <c r="C2566" s="13"/>
      <c r="D2566" s="13"/>
      <c r="E2566" s="13"/>
      <c r="F2566" s="15"/>
      <c r="G2566" s="15"/>
      <c r="H2566" s="46"/>
      <c r="I2566" s="46"/>
      <c r="J2566" s="46"/>
      <c r="K2566" s="46"/>
      <c r="L2566" s="46"/>
      <c r="M2566" s="46"/>
      <c r="N2566" s="46"/>
      <c r="O2566" s="46"/>
      <c r="P2566" s="46"/>
      <c r="Q2566" s="46"/>
      <c r="R2566" s="46"/>
      <c r="S2566" s="46"/>
      <c r="T2566" s="46"/>
      <c r="U2566" s="46"/>
      <c r="V2566" s="46"/>
      <c r="W2566" s="46"/>
      <c r="X2566" s="46"/>
      <c r="Y2566" s="46"/>
      <c r="Z2566" s="46"/>
    </row>
    <row r="2567" ht="22.5" customHeight="1">
      <c r="A2567" s="17"/>
      <c r="B2567" s="20"/>
      <c r="C2567" s="13"/>
      <c r="D2567" s="13"/>
      <c r="E2567" s="13"/>
      <c r="F2567" s="15"/>
      <c r="G2567" s="15"/>
      <c r="H2567" s="46"/>
      <c r="I2567" s="46"/>
      <c r="J2567" s="46"/>
      <c r="K2567" s="46"/>
      <c r="L2567" s="46"/>
      <c r="M2567" s="46"/>
      <c r="N2567" s="46"/>
      <c r="O2567" s="46"/>
      <c r="P2567" s="46"/>
      <c r="Q2567" s="46"/>
      <c r="R2567" s="46"/>
      <c r="S2567" s="46"/>
      <c r="T2567" s="46"/>
      <c r="U2567" s="46"/>
      <c r="V2567" s="46"/>
      <c r="W2567" s="46"/>
      <c r="X2567" s="46"/>
      <c r="Y2567" s="46"/>
      <c r="Z2567" s="46"/>
    </row>
    <row r="2568" ht="22.5" customHeight="1">
      <c r="A2568" s="17"/>
      <c r="B2568" s="20"/>
      <c r="C2568" s="13"/>
      <c r="D2568" s="13"/>
      <c r="E2568" s="13"/>
      <c r="F2568" s="15"/>
      <c r="G2568" s="15"/>
      <c r="H2568" s="46"/>
      <c r="I2568" s="46"/>
      <c r="J2568" s="46"/>
      <c r="K2568" s="46"/>
      <c r="L2568" s="46"/>
      <c r="M2568" s="46"/>
      <c r="N2568" s="46"/>
      <c r="O2568" s="46"/>
      <c r="P2568" s="46"/>
      <c r="Q2568" s="46"/>
      <c r="R2568" s="46"/>
      <c r="S2568" s="46"/>
      <c r="T2568" s="46"/>
      <c r="U2568" s="46"/>
      <c r="V2568" s="46"/>
      <c r="W2568" s="46"/>
      <c r="X2568" s="46"/>
      <c r="Y2568" s="46"/>
      <c r="Z2568" s="46"/>
    </row>
    <row r="2569" ht="22.5" customHeight="1">
      <c r="A2569" s="17"/>
      <c r="B2569" s="20"/>
      <c r="C2569" s="13"/>
      <c r="D2569" s="13"/>
      <c r="E2569" s="13"/>
      <c r="F2569" s="15"/>
      <c r="G2569" s="15"/>
      <c r="H2569" s="46"/>
      <c r="I2569" s="46"/>
      <c r="J2569" s="46"/>
      <c r="K2569" s="46"/>
      <c r="L2569" s="46"/>
      <c r="M2569" s="46"/>
      <c r="N2569" s="46"/>
      <c r="O2569" s="46"/>
      <c r="P2569" s="46"/>
      <c r="Q2569" s="46"/>
      <c r="R2569" s="46"/>
      <c r="S2569" s="46"/>
      <c r="T2569" s="46"/>
      <c r="U2569" s="46"/>
      <c r="V2569" s="46"/>
      <c r="W2569" s="46"/>
      <c r="X2569" s="46"/>
      <c r="Y2569" s="46"/>
      <c r="Z2569" s="46"/>
    </row>
    <row r="2570" ht="22.5" customHeight="1">
      <c r="A2570" s="17"/>
      <c r="B2570" s="20"/>
      <c r="C2570" s="13"/>
      <c r="D2570" s="13"/>
      <c r="E2570" s="13"/>
      <c r="F2570" s="15"/>
      <c r="G2570" s="15"/>
      <c r="H2570" s="46"/>
      <c r="I2570" s="46"/>
      <c r="J2570" s="46"/>
      <c r="K2570" s="46"/>
      <c r="L2570" s="46"/>
      <c r="M2570" s="46"/>
      <c r="N2570" s="46"/>
      <c r="O2570" s="46"/>
      <c r="P2570" s="46"/>
      <c r="Q2570" s="46"/>
      <c r="R2570" s="46"/>
      <c r="S2570" s="46"/>
      <c r="T2570" s="46"/>
      <c r="U2570" s="46"/>
      <c r="V2570" s="46"/>
      <c r="W2570" s="46"/>
      <c r="X2570" s="46"/>
      <c r="Y2570" s="46"/>
      <c r="Z2570" s="46"/>
    </row>
    <row r="2571" ht="22.5" customHeight="1">
      <c r="A2571" s="17"/>
      <c r="B2571" s="20"/>
      <c r="C2571" s="13"/>
      <c r="D2571" s="13"/>
      <c r="E2571" s="13"/>
      <c r="F2571" s="15"/>
      <c r="G2571" s="15"/>
      <c r="H2571" s="46"/>
      <c r="I2571" s="46"/>
      <c r="J2571" s="46"/>
      <c r="K2571" s="46"/>
      <c r="L2571" s="46"/>
      <c r="M2571" s="46"/>
      <c r="N2571" s="46"/>
      <c r="O2571" s="46"/>
      <c r="P2571" s="46"/>
      <c r="Q2571" s="46"/>
      <c r="R2571" s="46"/>
      <c r="S2571" s="46"/>
      <c r="T2571" s="46"/>
      <c r="U2571" s="46"/>
      <c r="V2571" s="46"/>
      <c r="W2571" s="46"/>
      <c r="X2571" s="46"/>
      <c r="Y2571" s="46"/>
      <c r="Z2571" s="46"/>
    </row>
    <row r="2572" ht="22.5" customHeight="1">
      <c r="A2572" s="17"/>
      <c r="B2572" s="20"/>
      <c r="C2572" s="13"/>
      <c r="D2572" s="13"/>
      <c r="E2572" s="13"/>
      <c r="F2572" s="15"/>
      <c r="G2572" s="15"/>
      <c r="H2572" s="46"/>
      <c r="I2572" s="46"/>
      <c r="J2572" s="46"/>
      <c r="K2572" s="46"/>
      <c r="L2572" s="46"/>
      <c r="M2572" s="46"/>
      <c r="N2572" s="46"/>
      <c r="O2572" s="46"/>
      <c r="P2572" s="46"/>
      <c r="Q2572" s="46"/>
      <c r="R2572" s="46"/>
      <c r="S2572" s="46"/>
      <c r="T2572" s="46"/>
      <c r="U2572" s="46"/>
      <c r="V2572" s="46"/>
      <c r="W2572" s="46"/>
      <c r="X2572" s="46"/>
      <c r="Y2572" s="46"/>
      <c r="Z2572" s="46"/>
    </row>
    <row r="2573" ht="22.5" customHeight="1">
      <c r="A2573" s="17"/>
      <c r="B2573" s="20"/>
      <c r="C2573" s="13"/>
      <c r="D2573" s="13"/>
      <c r="E2573" s="13"/>
      <c r="F2573" s="15"/>
      <c r="G2573" s="15"/>
      <c r="H2573" s="46"/>
      <c r="I2573" s="46"/>
      <c r="J2573" s="46"/>
      <c r="K2573" s="46"/>
      <c r="L2573" s="46"/>
      <c r="M2573" s="46"/>
      <c r="N2573" s="46"/>
      <c r="O2573" s="46"/>
      <c r="P2573" s="46"/>
      <c r="Q2573" s="46"/>
      <c r="R2573" s="46"/>
      <c r="S2573" s="46"/>
      <c r="T2573" s="46"/>
      <c r="U2573" s="46"/>
      <c r="V2573" s="46"/>
      <c r="W2573" s="46"/>
      <c r="X2573" s="46"/>
      <c r="Y2573" s="46"/>
      <c r="Z2573" s="46"/>
    </row>
    <row r="2574" ht="22.5" customHeight="1">
      <c r="A2574" s="17"/>
      <c r="B2574" s="20"/>
      <c r="C2574" s="13"/>
      <c r="D2574" s="13"/>
      <c r="E2574" s="13"/>
      <c r="F2574" s="15"/>
      <c r="G2574" s="15"/>
      <c r="H2574" s="46"/>
      <c r="I2574" s="46"/>
      <c r="J2574" s="46"/>
      <c r="K2574" s="46"/>
      <c r="L2574" s="46"/>
      <c r="M2574" s="46"/>
      <c r="N2574" s="46"/>
      <c r="O2574" s="46"/>
      <c r="P2574" s="46"/>
      <c r="Q2574" s="46"/>
      <c r="R2574" s="46"/>
      <c r="S2574" s="46"/>
      <c r="T2574" s="46"/>
      <c r="U2574" s="46"/>
      <c r="V2574" s="46"/>
      <c r="W2574" s="46"/>
      <c r="X2574" s="46"/>
      <c r="Y2574" s="46"/>
      <c r="Z2574" s="46"/>
    </row>
    <row r="2575" ht="22.5" customHeight="1">
      <c r="A2575" s="17"/>
      <c r="B2575" s="20"/>
      <c r="C2575" s="13"/>
      <c r="D2575" s="13"/>
      <c r="E2575" s="13"/>
      <c r="F2575" s="15"/>
      <c r="G2575" s="15"/>
      <c r="H2575" s="46"/>
      <c r="I2575" s="46"/>
      <c r="J2575" s="46"/>
      <c r="K2575" s="46"/>
      <c r="L2575" s="46"/>
      <c r="M2575" s="46"/>
      <c r="N2575" s="46"/>
      <c r="O2575" s="46"/>
      <c r="P2575" s="46"/>
      <c r="Q2575" s="46"/>
      <c r="R2575" s="46"/>
      <c r="S2575" s="46"/>
      <c r="T2575" s="46"/>
      <c r="U2575" s="46"/>
      <c r="V2575" s="46"/>
      <c r="W2575" s="46"/>
      <c r="X2575" s="46"/>
      <c r="Y2575" s="46"/>
      <c r="Z2575" s="46"/>
    </row>
    <row r="2576" ht="22.5" customHeight="1">
      <c r="A2576" s="17"/>
      <c r="B2576" s="20"/>
      <c r="C2576" s="13"/>
      <c r="D2576" s="13"/>
      <c r="E2576" s="13"/>
      <c r="F2576" s="15"/>
      <c r="G2576" s="15"/>
      <c r="H2576" s="46"/>
      <c r="I2576" s="46"/>
      <c r="J2576" s="46"/>
      <c r="K2576" s="46"/>
      <c r="L2576" s="46"/>
      <c r="M2576" s="46"/>
      <c r="N2576" s="46"/>
      <c r="O2576" s="46"/>
      <c r="P2576" s="46"/>
      <c r="Q2576" s="46"/>
      <c r="R2576" s="46"/>
      <c r="S2576" s="46"/>
      <c r="T2576" s="46"/>
      <c r="U2576" s="46"/>
      <c r="V2576" s="46"/>
      <c r="W2576" s="46"/>
      <c r="X2576" s="46"/>
      <c r="Y2576" s="46"/>
      <c r="Z2576" s="46"/>
    </row>
    <row r="2577" ht="22.5" customHeight="1">
      <c r="A2577" s="17"/>
      <c r="B2577" s="20"/>
      <c r="C2577" s="13"/>
      <c r="D2577" s="13"/>
      <c r="E2577" s="13"/>
      <c r="F2577" s="15"/>
      <c r="G2577" s="15"/>
      <c r="H2577" s="46"/>
      <c r="I2577" s="46"/>
      <c r="J2577" s="46"/>
      <c r="K2577" s="46"/>
      <c r="L2577" s="46"/>
      <c r="M2577" s="46"/>
      <c r="N2577" s="46"/>
      <c r="O2577" s="46"/>
      <c r="P2577" s="46"/>
      <c r="Q2577" s="46"/>
      <c r="R2577" s="46"/>
      <c r="S2577" s="46"/>
      <c r="T2577" s="46"/>
      <c r="U2577" s="46"/>
      <c r="V2577" s="46"/>
      <c r="W2577" s="46"/>
      <c r="X2577" s="46"/>
      <c r="Y2577" s="46"/>
      <c r="Z2577" s="46"/>
    </row>
    <row r="2578" ht="22.5" customHeight="1">
      <c r="A2578" s="17"/>
      <c r="B2578" s="20"/>
      <c r="C2578" s="13"/>
      <c r="D2578" s="13"/>
      <c r="E2578" s="13"/>
      <c r="F2578" s="15"/>
      <c r="G2578" s="15"/>
      <c r="H2578" s="46"/>
      <c r="I2578" s="46"/>
      <c r="J2578" s="46"/>
      <c r="K2578" s="46"/>
      <c r="L2578" s="46"/>
      <c r="M2578" s="46"/>
      <c r="N2578" s="46"/>
      <c r="O2578" s="46"/>
      <c r="P2578" s="46"/>
      <c r="Q2578" s="46"/>
      <c r="R2578" s="46"/>
      <c r="S2578" s="46"/>
      <c r="T2578" s="46"/>
      <c r="U2578" s="46"/>
      <c r="V2578" s="46"/>
      <c r="W2578" s="46"/>
      <c r="X2578" s="46"/>
      <c r="Y2578" s="46"/>
      <c r="Z2578" s="46"/>
    </row>
    <row r="2579" ht="22.5" customHeight="1">
      <c r="A2579" s="17"/>
      <c r="B2579" s="20"/>
      <c r="C2579" s="13"/>
      <c r="D2579" s="13"/>
      <c r="E2579" s="13"/>
      <c r="F2579" s="15"/>
      <c r="G2579" s="15"/>
      <c r="H2579" s="46"/>
      <c r="I2579" s="46"/>
      <c r="J2579" s="46"/>
      <c r="K2579" s="46"/>
      <c r="L2579" s="46"/>
      <c r="M2579" s="46"/>
      <c r="N2579" s="46"/>
      <c r="O2579" s="46"/>
      <c r="P2579" s="46"/>
      <c r="Q2579" s="46"/>
      <c r="R2579" s="46"/>
      <c r="S2579" s="46"/>
      <c r="T2579" s="46"/>
      <c r="U2579" s="46"/>
      <c r="V2579" s="46"/>
      <c r="W2579" s="46"/>
      <c r="X2579" s="46"/>
      <c r="Y2579" s="46"/>
      <c r="Z2579" s="46"/>
    </row>
    <row r="2580" ht="22.5" customHeight="1">
      <c r="A2580" s="17"/>
      <c r="B2580" s="20"/>
      <c r="C2580" s="13"/>
      <c r="D2580" s="13"/>
      <c r="E2580" s="13"/>
      <c r="F2580" s="15"/>
      <c r="G2580" s="15"/>
      <c r="H2580" s="46"/>
      <c r="I2580" s="46"/>
      <c r="J2580" s="46"/>
      <c r="K2580" s="46"/>
      <c r="L2580" s="46"/>
      <c r="M2580" s="46"/>
      <c r="N2580" s="46"/>
      <c r="O2580" s="46"/>
      <c r="P2580" s="46"/>
      <c r="Q2580" s="46"/>
      <c r="R2580" s="46"/>
      <c r="S2580" s="46"/>
      <c r="T2580" s="46"/>
      <c r="U2580" s="46"/>
      <c r="V2580" s="46"/>
      <c r="W2580" s="46"/>
      <c r="X2580" s="46"/>
      <c r="Y2580" s="46"/>
      <c r="Z2580" s="46"/>
    </row>
    <row r="2581" ht="22.5" customHeight="1">
      <c r="A2581" s="17"/>
      <c r="B2581" s="20"/>
      <c r="C2581" s="13"/>
      <c r="D2581" s="13"/>
      <c r="E2581" s="13"/>
      <c r="F2581" s="15"/>
      <c r="G2581" s="15"/>
      <c r="H2581" s="46"/>
      <c r="I2581" s="46"/>
      <c r="J2581" s="46"/>
      <c r="K2581" s="46"/>
      <c r="L2581" s="46"/>
      <c r="M2581" s="46"/>
      <c r="N2581" s="46"/>
      <c r="O2581" s="46"/>
      <c r="P2581" s="46"/>
      <c r="Q2581" s="46"/>
      <c r="R2581" s="46"/>
      <c r="S2581" s="46"/>
      <c r="T2581" s="46"/>
      <c r="U2581" s="46"/>
      <c r="V2581" s="46"/>
      <c r="W2581" s="46"/>
      <c r="X2581" s="46"/>
      <c r="Y2581" s="46"/>
      <c r="Z2581" s="46"/>
    </row>
    <row r="2582" ht="22.5" customHeight="1">
      <c r="A2582" s="17"/>
      <c r="B2582" s="20"/>
      <c r="C2582" s="13"/>
      <c r="D2582" s="13"/>
      <c r="E2582" s="13"/>
      <c r="F2582" s="15"/>
      <c r="G2582" s="15"/>
      <c r="H2582" s="46"/>
      <c r="I2582" s="46"/>
      <c r="J2582" s="46"/>
      <c r="K2582" s="46"/>
      <c r="L2582" s="46"/>
      <c r="M2582" s="46"/>
      <c r="N2582" s="46"/>
      <c r="O2582" s="46"/>
      <c r="P2582" s="46"/>
      <c r="Q2582" s="46"/>
      <c r="R2582" s="46"/>
      <c r="S2582" s="46"/>
      <c r="T2582" s="46"/>
      <c r="U2582" s="46"/>
      <c r="V2582" s="46"/>
      <c r="W2582" s="46"/>
      <c r="X2582" s="46"/>
      <c r="Y2582" s="46"/>
      <c r="Z2582" s="46"/>
    </row>
    <row r="2583" ht="22.5" customHeight="1">
      <c r="A2583" s="17"/>
      <c r="B2583" s="20"/>
      <c r="C2583" s="13"/>
      <c r="D2583" s="13"/>
      <c r="E2583" s="13"/>
      <c r="F2583" s="15"/>
      <c r="G2583" s="15"/>
      <c r="H2583" s="46"/>
      <c r="I2583" s="46"/>
      <c r="J2583" s="46"/>
      <c r="K2583" s="46"/>
      <c r="L2583" s="46"/>
      <c r="M2583" s="46"/>
      <c r="N2583" s="46"/>
      <c r="O2583" s="46"/>
      <c r="P2583" s="46"/>
      <c r="Q2583" s="46"/>
      <c r="R2583" s="46"/>
      <c r="S2583" s="46"/>
      <c r="T2583" s="46"/>
      <c r="U2583" s="46"/>
      <c r="V2583" s="46"/>
      <c r="W2583" s="46"/>
      <c r="X2583" s="46"/>
      <c r="Y2583" s="46"/>
      <c r="Z2583" s="46"/>
    </row>
    <row r="2584" ht="22.5" customHeight="1">
      <c r="A2584" s="17"/>
      <c r="B2584" s="20"/>
      <c r="C2584" s="13"/>
      <c r="D2584" s="13"/>
      <c r="E2584" s="13"/>
      <c r="F2584" s="15"/>
      <c r="G2584" s="15"/>
      <c r="H2584" s="46"/>
      <c r="I2584" s="46"/>
      <c r="J2584" s="46"/>
      <c r="K2584" s="46"/>
      <c r="L2584" s="46"/>
      <c r="M2584" s="46"/>
      <c r="N2584" s="46"/>
      <c r="O2584" s="46"/>
      <c r="P2584" s="46"/>
      <c r="Q2584" s="46"/>
      <c r="R2584" s="46"/>
      <c r="S2584" s="46"/>
      <c r="T2584" s="46"/>
      <c r="U2584" s="46"/>
      <c r="V2584" s="46"/>
      <c r="W2584" s="46"/>
      <c r="X2584" s="46"/>
      <c r="Y2584" s="46"/>
      <c r="Z2584" s="46"/>
    </row>
    <row r="2585" ht="22.5" customHeight="1">
      <c r="A2585" s="17"/>
      <c r="B2585" s="20"/>
      <c r="C2585" s="13"/>
      <c r="D2585" s="13"/>
      <c r="E2585" s="13"/>
      <c r="F2585" s="15"/>
      <c r="G2585" s="15"/>
      <c r="H2585" s="46"/>
      <c r="I2585" s="46"/>
      <c r="J2585" s="46"/>
      <c r="K2585" s="46"/>
      <c r="L2585" s="46"/>
      <c r="M2585" s="46"/>
      <c r="N2585" s="46"/>
      <c r="O2585" s="46"/>
      <c r="P2585" s="46"/>
      <c r="Q2585" s="46"/>
      <c r="R2585" s="46"/>
      <c r="S2585" s="46"/>
      <c r="T2585" s="46"/>
      <c r="U2585" s="46"/>
      <c r="V2585" s="46"/>
      <c r="W2585" s="46"/>
      <c r="X2585" s="46"/>
      <c r="Y2585" s="46"/>
      <c r="Z2585" s="46"/>
    </row>
    <row r="2586" ht="22.5" customHeight="1">
      <c r="A2586" s="17"/>
      <c r="B2586" s="20"/>
      <c r="C2586" s="13"/>
      <c r="D2586" s="13"/>
      <c r="E2586" s="13"/>
      <c r="F2586" s="15"/>
      <c r="G2586" s="15"/>
      <c r="H2586" s="46"/>
      <c r="I2586" s="46"/>
      <c r="J2586" s="46"/>
      <c r="K2586" s="46"/>
      <c r="L2586" s="46"/>
      <c r="M2586" s="46"/>
      <c r="N2586" s="46"/>
      <c r="O2586" s="46"/>
      <c r="P2586" s="46"/>
      <c r="Q2586" s="46"/>
      <c r="R2586" s="46"/>
      <c r="S2586" s="46"/>
      <c r="T2586" s="46"/>
      <c r="U2586" s="46"/>
      <c r="V2586" s="46"/>
      <c r="W2586" s="46"/>
      <c r="X2586" s="46"/>
      <c r="Y2586" s="46"/>
      <c r="Z2586" s="46"/>
    </row>
    <row r="2587" ht="22.5" customHeight="1">
      <c r="A2587" s="17"/>
      <c r="B2587" s="20"/>
      <c r="C2587" s="13"/>
      <c r="D2587" s="13"/>
      <c r="E2587" s="13"/>
      <c r="F2587" s="15"/>
      <c r="G2587" s="15"/>
      <c r="H2587" s="46"/>
      <c r="I2587" s="46"/>
      <c r="J2587" s="46"/>
      <c r="K2587" s="46"/>
      <c r="L2587" s="46"/>
      <c r="M2587" s="46"/>
      <c r="N2587" s="46"/>
      <c r="O2587" s="46"/>
      <c r="P2587" s="46"/>
      <c r="Q2587" s="46"/>
      <c r="R2587" s="46"/>
      <c r="S2587" s="46"/>
      <c r="T2587" s="46"/>
      <c r="U2587" s="46"/>
      <c r="V2587" s="46"/>
      <c r="W2587" s="46"/>
      <c r="X2587" s="46"/>
      <c r="Y2587" s="46"/>
      <c r="Z2587" s="46"/>
    </row>
    <row r="2588" ht="22.5" customHeight="1">
      <c r="A2588" s="17"/>
      <c r="B2588" s="20"/>
      <c r="C2588" s="13"/>
      <c r="D2588" s="13"/>
      <c r="E2588" s="13"/>
      <c r="F2588" s="15"/>
      <c r="G2588" s="15"/>
      <c r="H2588" s="46"/>
      <c r="I2588" s="46"/>
      <c r="J2588" s="46"/>
      <c r="K2588" s="46"/>
      <c r="L2588" s="46"/>
      <c r="M2588" s="46"/>
      <c r="N2588" s="46"/>
      <c r="O2588" s="46"/>
      <c r="P2588" s="46"/>
      <c r="Q2588" s="46"/>
      <c r="R2588" s="46"/>
      <c r="S2588" s="46"/>
      <c r="T2588" s="46"/>
      <c r="U2588" s="46"/>
      <c r="V2588" s="46"/>
      <c r="W2588" s="46"/>
      <c r="X2588" s="46"/>
      <c r="Y2588" s="46"/>
      <c r="Z2588" s="46"/>
    </row>
    <row r="2589" ht="22.5" customHeight="1">
      <c r="A2589" s="17"/>
      <c r="B2589" s="20"/>
      <c r="C2589" s="13"/>
      <c r="D2589" s="13"/>
      <c r="E2589" s="13"/>
      <c r="F2589" s="15"/>
      <c r="G2589" s="15"/>
      <c r="H2589" s="46"/>
      <c r="I2589" s="46"/>
      <c r="J2589" s="46"/>
      <c r="K2589" s="46"/>
      <c r="L2589" s="46"/>
      <c r="M2589" s="46"/>
      <c r="N2589" s="46"/>
      <c r="O2589" s="46"/>
      <c r="P2589" s="46"/>
      <c r="Q2589" s="46"/>
      <c r="R2589" s="46"/>
      <c r="S2589" s="46"/>
      <c r="T2589" s="46"/>
      <c r="U2589" s="46"/>
      <c r="V2589" s="46"/>
      <c r="W2589" s="46"/>
      <c r="X2589" s="46"/>
      <c r="Y2589" s="46"/>
      <c r="Z2589" s="46"/>
    </row>
    <row r="2590" ht="22.5" customHeight="1">
      <c r="A2590" s="17"/>
      <c r="B2590" s="20"/>
      <c r="C2590" s="13"/>
      <c r="D2590" s="13"/>
      <c r="E2590" s="13"/>
      <c r="F2590" s="15"/>
      <c r="G2590" s="15"/>
      <c r="H2590" s="46"/>
      <c r="I2590" s="46"/>
      <c r="J2590" s="46"/>
      <c r="K2590" s="46"/>
      <c r="L2590" s="46"/>
      <c r="M2590" s="46"/>
      <c r="N2590" s="46"/>
      <c r="O2590" s="46"/>
      <c r="P2590" s="46"/>
      <c r="Q2590" s="46"/>
      <c r="R2590" s="46"/>
      <c r="S2590" s="46"/>
      <c r="T2590" s="46"/>
      <c r="U2590" s="46"/>
      <c r="V2590" s="46"/>
      <c r="W2590" s="46"/>
      <c r="X2590" s="46"/>
      <c r="Y2590" s="46"/>
      <c r="Z2590" s="46"/>
    </row>
    <row r="2591" ht="22.5" customHeight="1">
      <c r="A2591" s="17"/>
      <c r="B2591" s="20"/>
      <c r="C2591" s="13"/>
      <c r="D2591" s="13"/>
      <c r="E2591" s="13"/>
      <c r="F2591" s="15"/>
      <c r="G2591" s="15"/>
      <c r="H2591" s="46"/>
      <c r="I2591" s="46"/>
      <c r="J2591" s="46"/>
      <c r="K2591" s="46"/>
      <c r="L2591" s="46"/>
      <c r="M2591" s="46"/>
      <c r="N2591" s="46"/>
      <c r="O2591" s="46"/>
      <c r="P2591" s="46"/>
      <c r="Q2591" s="46"/>
      <c r="R2591" s="46"/>
      <c r="S2591" s="46"/>
      <c r="T2591" s="46"/>
      <c r="U2591" s="46"/>
      <c r="V2591" s="46"/>
      <c r="W2591" s="46"/>
      <c r="X2591" s="46"/>
      <c r="Y2591" s="46"/>
      <c r="Z2591" s="46"/>
    </row>
    <row r="2592" ht="22.5" customHeight="1">
      <c r="A2592" s="17"/>
      <c r="B2592" s="20"/>
      <c r="C2592" s="13"/>
      <c r="D2592" s="13"/>
      <c r="E2592" s="13"/>
      <c r="F2592" s="15"/>
      <c r="G2592" s="15"/>
      <c r="H2592" s="46"/>
      <c r="I2592" s="46"/>
      <c r="J2592" s="46"/>
      <c r="K2592" s="46"/>
      <c r="L2592" s="46"/>
      <c r="M2592" s="46"/>
      <c r="N2592" s="46"/>
      <c r="O2592" s="46"/>
      <c r="P2592" s="46"/>
      <c r="Q2592" s="46"/>
      <c r="R2592" s="46"/>
      <c r="S2592" s="46"/>
      <c r="T2592" s="46"/>
      <c r="U2592" s="46"/>
      <c r="V2592" s="46"/>
      <c r="W2592" s="46"/>
      <c r="X2592" s="46"/>
      <c r="Y2592" s="46"/>
      <c r="Z2592" s="46"/>
    </row>
    <row r="2593" ht="22.5" customHeight="1">
      <c r="A2593" s="17"/>
      <c r="B2593" s="20"/>
      <c r="C2593" s="13"/>
      <c r="D2593" s="13"/>
      <c r="E2593" s="13"/>
      <c r="F2593" s="15"/>
      <c r="G2593" s="15"/>
      <c r="H2593" s="46"/>
      <c r="I2593" s="46"/>
      <c r="J2593" s="46"/>
      <c r="K2593" s="46"/>
      <c r="L2593" s="46"/>
      <c r="M2593" s="46"/>
      <c r="N2593" s="46"/>
      <c r="O2593" s="46"/>
      <c r="P2593" s="46"/>
      <c r="Q2593" s="46"/>
      <c r="R2593" s="46"/>
      <c r="S2593" s="46"/>
      <c r="T2593" s="46"/>
      <c r="U2593" s="46"/>
      <c r="V2593" s="46"/>
      <c r="W2593" s="46"/>
      <c r="X2593" s="46"/>
      <c r="Y2593" s="46"/>
      <c r="Z2593" s="46"/>
    </row>
    <row r="2594" ht="22.5" customHeight="1">
      <c r="A2594" s="17"/>
      <c r="B2594" s="20"/>
      <c r="C2594" s="13"/>
      <c r="D2594" s="13"/>
      <c r="E2594" s="13"/>
      <c r="F2594" s="15"/>
      <c r="G2594" s="15"/>
      <c r="H2594" s="46"/>
      <c r="I2594" s="46"/>
      <c r="J2594" s="46"/>
      <c r="K2594" s="46"/>
      <c r="L2594" s="46"/>
      <c r="M2594" s="46"/>
      <c r="N2594" s="46"/>
      <c r="O2594" s="46"/>
      <c r="P2594" s="46"/>
      <c r="Q2594" s="46"/>
      <c r="R2594" s="46"/>
      <c r="S2594" s="46"/>
      <c r="T2594" s="46"/>
      <c r="U2594" s="46"/>
      <c r="V2594" s="46"/>
      <c r="W2594" s="46"/>
      <c r="X2594" s="46"/>
      <c r="Y2594" s="46"/>
      <c r="Z2594" s="46"/>
    </row>
    <row r="2595" ht="22.5" customHeight="1">
      <c r="A2595" s="17"/>
      <c r="B2595" s="20"/>
      <c r="C2595" s="13"/>
      <c r="D2595" s="13"/>
      <c r="E2595" s="13"/>
      <c r="F2595" s="15"/>
      <c r="G2595" s="15"/>
      <c r="H2595" s="46"/>
      <c r="I2595" s="46"/>
      <c r="J2595" s="46"/>
      <c r="K2595" s="46"/>
      <c r="L2595" s="46"/>
      <c r="M2595" s="46"/>
      <c r="N2595" s="46"/>
      <c r="O2595" s="46"/>
      <c r="P2595" s="46"/>
      <c r="Q2595" s="46"/>
      <c r="R2595" s="46"/>
      <c r="S2595" s="46"/>
      <c r="T2595" s="46"/>
      <c r="U2595" s="46"/>
      <c r="V2595" s="46"/>
      <c r="W2595" s="46"/>
      <c r="X2595" s="46"/>
      <c r="Y2595" s="46"/>
      <c r="Z2595" s="46"/>
    </row>
    <row r="2596" ht="22.5" customHeight="1">
      <c r="A2596" s="17"/>
      <c r="B2596" s="20"/>
      <c r="C2596" s="13"/>
      <c r="D2596" s="13"/>
      <c r="E2596" s="13"/>
      <c r="F2596" s="15"/>
      <c r="G2596" s="15"/>
      <c r="H2596" s="46"/>
      <c r="I2596" s="46"/>
      <c r="J2596" s="46"/>
      <c r="K2596" s="46"/>
      <c r="L2596" s="46"/>
      <c r="M2596" s="46"/>
      <c r="N2596" s="46"/>
      <c r="O2596" s="46"/>
      <c r="P2596" s="46"/>
      <c r="Q2596" s="46"/>
      <c r="R2596" s="46"/>
      <c r="S2596" s="46"/>
      <c r="T2596" s="46"/>
      <c r="U2596" s="46"/>
      <c r="V2596" s="46"/>
      <c r="W2596" s="46"/>
      <c r="X2596" s="46"/>
      <c r="Y2596" s="46"/>
      <c r="Z2596" s="46"/>
    </row>
    <row r="2597" ht="22.5" customHeight="1">
      <c r="A2597" s="17"/>
      <c r="B2597" s="20"/>
      <c r="C2597" s="13"/>
      <c r="D2597" s="13"/>
      <c r="E2597" s="13"/>
      <c r="F2597" s="15"/>
      <c r="G2597" s="15"/>
      <c r="H2597" s="46"/>
      <c r="I2597" s="46"/>
      <c r="J2597" s="46"/>
      <c r="K2597" s="46"/>
      <c r="L2597" s="46"/>
      <c r="M2597" s="46"/>
      <c r="N2597" s="46"/>
      <c r="O2597" s="46"/>
      <c r="P2597" s="46"/>
      <c r="Q2597" s="46"/>
      <c r="R2597" s="46"/>
      <c r="S2597" s="46"/>
      <c r="T2597" s="46"/>
      <c r="U2597" s="46"/>
      <c r="V2597" s="46"/>
      <c r="W2597" s="46"/>
      <c r="X2597" s="46"/>
      <c r="Y2597" s="46"/>
      <c r="Z2597" s="46"/>
    </row>
    <row r="2598" ht="22.5" customHeight="1">
      <c r="A2598" s="17"/>
      <c r="B2598" s="20"/>
      <c r="C2598" s="13"/>
      <c r="D2598" s="13"/>
      <c r="E2598" s="13"/>
      <c r="F2598" s="15"/>
      <c r="G2598" s="15"/>
      <c r="H2598" s="46"/>
      <c r="I2598" s="46"/>
      <c r="J2598" s="46"/>
      <c r="K2598" s="46"/>
      <c r="L2598" s="46"/>
      <c r="M2598" s="46"/>
      <c r="N2598" s="46"/>
      <c r="O2598" s="46"/>
      <c r="P2598" s="46"/>
      <c r="Q2598" s="46"/>
      <c r="R2598" s="46"/>
      <c r="S2598" s="46"/>
      <c r="T2598" s="46"/>
      <c r="U2598" s="46"/>
      <c r="V2598" s="46"/>
      <c r="W2598" s="46"/>
      <c r="X2598" s="46"/>
      <c r="Y2598" s="46"/>
      <c r="Z2598" s="46"/>
    </row>
    <row r="2599" ht="22.5" customHeight="1">
      <c r="A2599" s="17"/>
      <c r="B2599" s="20"/>
      <c r="C2599" s="13"/>
      <c r="D2599" s="13"/>
      <c r="E2599" s="13"/>
      <c r="F2599" s="15"/>
      <c r="G2599" s="15"/>
      <c r="H2599" s="46"/>
      <c r="I2599" s="46"/>
      <c r="J2599" s="46"/>
      <c r="K2599" s="46"/>
      <c r="L2599" s="46"/>
      <c r="M2599" s="46"/>
      <c r="N2599" s="46"/>
      <c r="O2599" s="46"/>
      <c r="P2599" s="46"/>
      <c r="Q2599" s="46"/>
      <c r="R2599" s="46"/>
      <c r="S2599" s="46"/>
      <c r="T2599" s="46"/>
      <c r="U2599" s="46"/>
      <c r="V2599" s="46"/>
      <c r="W2599" s="46"/>
      <c r="X2599" s="46"/>
      <c r="Y2599" s="46"/>
      <c r="Z2599" s="46"/>
    </row>
    <row r="2600" ht="22.5" customHeight="1">
      <c r="A2600" s="17"/>
      <c r="B2600" s="20"/>
      <c r="C2600" s="13"/>
      <c r="D2600" s="13"/>
      <c r="E2600" s="13"/>
      <c r="F2600" s="15"/>
      <c r="G2600" s="15"/>
      <c r="H2600" s="46"/>
      <c r="I2600" s="46"/>
      <c r="J2600" s="46"/>
      <c r="K2600" s="46"/>
      <c r="L2600" s="46"/>
      <c r="M2600" s="46"/>
      <c r="N2600" s="46"/>
      <c r="O2600" s="46"/>
      <c r="P2600" s="46"/>
      <c r="Q2600" s="46"/>
      <c r="R2600" s="46"/>
      <c r="S2600" s="46"/>
      <c r="T2600" s="46"/>
      <c r="U2600" s="46"/>
      <c r="V2600" s="46"/>
      <c r="W2600" s="46"/>
      <c r="X2600" s="46"/>
      <c r="Y2600" s="46"/>
      <c r="Z2600" s="46"/>
    </row>
    <row r="2601" ht="22.5" customHeight="1">
      <c r="A2601" s="17"/>
      <c r="B2601" s="20"/>
      <c r="C2601" s="13"/>
      <c r="D2601" s="13"/>
      <c r="E2601" s="13"/>
      <c r="F2601" s="15"/>
      <c r="G2601" s="15"/>
      <c r="H2601" s="46"/>
      <c r="I2601" s="46"/>
      <c r="J2601" s="46"/>
      <c r="K2601" s="46"/>
      <c r="L2601" s="46"/>
      <c r="M2601" s="46"/>
      <c r="N2601" s="46"/>
      <c r="O2601" s="46"/>
      <c r="P2601" s="46"/>
      <c r="Q2601" s="46"/>
      <c r="R2601" s="46"/>
      <c r="S2601" s="46"/>
      <c r="T2601" s="46"/>
      <c r="U2601" s="46"/>
      <c r="V2601" s="46"/>
      <c r="W2601" s="46"/>
      <c r="X2601" s="46"/>
      <c r="Y2601" s="46"/>
      <c r="Z2601" s="46"/>
    </row>
    <row r="2602" ht="22.5" customHeight="1">
      <c r="A2602" s="17"/>
      <c r="B2602" s="20"/>
      <c r="C2602" s="13"/>
      <c r="D2602" s="13"/>
      <c r="E2602" s="13"/>
      <c r="F2602" s="15"/>
      <c r="G2602" s="15"/>
      <c r="H2602" s="46"/>
      <c r="I2602" s="46"/>
      <c r="J2602" s="46"/>
      <c r="K2602" s="46"/>
      <c r="L2602" s="46"/>
      <c r="M2602" s="46"/>
      <c r="N2602" s="46"/>
      <c r="O2602" s="46"/>
      <c r="P2602" s="46"/>
      <c r="Q2602" s="46"/>
      <c r="R2602" s="46"/>
      <c r="S2602" s="46"/>
      <c r="T2602" s="46"/>
      <c r="U2602" s="46"/>
      <c r="V2602" s="46"/>
      <c r="W2602" s="46"/>
      <c r="X2602" s="46"/>
      <c r="Y2602" s="46"/>
      <c r="Z2602" s="46"/>
    </row>
    <row r="2603" ht="22.5" customHeight="1">
      <c r="A2603" s="17"/>
      <c r="B2603" s="20"/>
      <c r="C2603" s="13"/>
      <c r="D2603" s="13"/>
      <c r="E2603" s="13"/>
      <c r="F2603" s="15"/>
      <c r="G2603" s="15"/>
      <c r="H2603" s="46"/>
      <c r="I2603" s="46"/>
      <c r="J2603" s="46"/>
      <c r="K2603" s="46"/>
      <c r="L2603" s="46"/>
      <c r="M2603" s="46"/>
      <c r="N2603" s="46"/>
      <c r="O2603" s="46"/>
      <c r="P2603" s="46"/>
      <c r="Q2603" s="46"/>
      <c r="R2603" s="46"/>
      <c r="S2603" s="46"/>
      <c r="T2603" s="46"/>
      <c r="U2603" s="46"/>
      <c r="V2603" s="46"/>
      <c r="W2603" s="46"/>
      <c r="X2603" s="46"/>
      <c r="Y2603" s="46"/>
      <c r="Z2603" s="46"/>
    </row>
    <row r="2604" ht="22.5" customHeight="1">
      <c r="A2604" s="17"/>
      <c r="B2604" s="20"/>
      <c r="C2604" s="13"/>
      <c r="D2604" s="13"/>
      <c r="E2604" s="13"/>
      <c r="F2604" s="15"/>
      <c r="G2604" s="15"/>
      <c r="H2604" s="46"/>
      <c r="I2604" s="46"/>
      <c r="J2604" s="46"/>
      <c r="K2604" s="46"/>
      <c r="L2604" s="46"/>
      <c r="M2604" s="46"/>
      <c r="N2604" s="46"/>
      <c r="O2604" s="46"/>
      <c r="P2604" s="46"/>
      <c r="Q2604" s="46"/>
      <c r="R2604" s="46"/>
      <c r="S2604" s="46"/>
      <c r="T2604" s="46"/>
      <c r="U2604" s="46"/>
      <c r="V2604" s="46"/>
      <c r="W2604" s="46"/>
      <c r="X2604" s="46"/>
      <c r="Y2604" s="46"/>
      <c r="Z2604" s="46"/>
    </row>
    <row r="2605" ht="22.5" customHeight="1">
      <c r="A2605" s="17"/>
      <c r="B2605" s="20"/>
      <c r="C2605" s="13"/>
      <c r="D2605" s="13"/>
      <c r="E2605" s="13"/>
      <c r="F2605" s="15"/>
      <c r="G2605" s="15"/>
      <c r="H2605" s="46"/>
      <c r="I2605" s="46"/>
      <c r="J2605" s="46"/>
      <c r="K2605" s="46"/>
      <c r="L2605" s="46"/>
      <c r="M2605" s="46"/>
      <c r="N2605" s="46"/>
      <c r="O2605" s="46"/>
      <c r="P2605" s="46"/>
      <c r="Q2605" s="46"/>
      <c r="R2605" s="46"/>
      <c r="S2605" s="46"/>
      <c r="T2605" s="46"/>
      <c r="U2605" s="46"/>
      <c r="V2605" s="46"/>
      <c r="W2605" s="46"/>
      <c r="X2605" s="46"/>
      <c r="Y2605" s="46"/>
      <c r="Z2605" s="46"/>
    </row>
    <row r="2606" ht="22.5" customHeight="1">
      <c r="A2606" s="17"/>
      <c r="B2606" s="20"/>
      <c r="C2606" s="13"/>
      <c r="D2606" s="13"/>
      <c r="E2606" s="13"/>
      <c r="F2606" s="15"/>
      <c r="G2606" s="15"/>
      <c r="H2606" s="46"/>
      <c r="I2606" s="46"/>
      <c r="J2606" s="46"/>
      <c r="K2606" s="46"/>
      <c r="L2606" s="46"/>
      <c r="M2606" s="46"/>
      <c r="N2606" s="46"/>
      <c r="O2606" s="46"/>
      <c r="P2606" s="46"/>
      <c r="Q2606" s="46"/>
      <c r="R2606" s="46"/>
      <c r="S2606" s="46"/>
      <c r="T2606" s="46"/>
      <c r="U2606" s="46"/>
      <c r="V2606" s="46"/>
      <c r="W2606" s="46"/>
      <c r="X2606" s="46"/>
      <c r="Y2606" s="46"/>
      <c r="Z2606" s="46"/>
    </row>
    <row r="2607" ht="22.5" customHeight="1">
      <c r="A2607" s="17"/>
      <c r="B2607" s="20"/>
      <c r="C2607" s="13"/>
      <c r="D2607" s="13"/>
      <c r="E2607" s="13"/>
      <c r="F2607" s="15"/>
      <c r="G2607" s="15"/>
      <c r="H2607" s="46"/>
      <c r="I2607" s="46"/>
      <c r="J2607" s="46"/>
      <c r="K2607" s="46"/>
      <c r="L2607" s="46"/>
      <c r="M2607" s="46"/>
      <c r="N2607" s="46"/>
      <c r="O2607" s="46"/>
      <c r="P2607" s="46"/>
      <c r="Q2607" s="46"/>
      <c r="R2607" s="46"/>
      <c r="S2607" s="46"/>
      <c r="T2607" s="46"/>
      <c r="U2607" s="46"/>
      <c r="V2607" s="46"/>
      <c r="W2607" s="46"/>
      <c r="X2607" s="46"/>
      <c r="Y2607" s="46"/>
      <c r="Z2607" s="46"/>
    </row>
    <row r="2608" ht="22.5" customHeight="1">
      <c r="A2608" s="17"/>
      <c r="B2608" s="20"/>
      <c r="C2608" s="13"/>
      <c r="D2608" s="13"/>
      <c r="E2608" s="13"/>
      <c r="F2608" s="15"/>
      <c r="G2608" s="15"/>
      <c r="H2608" s="46"/>
      <c r="I2608" s="46"/>
      <c r="J2608" s="46"/>
      <c r="K2608" s="46"/>
      <c r="L2608" s="46"/>
      <c r="M2608" s="46"/>
      <c r="N2608" s="46"/>
      <c r="O2608" s="46"/>
      <c r="P2608" s="46"/>
      <c r="Q2608" s="46"/>
      <c r="R2608" s="46"/>
      <c r="S2608" s="46"/>
      <c r="T2608" s="46"/>
      <c r="U2608" s="46"/>
      <c r="V2608" s="46"/>
      <c r="W2608" s="46"/>
      <c r="X2608" s="46"/>
      <c r="Y2608" s="46"/>
      <c r="Z2608" s="46"/>
    </row>
    <row r="2609" ht="22.5" customHeight="1">
      <c r="A2609" s="17"/>
      <c r="B2609" s="20"/>
      <c r="C2609" s="13"/>
      <c r="D2609" s="13"/>
      <c r="E2609" s="13"/>
      <c r="F2609" s="15"/>
      <c r="G2609" s="15"/>
      <c r="H2609" s="46"/>
      <c r="I2609" s="46"/>
      <c r="J2609" s="46"/>
      <c r="K2609" s="46"/>
      <c r="L2609" s="46"/>
      <c r="M2609" s="46"/>
      <c r="N2609" s="46"/>
      <c r="O2609" s="46"/>
      <c r="P2609" s="46"/>
      <c r="Q2609" s="46"/>
      <c r="R2609" s="46"/>
      <c r="S2609" s="46"/>
      <c r="T2609" s="46"/>
      <c r="U2609" s="46"/>
      <c r="V2609" s="46"/>
      <c r="W2609" s="46"/>
      <c r="X2609" s="46"/>
      <c r="Y2609" s="46"/>
      <c r="Z2609" s="46"/>
    </row>
    <row r="2610" ht="22.5" customHeight="1">
      <c r="A2610" s="17"/>
      <c r="B2610" s="20"/>
      <c r="C2610" s="13"/>
      <c r="D2610" s="13"/>
      <c r="E2610" s="13"/>
      <c r="F2610" s="15"/>
      <c r="G2610" s="15"/>
      <c r="H2610" s="46"/>
      <c r="I2610" s="46"/>
      <c r="J2610" s="46"/>
      <c r="K2610" s="46"/>
      <c r="L2610" s="46"/>
      <c r="M2610" s="46"/>
      <c r="N2610" s="46"/>
      <c r="O2610" s="46"/>
      <c r="P2610" s="46"/>
      <c r="Q2610" s="46"/>
      <c r="R2610" s="46"/>
      <c r="S2610" s="46"/>
      <c r="T2610" s="46"/>
      <c r="U2610" s="46"/>
      <c r="V2610" s="46"/>
      <c r="W2610" s="46"/>
      <c r="X2610" s="46"/>
      <c r="Y2610" s="46"/>
      <c r="Z2610" s="46"/>
    </row>
    <row r="2611" ht="22.5" customHeight="1">
      <c r="A2611" s="17"/>
      <c r="B2611" s="20"/>
      <c r="C2611" s="13"/>
      <c r="D2611" s="13"/>
      <c r="E2611" s="13"/>
      <c r="F2611" s="15"/>
      <c r="G2611" s="15"/>
      <c r="H2611" s="46"/>
      <c r="I2611" s="46"/>
      <c r="J2611" s="46"/>
      <c r="K2611" s="46"/>
      <c r="L2611" s="46"/>
      <c r="M2611" s="46"/>
      <c r="N2611" s="46"/>
      <c r="O2611" s="46"/>
      <c r="P2611" s="46"/>
      <c r="Q2611" s="46"/>
      <c r="R2611" s="46"/>
      <c r="S2611" s="46"/>
      <c r="T2611" s="46"/>
      <c r="U2611" s="46"/>
      <c r="V2611" s="46"/>
      <c r="W2611" s="46"/>
      <c r="X2611" s="46"/>
      <c r="Y2611" s="46"/>
      <c r="Z2611" s="46"/>
    </row>
    <row r="2612" ht="22.5" customHeight="1">
      <c r="A2612" s="17"/>
      <c r="B2612" s="20"/>
      <c r="C2612" s="13"/>
      <c r="D2612" s="13"/>
      <c r="E2612" s="13"/>
      <c r="F2612" s="15"/>
      <c r="G2612" s="15"/>
      <c r="H2612" s="46"/>
      <c r="I2612" s="46"/>
      <c r="J2612" s="46"/>
      <c r="K2612" s="46"/>
      <c r="L2612" s="46"/>
      <c r="M2612" s="46"/>
      <c r="N2612" s="46"/>
      <c r="O2612" s="46"/>
      <c r="P2612" s="46"/>
      <c r="Q2612" s="46"/>
      <c r="R2612" s="46"/>
      <c r="S2612" s="46"/>
      <c r="T2612" s="46"/>
      <c r="U2612" s="46"/>
      <c r="V2612" s="46"/>
      <c r="W2612" s="46"/>
      <c r="X2612" s="46"/>
      <c r="Y2612" s="46"/>
      <c r="Z2612" s="46"/>
    </row>
    <row r="2613" ht="22.5" customHeight="1">
      <c r="A2613" s="17"/>
      <c r="B2613" s="20"/>
      <c r="C2613" s="13"/>
      <c r="D2613" s="13"/>
      <c r="E2613" s="13"/>
      <c r="F2613" s="15"/>
      <c r="G2613" s="15"/>
      <c r="H2613" s="46"/>
      <c r="I2613" s="46"/>
      <c r="J2613" s="46"/>
      <c r="K2613" s="46"/>
      <c r="L2613" s="46"/>
      <c r="M2613" s="46"/>
      <c r="N2613" s="46"/>
      <c r="O2613" s="46"/>
      <c r="P2613" s="46"/>
      <c r="Q2613" s="46"/>
      <c r="R2613" s="46"/>
      <c r="S2613" s="46"/>
      <c r="T2613" s="46"/>
      <c r="U2613" s="46"/>
      <c r="V2613" s="46"/>
      <c r="W2613" s="46"/>
      <c r="X2613" s="46"/>
      <c r="Y2613" s="46"/>
      <c r="Z2613" s="46"/>
    </row>
    <row r="2614" ht="22.5" customHeight="1">
      <c r="A2614" s="17"/>
      <c r="B2614" s="20"/>
      <c r="C2614" s="13"/>
      <c r="D2614" s="13"/>
      <c r="E2614" s="13"/>
      <c r="F2614" s="15"/>
      <c r="G2614" s="15"/>
      <c r="H2614" s="46"/>
      <c r="I2614" s="46"/>
      <c r="J2614" s="46"/>
      <c r="K2614" s="46"/>
      <c r="L2614" s="46"/>
      <c r="M2614" s="46"/>
      <c r="N2614" s="46"/>
      <c r="O2614" s="46"/>
      <c r="P2614" s="46"/>
      <c r="Q2614" s="46"/>
      <c r="R2614" s="46"/>
      <c r="S2614" s="46"/>
      <c r="T2614" s="46"/>
      <c r="U2614" s="46"/>
      <c r="V2614" s="46"/>
      <c r="W2614" s="46"/>
      <c r="X2614" s="46"/>
      <c r="Y2614" s="46"/>
      <c r="Z2614" s="46"/>
    </row>
    <row r="2615" ht="22.5" customHeight="1">
      <c r="A2615" s="17"/>
      <c r="B2615" s="20"/>
      <c r="C2615" s="13"/>
      <c r="D2615" s="13"/>
      <c r="E2615" s="13"/>
      <c r="F2615" s="15"/>
      <c r="G2615" s="15"/>
      <c r="H2615" s="46"/>
      <c r="I2615" s="46"/>
      <c r="J2615" s="46"/>
      <c r="K2615" s="46"/>
      <c r="L2615" s="46"/>
      <c r="M2615" s="46"/>
      <c r="N2615" s="46"/>
      <c r="O2615" s="46"/>
      <c r="P2615" s="46"/>
      <c r="Q2615" s="46"/>
      <c r="R2615" s="46"/>
      <c r="S2615" s="46"/>
      <c r="T2615" s="46"/>
      <c r="U2615" s="46"/>
      <c r="V2615" s="46"/>
      <c r="W2615" s="46"/>
      <c r="X2615" s="46"/>
      <c r="Y2615" s="46"/>
      <c r="Z2615" s="46"/>
    </row>
    <row r="2616" ht="22.5" customHeight="1">
      <c r="A2616" s="17"/>
      <c r="B2616" s="20"/>
      <c r="C2616" s="13"/>
      <c r="D2616" s="13"/>
      <c r="E2616" s="13"/>
      <c r="F2616" s="15"/>
      <c r="G2616" s="15"/>
      <c r="H2616" s="46"/>
      <c r="I2616" s="46"/>
      <c r="J2616" s="46"/>
      <c r="K2616" s="46"/>
      <c r="L2616" s="46"/>
      <c r="M2616" s="46"/>
      <c r="N2616" s="46"/>
      <c r="O2616" s="46"/>
      <c r="P2616" s="46"/>
      <c r="Q2616" s="46"/>
      <c r="R2616" s="46"/>
      <c r="S2616" s="46"/>
      <c r="T2616" s="46"/>
      <c r="U2616" s="46"/>
      <c r="V2616" s="46"/>
      <c r="W2616" s="46"/>
      <c r="X2616" s="46"/>
      <c r="Y2616" s="46"/>
      <c r="Z2616" s="46"/>
    </row>
    <row r="2617" ht="22.5" customHeight="1">
      <c r="A2617" s="17"/>
      <c r="B2617" s="20"/>
      <c r="C2617" s="13"/>
      <c r="D2617" s="13"/>
      <c r="E2617" s="13"/>
      <c r="F2617" s="15"/>
      <c r="G2617" s="15"/>
      <c r="H2617" s="46"/>
      <c r="I2617" s="46"/>
      <c r="J2617" s="46"/>
      <c r="K2617" s="46"/>
      <c r="L2617" s="46"/>
      <c r="M2617" s="46"/>
      <c r="N2617" s="46"/>
      <c r="O2617" s="46"/>
      <c r="P2617" s="46"/>
      <c r="Q2617" s="46"/>
      <c r="R2617" s="46"/>
      <c r="S2617" s="46"/>
      <c r="T2617" s="46"/>
      <c r="U2617" s="46"/>
      <c r="V2617" s="46"/>
      <c r="W2617" s="46"/>
      <c r="X2617" s="46"/>
      <c r="Y2617" s="46"/>
      <c r="Z2617" s="46"/>
    </row>
    <row r="2618" ht="22.5" customHeight="1">
      <c r="A2618" s="17"/>
      <c r="B2618" s="20"/>
      <c r="C2618" s="13"/>
      <c r="D2618" s="13"/>
      <c r="E2618" s="13"/>
      <c r="F2618" s="15"/>
      <c r="G2618" s="15"/>
      <c r="H2618" s="46"/>
      <c r="I2618" s="46"/>
      <c r="J2618" s="46"/>
      <c r="K2618" s="46"/>
      <c r="L2618" s="46"/>
      <c r="M2618" s="46"/>
      <c r="N2618" s="46"/>
      <c r="O2618" s="46"/>
      <c r="P2618" s="46"/>
      <c r="Q2618" s="46"/>
      <c r="R2618" s="46"/>
      <c r="S2618" s="46"/>
      <c r="T2618" s="46"/>
      <c r="U2618" s="46"/>
      <c r="V2618" s="46"/>
      <c r="W2618" s="46"/>
      <c r="X2618" s="46"/>
      <c r="Y2618" s="46"/>
      <c r="Z2618" s="46"/>
    </row>
    <row r="2619" ht="22.5" customHeight="1">
      <c r="A2619" s="17"/>
      <c r="B2619" s="20"/>
      <c r="C2619" s="13"/>
      <c r="D2619" s="13"/>
      <c r="E2619" s="13"/>
      <c r="F2619" s="15"/>
      <c r="G2619" s="15"/>
      <c r="H2619" s="46"/>
      <c r="I2619" s="46"/>
      <c r="J2619" s="46"/>
      <c r="K2619" s="46"/>
      <c r="L2619" s="46"/>
      <c r="M2619" s="46"/>
      <c r="N2619" s="46"/>
      <c r="O2619" s="46"/>
      <c r="P2619" s="46"/>
      <c r="Q2619" s="46"/>
      <c r="R2619" s="46"/>
      <c r="S2619" s="46"/>
      <c r="T2619" s="46"/>
      <c r="U2619" s="46"/>
      <c r="V2619" s="46"/>
      <c r="W2619" s="46"/>
      <c r="X2619" s="46"/>
      <c r="Y2619" s="46"/>
      <c r="Z2619" s="46"/>
    </row>
    <row r="2620" ht="22.5" customHeight="1">
      <c r="A2620" s="17"/>
      <c r="B2620" s="20"/>
      <c r="C2620" s="13"/>
      <c r="D2620" s="13"/>
      <c r="E2620" s="13"/>
      <c r="F2620" s="15"/>
      <c r="G2620" s="15"/>
      <c r="H2620" s="46"/>
      <c r="I2620" s="46"/>
      <c r="J2620" s="46"/>
      <c r="K2620" s="46"/>
      <c r="L2620" s="46"/>
      <c r="M2620" s="46"/>
      <c r="N2620" s="46"/>
      <c r="O2620" s="46"/>
      <c r="P2620" s="46"/>
      <c r="Q2620" s="46"/>
      <c r="R2620" s="46"/>
      <c r="S2620" s="46"/>
      <c r="T2620" s="46"/>
      <c r="U2620" s="46"/>
      <c r="V2620" s="46"/>
      <c r="W2620" s="46"/>
      <c r="X2620" s="46"/>
      <c r="Y2620" s="46"/>
      <c r="Z2620" s="46"/>
    </row>
    <row r="2621" ht="22.5" customHeight="1">
      <c r="A2621" s="17"/>
      <c r="B2621" s="20"/>
      <c r="C2621" s="13"/>
      <c r="D2621" s="13"/>
      <c r="E2621" s="13"/>
      <c r="F2621" s="15"/>
      <c r="G2621" s="15"/>
      <c r="H2621" s="46"/>
      <c r="I2621" s="46"/>
      <c r="J2621" s="46"/>
      <c r="K2621" s="46"/>
      <c r="L2621" s="46"/>
      <c r="M2621" s="46"/>
      <c r="N2621" s="46"/>
      <c r="O2621" s="46"/>
      <c r="P2621" s="46"/>
      <c r="Q2621" s="46"/>
      <c r="R2621" s="46"/>
      <c r="S2621" s="46"/>
      <c r="T2621" s="46"/>
      <c r="U2621" s="46"/>
      <c r="V2621" s="46"/>
      <c r="W2621" s="46"/>
      <c r="X2621" s="46"/>
      <c r="Y2621" s="46"/>
      <c r="Z2621" s="46"/>
    </row>
    <row r="2622" ht="22.5" customHeight="1">
      <c r="A2622" s="17"/>
      <c r="B2622" s="20"/>
      <c r="C2622" s="13"/>
      <c r="D2622" s="13"/>
      <c r="E2622" s="13"/>
      <c r="F2622" s="15"/>
      <c r="G2622" s="15"/>
      <c r="H2622" s="46"/>
      <c r="I2622" s="46"/>
      <c r="J2622" s="46"/>
      <c r="K2622" s="46"/>
      <c r="L2622" s="46"/>
      <c r="M2622" s="46"/>
      <c r="N2622" s="46"/>
      <c r="O2622" s="46"/>
      <c r="P2622" s="46"/>
      <c r="Q2622" s="46"/>
      <c r="R2622" s="46"/>
      <c r="S2622" s="46"/>
      <c r="T2622" s="46"/>
      <c r="U2622" s="46"/>
      <c r="V2622" s="46"/>
      <c r="W2622" s="46"/>
      <c r="X2622" s="46"/>
      <c r="Y2622" s="46"/>
      <c r="Z2622" s="46"/>
    </row>
    <row r="2623" ht="22.5" customHeight="1">
      <c r="A2623" s="17"/>
      <c r="B2623" s="20"/>
      <c r="C2623" s="13"/>
      <c r="D2623" s="13"/>
      <c r="E2623" s="13"/>
      <c r="F2623" s="15"/>
      <c r="G2623" s="15"/>
      <c r="H2623" s="46"/>
      <c r="I2623" s="46"/>
      <c r="J2623" s="46"/>
      <c r="K2623" s="46"/>
      <c r="L2623" s="46"/>
      <c r="M2623" s="46"/>
      <c r="N2623" s="46"/>
      <c r="O2623" s="46"/>
      <c r="P2623" s="46"/>
      <c r="Q2623" s="46"/>
      <c r="R2623" s="46"/>
      <c r="S2623" s="46"/>
      <c r="T2623" s="46"/>
      <c r="U2623" s="46"/>
      <c r="V2623" s="46"/>
      <c r="W2623" s="46"/>
      <c r="X2623" s="46"/>
      <c r="Y2623" s="46"/>
      <c r="Z2623" s="46"/>
    </row>
    <row r="2624" ht="22.5" customHeight="1">
      <c r="A2624" s="17"/>
      <c r="B2624" s="20"/>
      <c r="C2624" s="13"/>
      <c r="D2624" s="13"/>
      <c r="E2624" s="13"/>
      <c r="F2624" s="15"/>
      <c r="G2624" s="15"/>
      <c r="H2624" s="46"/>
      <c r="I2624" s="46"/>
      <c r="J2624" s="46"/>
      <c r="K2624" s="46"/>
      <c r="L2624" s="46"/>
      <c r="M2624" s="46"/>
      <c r="N2624" s="46"/>
      <c r="O2624" s="46"/>
      <c r="P2624" s="46"/>
      <c r="Q2624" s="46"/>
      <c r="R2624" s="46"/>
      <c r="S2624" s="46"/>
      <c r="T2624" s="46"/>
      <c r="U2624" s="46"/>
      <c r="V2624" s="46"/>
      <c r="W2624" s="46"/>
      <c r="X2624" s="46"/>
      <c r="Y2624" s="46"/>
      <c r="Z2624" s="46"/>
    </row>
    <row r="2625" ht="22.5" customHeight="1">
      <c r="A2625" s="17"/>
      <c r="B2625" s="20"/>
      <c r="C2625" s="13"/>
      <c r="D2625" s="13"/>
      <c r="E2625" s="13"/>
      <c r="F2625" s="15"/>
      <c r="G2625" s="15"/>
      <c r="H2625" s="46"/>
      <c r="I2625" s="46"/>
      <c r="J2625" s="46"/>
      <c r="K2625" s="46"/>
      <c r="L2625" s="46"/>
      <c r="M2625" s="46"/>
      <c r="N2625" s="46"/>
      <c r="O2625" s="46"/>
      <c r="P2625" s="46"/>
      <c r="Q2625" s="46"/>
      <c r="R2625" s="46"/>
      <c r="S2625" s="46"/>
      <c r="T2625" s="46"/>
      <c r="U2625" s="46"/>
      <c r="V2625" s="46"/>
      <c r="W2625" s="46"/>
      <c r="X2625" s="46"/>
      <c r="Y2625" s="46"/>
      <c r="Z2625" s="46"/>
    </row>
    <row r="2626" ht="22.5" customHeight="1">
      <c r="A2626" s="17"/>
      <c r="B2626" s="20"/>
      <c r="C2626" s="13"/>
      <c r="D2626" s="13"/>
      <c r="E2626" s="13"/>
      <c r="F2626" s="15"/>
      <c r="G2626" s="15"/>
      <c r="H2626" s="46"/>
      <c r="I2626" s="46"/>
      <c r="J2626" s="46"/>
      <c r="K2626" s="46"/>
      <c r="L2626" s="46"/>
      <c r="M2626" s="46"/>
      <c r="N2626" s="46"/>
      <c r="O2626" s="46"/>
      <c r="P2626" s="46"/>
      <c r="Q2626" s="46"/>
      <c r="R2626" s="46"/>
      <c r="S2626" s="46"/>
      <c r="T2626" s="46"/>
      <c r="U2626" s="46"/>
      <c r="V2626" s="46"/>
      <c r="W2626" s="46"/>
      <c r="X2626" s="46"/>
      <c r="Y2626" s="46"/>
      <c r="Z2626" s="46"/>
    </row>
    <row r="2627" ht="22.5" customHeight="1">
      <c r="A2627" s="17"/>
      <c r="B2627" s="20"/>
      <c r="C2627" s="13"/>
      <c r="D2627" s="13"/>
      <c r="E2627" s="13"/>
      <c r="F2627" s="15"/>
      <c r="G2627" s="15"/>
      <c r="H2627" s="46"/>
      <c r="I2627" s="46"/>
      <c r="J2627" s="46"/>
      <c r="K2627" s="46"/>
      <c r="L2627" s="46"/>
      <c r="M2627" s="46"/>
      <c r="N2627" s="46"/>
      <c r="O2627" s="46"/>
      <c r="P2627" s="46"/>
      <c r="Q2627" s="46"/>
      <c r="R2627" s="46"/>
      <c r="S2627" s="46"/>
      <c r="T2627" s="46"/>
      <c r="U2627" s="46"/>
      <c r="V2627" s="46"/>
      <c r="W2627" s="46"/>
      <c r="X2627" s="46"/>
      <c r="Y2627" s="46"/>
      <c r="Z2627" s="46"/>
    </row>
    <row r="2628" ht="22.5" customHeight="1">
      <c r="A2628" s="17"/>
      <c r="B2628" s="20"/>
      <c r="C2628" s="13"/>
      <c r="D2628" s="13"/>
      <c r="E2628" s="13"/>
      <c r="F2628" s="15"/>
      <c r="G2628" s="15"/>
      <c r="H2628" s="46"/>
      <c r="I2628" s="46"/>
      <c r="J2628" s="46"/>
      <c r="K2628" s="46"/>
      <c r="L2628" s="46"/>
      <c r="M2628" s="46"/>
      <c r="N2628" s="46"/>
      <c r="O2628" s="46"/>
      <c r="P2628" s="46"/>
      <c r="Q2628" s="46"/>
      <c r="R2628" s="46"/>
      <c r="S2628" s="46"/>
      <c r="T2628" s="46"/>
      <c r="U2628" s="46"/>
      <c r="V2628" s="46"/>
      <c r="W2628" s="46"/>
      <c r="X2628" s="46"/>
      <c r="Y2628" s="46"/>
      <c r="Z2628" s="46"/>
    </row>
    <row r="2629" ht="22.5" customHeight="1">
      <c r="A2629" s="17"/>
      <c r="B2629" s="20"/>
      <c r="C2629" s="13"/>
      <c r="D2629" s="13"/>
      <c r="E2629" s="13"/>
      <c r="F2629" s="15"/>
      <c r="G2629" s="15"/>
      <c r="H2629" s="46"/>
      <c r="I2629" s="46"/>
      <c r="J2629" s="46"/>
      <c r="K2629" s="46"/>
      <c r="L2629" s="46"/>
      <c r="M2629" s="46"/>
      <c r="N2629" s="46"/>
      <c r="O2629" s="46"/>
      <c r="P2629" s="46"/>
      <c r="Q2629" s="46"/>
      <c r="R2629" s="46"/>
      <c r="S2629" s="46"/>
      <c r="T2629" s="46"/>
      <c r="U2629" s="46"/>
      <c r="V2629" s="46"/>
      <c r="W2629" s="46"/>
      <c r="X2629" s="46"/>
      <c r="Y2629" s="46"/>
      <c r="Z2629" s="46"/>
    </row>
    <row r="2630" ht="22.5" customHeight="1">
      <c r="A2630" s="17"/>
      <c r="B2630" s="20"/>
      <c r="C2630" s="13"/>
      <c r="D2630" s="13"/>
      <c r="E2630" s="13"/>
      <c r="F2630" s="15"/>
      <c r="G2630" s="15"/>
      <c r="H2630" s="46"/>
      <c r="I2630" s="46"/>
      <c r="J2630" s="46"/>
      <c r="K2630" s="46"/>
      <c r="L2630" s="46"/>
      <c r="M2630" s="46"/>
      <c r="N2630" s="46"/>
      <c r="O2630" s="46"/>
      <c r="P2630" s="46"/>
      <c r="Q2630" s="46"/>
      <c r="R2630" s="46"/>
      <c r="S2630" s="46"/>
      <c r="T2630" s="46"/>
      <c r="U2630" s="46"/>
      <c r="V2630" s="46"/>
      <c r="W2630" s="46"/>
      <c r="X2630" s="46"/>
      <c r="Y2630" s="46"/>
      <c r="Z2630" s="46"/>
    </row>
    <row r="2631" ht="22.5" customHeight="1">
      <c r="A2631" s="17"/>
      <c r="B2631" s="20"/>
      <c r="C2631" s="13"/>
      <c r="D2631" s="13"/>
      <c r="E2631" s="13"/>
      <c r="F2631" s="15"/>
      <c r="G2631" s="15"/>
      <c r="H2631" s="46"/>
      <c r="I2631" s="46"/>
      <c r="J2631" s="46"/>
      <c r="K2631" s="46"/>
      <c r="L2631" s="46"/>
      <c r="M2631" s="46"/>
      <c r="N2631" s="46"/>
      <c r="O2631" s="46"/>
      <c r="P2631" s="46"/>
      <c r="Q2631" s="46"/>
      <c r="R2631" s="46"/>
      <c r="S2631" s="46"/>
      <c r="T2631" s="46"/>
      <c r="U2631" s="46"/>
      <c r="V2631" s="46"/>
      <c r="W2631" s="46"/>
      <c r="X2631" s="46"/>
      <c r="Y2631" s="46"/>
      <c r="Z2631" s="46"/>
    </row>
    <row r="2632" ht="22.5" customHeight="1">
      <c r="A2632" s="17"/>
      <c r="B2632" s="20"/>
      <c r="C2632" s="13"/>
      <c r="D2632" s="13"/>
      <c r="E2632" s="13"/>
      <c r="F2632" s="15"/>
      <c r="G2632" s="15"/>
      <c r="H2632" s="46"/>
      <c r="I2632" s="46"/>
      <c r="J2632" s="46"/>
      <c r="K2632" s="46"/>
      <c r="L2632" s="46"/>
      <c r="M2632" s="46"/>
      <c r="N2632" s="46"/>
      <c r="O2632" s="46"/>
      <c r="P2632" s="46"/>
      <c r="Q2632" s="46"/>
      <c r="R2632" s="46"/>
      <c r="S2632" s="46"/>
      <c r="T2632" s="46"/>
      <c r="U2632" s="46"/>
      <c r="V2632" s="46"/>
      <c r="W2632" s="46"/>
      <c r="X2632" s="46"/>
      <c r="Y2632" s="46"/>
      <c r="Z2632" s="46"/>
    </row>
    <row r="2633" ht="22.5" customHeight="1">
      <c r="A2633" s="17"/>
      <c r="B2633" s="20"/>
      <c r="C2633" s="13"/>
      <c r="D2633" s="13"/>
      <c r="E2633" s="13"/>
      <c r="F2633" s="15"/>
      <c r="G2633" s="15"/>
      <c r="H2633" s="46"/>
      <c r="I2633" s="46"/>
      <c r="J2633" s="46"/>
      <c r="K2633" s="46"/>
      <c r="L2633" s="46"/>
      <c r="M2633" s="46"/>
      <c r="N2633" s="46"/>
      <c r="O2633" s="46"/>
      <c r="P2633" s="46"/>
      <c r="Q2633" s="46"/>
      <c r="R2633" s="46"/>
      <c r="S2633" s="46"/>
      <c r="T2633" s="46"/>
      <c r="U2633" s="46"/>
      <c r="V2633" s="46"/>
      <c r="W2633" s="46"/>
      <c r="X2633" s="46"/>
      <c r="Y2633" s="46"/>
      <c r="Z2633" s="46"/>
    </row>
    <row r="2634" ht="22.5" customHeight="1">
      <c r="A2634" s="17"/>
      <c r="B2634" s="20"/>
      <c r="C2634" s="13"/>
      <c r="D2634" s="13"/>
      <c r="E2634" s="13"/>
      <c r="F2634" s="15"/>
      <c r="G2634" s="15"/>
      <c r="H2634" s="46"/>
      <c r="I2634" s="46"/>
      <c r="J2634" s="46"/>
      <c r="K2634" s="46"/>
      <c r="L2634" s="46"/>
      <c r="M2634" s="46"/>
      <c r="N2634" s="46"/>
      <c r="O2634" s="46"/>
      <c r="P2634" s="46"/>
      <c r="Q2634" s="46"/>
      <c r="R2634" s="46"/>
      <c r="S2634" s="46"/>
      <c r="T2634" s="46"/>
      <c r="U2634" s="46"/>
      <c r="V2634" s="46"/>
      <c r="W2634" s="46"/>
      <c r="X2634" s="46"/>
      <c r="Y2634" s="46"/>
      <c r="Z2634" s="46"/>
    </row>
    <row r="2635" ht="22.5" customHeight="1">
      <c r="A2635" s="17"/>
      <c r="B2635" s="20"/>
      <c r="C2635" s="13"/>
      <c r="D2635" s="13"/>
      <c r="E2635" s="13"/>
      <c r="F2635" s="15"/>
      <c r="G2635" s="15"/>
      <c r="H2635" s="46"/>
      <c r="I2635" s="46"/>
      <c r="J2635" s="46"/>
      <c r="K2635" s="46"/>
      <c r="L2635" s="46"/>
      <c r="M2635" s="46"/>
      <c r="N2635" s="46"/>
      <c r="O2635" s="46"/>
      <c r="P2635" s="46"/>
      <c r="Q2635" s="46"/>
      <c r="R2635" s="46"/>
      <c r="S2635" s="46"/>
      <c r="T2635" s="46"/>
      <c r="U2635" s="46"/>
      <c r="V2635" s="46"/>
      <c r="W2635" s="46"/>
      <c r="X2635" s="46"/>
      <c r="Y2635" s="46"/>
      <c r="Z2635" s="46"/>
    </row>
    <row r="2636" ht="22.5" customHeight="1">
      <c r="A2636" s="17"/>
      <c r="B2636" s="20"/>
      <c r="C2636" s="13"/>
      <c r="D2636" s="13"/>
      <c r="E2636" s="13"/>
      <c r="F2636" s="15"/>
      <c r="G2636" s="15"/>
      <c r="H2636" s="46"/>
      <c r="I2636" s="46"/>
      <c r="J2636" s="46"/>
      <c r="K2636" s="46"/>
      <c r="L2636" s="46"/>
      <c r="M2636" s="46"/>
      <c r="N2636" s="46"/>
      <c r="O2636" s="46"/>
      <c r="P2636" s="46"/>
      <c r="Q2636" s="46"/>
      <c r="R2636" s="46"/>
      <c r="S2636" s="46"/>
      <c r="T2636" s="46"/>
      <c r="U2636" s="46"/>
      <c r="V2636" s="46"/>
      <c r="W2636" s="46"/>
      <c r="X2636" s="46"/>
      <c r="Y2636" s="46"/>
      <c r="Z2636" s="46"/>
    </row>
    <row r="2637" ht="22.5" customHeight="1">
      <c r="A2637" s="17"/>
      <c r="B2637" s="20"/>
      <c r="C2637" s="13"/>
      <c r="D2637" s="13"/>
      <c r="E2637" s="13"/>
      <c r="F2637" s="15"/>
      <c r="G2637" s="15"/>
      <c r="H2637" s="46"/>
      <c r="I2637" s="46"/>
      <c r="J2637" s="46"/>
      <c r="K2637" s="46"/>
      <c r="L2637" s="46"/>
      <c r="M2637" s="46"/>
      <c r="N2637" s="46"/>
      <c r="O2637" s="46"/>
      <c r="P2637" s="46"/>
      <c r="Q2637" s="46"/>
      <c r="R2637" s="46"/>
      <c r="S2637" s="46"/>
      <c r="T2637" s="46"/>
      <c r="U2637" s="46"/>
      <c r="V2637" s="46"/>
      <c r="W2637" s="46"/>
      <c r="X2637" s="46"/>
      <c r="Y2637" s="46"/>
      <c r="Z2637" s="46"/>
    </row>
    <row r="2638" ht="22.5" customHeight="1">
      <c r="A2638" s="17"/>
      <c r="B2638" s="20"/>
      <c r="C2638" s="13"/>
      <c r="D2638" s="13"/>
      <c r="E2638" s="13"/>
      <c r="F2638" s="15"/>
      <c r="G2638" s="15"/>
      <c r="H2638" s="46"/>
      <c r="I2638" s="46"/>
      <c r="J2638" s="46"/>
      <c r="K2638" s="46"/>
      <c r="L2638" s="46"/>
      <c r="M2638" s="46"/>
      <c r="N2638" s="46"/>
      <c r="O2638" s="46"/>
      <c r="P2638" s="46"/>
      <c r="Q2638" s="46"/>
      <c r="R2638" s="46"/>
      <c r="S2638" s="46"/>
      <c r="T2638" s="46"/>
      <c r="U2638" s="46"/>
      <c r="V2638" s="46"/>
      <c r="W2638" s="46"/>
      <c r="X2638" s="46"/>
      <c r="Y2638" s="46"/>
      <c r="Z2638" s="46"/>
    </row>
    <row r="2639" ht="22.5" customHeight="1">
      <c r="A2639" s="17"/>
      <c r="B2639" s="20"/>
      <c r="C2639" s="13"/>
      <c r="D2639" s="13"/>
      <c r="E2639" s="13"/>
      <c r="F2639" s="15"/>
      <c r="G2639" s="15"/>
      <c r="H2639" s="46"/>
      <c r="I2639" s="46"/>
      <c r="J2639" s="46"/>
      <c r="K2639" s="46"/>
      <c r="L2639" s="46"/>
      <c r="M2639" s="46"/>
      <c r="N2639" s="46"/>
      <c r="O2639" s="46"/>
      <c r="P2639" s="46"/>
      <c r="Q2639" s="46"/>
      <c r="R2639" s="46"/>
      <c r="S2639" s="46"/>
      <c r="T2639" s="46"/>
      <c r="U2639" s="46"/>
      <c r="V2639" s="46"/>
      <c r="W2639" s="46"/>
      <c r="X2639" s="46"/>
      <c r="Y2639" s="46"/>
      <c r="Z2639" s="46"/>
    </row>
    <row r="2640" ht="22.5" customHeight="1">
      <c r="A2640" s="17"/>
      <c r="B2640" s="20"/>
      <c r="C2640" s="13"/>
      <c r="D2640" s="13"/>
      <c r="E2640" s="13"/>
      <c r="F2640" s="15"/>
      <c r="G2640" s="15"/>
      <c r="H2640" s="46"/>
      <c r="I2640" s="46"/>
      <c r="J2640" s="46"/>
      <c r="K2640" s="46"/>
      <c r="L2640" s="46"/>
      <c r="M2640" s="46"/>
      <c r="N2640" s="46"/>
      <c r="O2640" s="46"/>
      <c r="P2640" s="46"/>
      <c r="Q2640" s="46"/>
      <c r="R2640" s="46"/>
      <c r="S2640" s="46"/>
      <c r="T2640" s="46"/>
      <c r="U2640" s="46"/>
      <c r="V2640" s="46"/>
      <c r="W2640" s="46"/>
      <c r="X2640" s="46"/>
      <c r="Y2640" s="46"/>
      <c r="Z2640" s="46"/>
    </row>
    <row r="2641" ht="22.5" customHeight="1">
      <c r="A2641" s="17"/>
      <c r="B2641" s="20"/>
      <c r="C2641" s="13"/>
      <c r="D2641" s="13"/>
      <c r="E2641" s="13"/>
      <c r="F2641" s="15"/>
      <c r="G2641" s="15"/>
      <c r="H2641" s="46"/>
      <c r="I2641" s="46"/>
      <c r="J2641" s="46"/>
      <c r="K2641" s="46"/>
      <c r="L2641" s="46"/>
      <c r="M2641" s="46"/>
      <c r="N2641" s="46"/>
      <c r="O2641" s="46"/>
      <c r="P2641" s="46"/>
      <c r="Q2641" s="46"/>
      <c r="R2641" s="46"/>
      <c r="S2641" s="46"/>
      <c r="T2641" s="46"/>
      <c r="U2641" s="46"/>
      <c r="V2641" s="46"/>
      <c r="W2641" s="46"/>
      <c r="X2641" s="46"/>
      <c r="Y2641" s="46"/>
      <c r="Z2641" s="46"/>
    </row>
    <row r="2642" ht="22.5" customHeight="1">
      <c r="A2642" s="17"/>
      <c r="B2642" s="20"/>
      <c r="C2642" s="13"/>
      <c r="D2642" s="13"/>
      <c r="E2642" s="13"/>
      <c r="F2642" s="15"/>
      <c r="G2642" s="15"/>
      <c r="H2642" s="46"/>
      <c r="I2642" s="46"/>
      <c r="J2642" s="46"/>
      <c r="K2642" s="46"/>
      <c r="L2642" s="46"/>
      <c r="M2642" s="46"/>
      <c r="N2642" s="46"/>
      <c r="O2642" s="46"/>
      <c r="P2642" s="46"/>
      <c r="Q2642" s="46"/>
      <c r="R2642" s="46"/>
      <c r="S2642" s="46"/>
      <c r="T2642" s="46"/>
      <c r="U2642" s="46"/>
      <c r="V2642" s="46"/>
      <c r="W2642" s="46"/>
      <c r="X2642" s="46"/>
      <c r="Y2642" s="46"/>
      <c r="Z2642" s="46"/>
    </row>
    <row r="2643" ht="22.5" customHeight="1">
      <c r="A2643" s="17"/>
      <c r="B2643" s="20"/>
      <c r="C2643" s="13"/>
      <c r="D2643" s="13"/>
      <c r="E2643" s="13"/>
      <c r="F2643" s="15"/>
      <c r="G2643" s="15"/>
      <c r="H2643" s="46"/>
      <c r="I2643" s="46"/>
      <c r="J2643" s="46"/>
      <c r="K2643" s="46"/>
      <c r="L2643" s="46"/>
      <c r="M2643" s="46"/>
      <c r="N2643" s="46"/>
      <c r="O2643" s="46"/>
      <c r="P2643" s="46"/>
      <c r="Q2643" s="46"/>
      <c r="R2643" s="46"/>
      <c r="S2643" s="46"/>
      <c r="T2643" s="46"/>
      <c r="U2643" s="46"/>
      <c r="V2643" s="46"/>
      <c r="W2643" s="46"/>
      <c r="X2643" s="46"/>
      <c r="Y2643" s="46"/>
      <c r="Z2643" s="46"/>
    </row>
    <row r="2644" ht="22.5" customHeight="1">
      <c r="A2644" s="17"/>
      <c r="B2644" s="20"/>
      <c r="C2644" s="13"/>
      <c r="D2644" s="13"/>
      <c r="E2644" s="13"/>
      <c r="F2644" s="15"/>
      <c r="G2644" s="15"/>
      <c r="H2644" s="46"/>
      <c r="I2644" s="46"/>
      <c r="J2644" s="46"/>
      <c r="K2644" s="46"/>
      <c r="L2644" s="46"/>
      <c r="M2644" s="46"/>
      <c r="N2644" s="46"/>
      <c r="O2644" s="46"/>
      <c r="P2644" s="46"/>
      <c r="Q2644" s="46"/>
      <c r="R2644" s="46"/>
      <c r="S2644" s="46"/>
      <c r="T2644" s="46"/>
      <c r="U2644" s="46"/>
      <c r="V2644" s="46"/>
      <c r="W2644" s="46"/>
      <c r="X2644" s="46"/>
      <c r="Y2644" s="46"/>
      <c r="Z2644" s="46"/>
    </row>
    <row r="2645" ht="22.5" customHeight="1">
      <c r="A2645" s="17"/>
      <c r="B2645" s="20"/>
      <c r="C2645" s="13"/>
      <c r="D2645" s="13"/>
      <c r="E2645" s="13"/>
      <c r="F2645" s="15"/>
      <c r="G2645" s="15"/>
      <c r="H2645" s="46"/>
      <c r="I2645" s="46"/>
      <c r="J2645" s="46"/>
      <c r="K2645" s="46"/>
      <c r="L2645" s="46"/>
      <c r="M2645" s="46"/>
      <c r="N2645" s="46"/>
      <c r="O2645" s="46"/>
      <c r="P2645" s="46"/>
      <c r="Q2645" s="46"/>
      <c r="R2645" s="46"/>
      <c r="S2645" s="46"/>
      <c r="T2645" s="46"/>
      <c r="U2645" s="46"/>
      <c r="V2645" s="46"/>
      <c r="W2645" s="46"/>
      <c r="X2645" s="46"/>
      <c r="Y2645" s="46"/>
      <c r="Z2645" s="46"/>
    </row>
    <row r="2646" ht="22.5" customHeight="1">
      <c r="A2646" s="17"/>
      <c r="B2646" s="20"/>
      <c r="C2646" s="13"/>
      <c r="D2646" s="13"/>
      <c r="E2646" s="13"/>
      <c r="F2646" s="15"/>
      <c r="G2646" s="15"/>
      <c r="H2646" s="46"/>
      <c r="I2646" s="46"/>
      <c r="J2646" s="46"/>
      <c r="K2646" s="46"/>
      <c r="L2646" s="46"/>
      <c r="M2646" s="46"/>
      <c r="N2646" s="46"/>
      <c r="O2646" s="46"/>
      <c r="P2646" s="46"/>
      <c r="Q2646" s="46"/>
      <c r="R2646" s="46"/>
      <c r="S2646" s="46"/>
      <c r="T2646" s="46"/>
      <c r="U2646" s="46"/>
      <c r="V2646" s="46"/>
      <c r="W2646" s="46"/>
      <c r="X2646" s="46"/>
      <c r="Y2646" s="46"/>
      <c r="Z2646" s="46"/>
    </row>
    <row r="2647" ht="22.5" customHeight="1">
      <c r="A2647" s="17"/>
      <c r="B2647" s="20"/>
      <c r="C2647" s="13"/>
      <c r="D2647" s="13"/>
      <c r="E2647" s="13"/>
      <c r="F2647" s="15"/>
      <c r="G2647" s="15"/>
      <c r="H2647" s="46"/>
      <c r="I2647" s="46"/>
      <c r="J2647" s="46"/>
      <c r="K2647" s="46"/>
      <c r="L2647" s="46"/>
      <c r="M2647" s="46"/>
      <c r="N2647" s="46"/>
      <c r="O2647" s="46"/>
      <c r="P2647" s="46"/>
      <c r="Q2647" s="46"/>
      <c r="R2647" s="46"/>
      <c r="S2647" s="46"/>
      <c r="T2647" s="46"/>
      <c r="U2647" s="46"/>
      <c r="V2647" s="46"/>
      <c r="W2647" s="46"/>
      <c r="X2647" s="46"/>
      <c r="Y2647" s="46"/>
      <c r="Z2647" s="46"/>
    </row>
    <row r="2648" ht="22.5" customHeight="1">
      <c r="A2648" s="17"/>
      <c r="B2648" s="20"/>
      <c r="C2648" s="13"/>
      <c r="D2648" s="13"/>
      <c r="E2648" s="13"/>
      <c r="F2648" s="15"/>
      <c r="G2648" s="15"/>
      <c r="H2648" s="46"/>
      <c r="I2648" s="46"/>
      <c r="J2648" s="46"/>
      <c r="K2648" s="46"/>
      <c r="L2648" s="46"/>
      <c r="M2648" s="46"/>
      <c r="N2648" s="46"/>
      <c r="O2648" s="46"/>
      <c r="P2648" s="46"/>
      <c r="Q2648" s="46"/>
      <c r="R2648" s="46"/>
      <c r="S2648" s="46"/>
      <c r="T2648" s="46"/>
      <c r="U2648" s="46"/>
      <c r="V2648" s="46"/>
      <c r="W2648" s="46"/>
      <c r="X2648" s="46"/>
      <c r="Y2648" s="46"/>
      <c r="Z2648" s="46"/>
    </row>
    <row r="2649" ht="22.5" customHeight="1">
      <c r="A2649" s="17"/>
      <c r="B2649" s="20"/>
      <c r="C2649" s="13"/>
      <c r="D2649" s="13"/>
      <c r="E2649" s="13"/>
      <c r="F2649" s="15"/>
      <c r="G2649" s="15"/>
      <c r="H2649" s="46"/>
      <c r="I2649" s="46"/>
      <c r="J2649" s="46"/>
      <c r="K2649" s="46"/>
      <c r="L2649" s="46"/>
      <c r="M2649" s="46"/>
      <c r="N2649" s="46"/>
      <c r="O2649" s="46"/>
      <c r="P2649" s="46"/>
      <c r="Q2649" s="46"/>
      <c r="R2649" s="46"/>
      <c r="S2649" s="46"/>
      <c r="T2649" s="46"/>
      <c r="U2649" s="46"/>
      <c r="V2649" s="46"/>
      <c r="W2649" s="46"/>
      <c r="X2649" s="46"/>
      <c r="Y2649" s="46"/>
      <c r="Z2649" s="46"/>
    </row>
    <row r="2650" ht="22.5" customHeight="1">
      <c r="A2650" s="17"/>
      <c r="B2650" s="20"/>
      <c r="C2650" s="13"/>
      <c r="D2650" s="13"/>
      <c r="E2650" s="13"/>
      <c r="F2650" s="15"/>
      <c r="G2650" s="15"/>
      <c r="H2650" s="46"/>
      <c r="I2650" s="46"/>
      <c r="J2650" s="46"/>
      <c r="K2650" s="46"/>
      <c r="L2650" s="46"/>
      <c r="M2650" s="46"/>
      <c r="N2650" s="46"/>
      <c r="O2650" s="46"/>
      <c r="P2650" s="46"/>
      <c r="Q2650" s="46"/>
      <c r="R2650" s="46"/>
      <c r="S2650" s="46"/>
      <c r="T2650" s="46"/>
      <c r="U2650" s="46"/>
      <c r="V2650" s="46"/>
      <c r="W2650" s="46"/>
      <c r="X2650" s="46"/>
      <c r="Y2650" s="46"/>
      <c r="Z2650" s="46"/>
    </row>
    <row r="2651" ht="22.5" customHeight="1">
      <c r="A2651" s="17"/>
      <c r="B2651" s="20"/>
      <c r="C2651" s="13"/>
      <c r="D2651" s="13"/>
      <c r="E2651" s="13"/>
      <c r="F2651" s="15"/>
      <c r="G2651" s="15"/>
      <c r="H2651" s="46"/>
      <c r="I2651" s="46"/>
      <c r="J2651" s="46"/>
      <c r="K2651" s="46"/>
      <c r="L2651" s="46"/>
      <c r="M2651" s="46"/>
      <c r="N2651" s="46"/>
      <c r="O2651" s="46"/>
      <c r="P2651" s="46"/>
      <c r="Q2651" s="46"/>
      <c r="R2651" s="46"/>
      <c r="S2651" s="46"/>
      <c r="T2651" s="46"/>
      <c r="U2651" s="46"/>
      <c r="V2651" s="46"/>
      <c r="W2651" s="46"/>
      <c r="X2651" s="46"/>
      <c r="Y2651" s="46"/>
      <c r="Z2651" s="46"/>
    </row>
    <row r="2652" ht="22.5" customHeight="1">
      <c r="A2652" s="17"/>
      <c r="B2652" s="20"/>
      <c r="C2652" s="13"/>
      <c r="D2652" s="13"/>
      <c r="E2652" s="13"/>
      <c r="F2652" s="15"/>
      <c r="G2652" s="15"/>
      <c r="H2652" s="46"/>
      <c r="I2652" s="46"/>
      <c r="J2652" s="46"/>
      <c r="K2652" s="46"/>
      <c r="L2652" s="46"/>
      <c r="M2652" s="46"/>
      <c r="N2652" s="46"/>
      <c r="O2652" s="46"/>
      <c r="P2652" s="46"/>
      <c r="Q2652" s="46"/>
      <c r="R2652" s="46"/>
      <c r="S2652" s="46"/>
      <c r="T2652" s="46"/>
      <c r="U2652" s="46"/>
      <c r="V2652" s="46"/>
      <c r="W2652" s="46"/>
      <c r="X2652" s="46"/>
      <c r="Y2652" s="46"/>
      <c r="Z2652" s="46"/>
    </row>
    <row r="2653" ht="22.5" customHeight="1">
      <c r="A2653" s="17"/>
      <c r="B2653" s="20"/>
      <c r="C2653" s="13"/>
      <c r="D2653" s="13"/>
      <c r="E2653" s="13"/>
      <c r="F2653" s="15"/>
      <c r="G2653" s="15"/>
      <c r="H2653" s="46"/>
      <c r="I2653" s="46"/>
      <c r="J2653" s="46"/>
      <c r="K2653" s="46"/>
      <c r="L2653" s="46"/>
      <c r="M2653" s="46"/>
      <c r="N2653" s="46"/>
      <c r="O2653" s="46"/>
      <c r="P2653" s="46"/>
      <c r="Q2653" s="46"/>
      <c r="R2653" s="46"/>
      <c r="S2653" s="46"/>
      <c r="T2653" s="46"/>
      <c r="U2653" s="46"/>
      <c r="V2653" s="46"/>
      <c r="W2653" s="46"/>
      <c r="X2653" s="46"/>
      <c r="Y2653" s="46"/>
      <c r="Z2653" s="46"/>
    </row>
    <row r="2654" ht="22.5" customHeight="1">
      <c r="A2654" s="17"/>
      <c r="B2654" s="20"/>
      <c r="C2654" s="13"/>
      <c r="D2654" s="13"/>
      <c r="E2654" s="13"/>
      <c r="F2654" s="15"/>
      <c r="G2654" s="15"/>
      <c r="H2654" s="46"/>
      <c r="I2654" s="46"/>
      <c r="J2654" s="46"/>
      <c r="K2654" s="46"/>
      <c r="L2654" s="46"/>
      <c r="M2654" s="46"/>
      <c r="N2654" s="46"/>
      <c r="O2654" s="46"/>
      <c r="P2654" s="46"/>
      <c r="Q2654" s="46"/>
      <c r="R2654" s="46"/>
      <c r="S2654" s="46"/>
      <c r="T2654" s="46"/>
      <c r="U2654" s="46"/>
      <c r="V2654" s="46"/>
      <c r="W2654" s="46"/>
      <c r="X2654" s="46"/>
      <c r="Y2654" s="46"/>
      <c r="Z2654" s="46"/>
    </row>
    <row r="2655" ht="22.5" customHeight="1">
      <c r="A2655" s="17"/>
      <c r="B2655" s="20"/>
      <c r="C2655" s="13"/>
      <c r="D2655" s="13"/>
      <c r="E2655" s="13"/>
      <c r="F2655" s="15"/>
      <c r="G2655" s="15"/>
      <c r="H2655" s="46"/>
      <c r="I2655" s="46"/>
      <c r="J2655" s="46"/>
      <c r="K2655" s="46"/>
      <c r="L2655" s="46"/>
      <c r="M2655" s="46"/>
      <c r="N2655" s="46"/>
      <c r="O2655" s="46"/>
      <c r="P2655" s="46"/>
      <c r="Q2655" s="46"/>
      <c r="R2655" s="46"/>
      <c r="S2655" s="46"/>
      <c r="T2655" s="46"/>
      <c r="U2655" s="46"/>
      <c r="V2655" s="46"/>
      <c r="W2655" s="46"/>
      <c r="X2655" s="46"/>
      <c r="Y2655" s="46"/>
      <c r="Z2655" s="46"/>
    </row>
    <row r="2656" ht="22.5" customHeight="1">
      <c r="A2656" s="17"/>
      <c r="B2656" s="20"/>
      <c r="C2656" s="13"/>
      <c r="D2656" s="13"/>
      <c r="E2656" s="13"/>
      <c r="F2656" s="15"/>
      <c r="G2656" s="15"/>
      <c r="H2656" s="46"/>
      <c r="I2656" s="46"/>
      <c r="J2656" s="46"/>
      <c r="K2656" s="46"/>
      <c r="L2656" s="46"/>
      <c r="M2656" s="46"/>
      <c r="N2656" s="46"/>
      <c r="O2656" s="46"/>
      <c r="P2656" s="46"/>
      <c r="Q2656" s="46"/>
      <c r="R2656" s="46"/>
      <c r="S2656" s="46"/>
      <c r="T2656" s="46"/>
      <c r="U2656" s="46"/>
      <c r="V2656" s="46"/>
      <c r="W2656" s="46"/>
      <c r="X2656" s="46"/>
      <c r="Y2656" s="46"/>
      <c r="Z2656" s="46"/>
    </row>
    <row r="2657" ht="22.5" customHeight="1">
      <c r="A2657" s="17"/>
      <c r="B2657" s="20"/>
      <c r="C2657" s="13"/>
      <c r="D2657" s="13"/>
      <c r="E2657" s="13"/>
      <c r="F2657" s="15"/>
      <c r="G2657" s="15"/>
      <c r="H2657" s="46"/>
      <c r="I2657" s="46"/>
      <c r="J2657" s="46"/>
      <c r="K2657" s="46"/>
      <c r="L2657" s="46"/>
      <c r="M2657" s="46"/>
      <c r="N2657" s="46"/>
      <c r="O2657" s="46"/>
      <c r="P2657" s="46"/>
      <c r="Q2657" s="46"/>
      <c r="R2657" s="46"/>
      <c r="S2657" s="46"/>
      <c r="T2657" s="46"/>
      <c r="U2657" s="46"/>
      <c r="V2657" s="46"/>
      <c r="W2657" s="46"/>
      <c r="X2657" s="46"/>
      <c r="Y2657" s="46"/>
      <c r="Z2657" s="46"/>
    </row>
    <row r="2658" ht="22.5" customHeight="1">
      <c r="A2658" s="17"/>
      <c r="B2658" s="20"/>
      <c r="C2658" s="13"/>
      <c r="D2658" s="13"/>
      <c r="E2658" s="13"/>
      <c r="F2658" s="15"/>
      <c r="G2658" s="15"/>
      <c r="H2658" s="46"/>
      <c r="I2658" s="46"/>
      <c r="J2658" s="46"/>
      <c r="K2658" s="46"/>
      <c r="L2658" s="46"/>
      <c r="M2658" s="46"/>
      <c r="N2658" s="46"/>
      <c r="O2658" s="46"/>
      <c r="P2658" s="46"/>
      <c r="Q2658" s="46"/>
      <c r="R2658" s="46"/>
      <c r="S2658" s="46"/>
      <c r="T2658" s="46"/>
      <c r="U2658" s="46"/>
      <c r="V2658" s="46"/>
      <c r="W2658" s="46"/>
      <c r="X2658" s="46"/>
      <c r="Y2658" s="46"/>
      <c r="Z2658" s="46"/>
    </row>
    <row r="2659" ht="22.5" customHeight="1">
      <c r="A2659" s="17"/>
      <c r="B2659" s="20"/>
      <c r="C2659" s="13"/>
      <c r="D2659" s="13"/>
      <c r="E2659" s="13"/>
      <c r="F2659" s="15"/>
      <c r="G2659" s="15"/>
      <c r="H2659" s="46"/>
      <c r="I2659" s="46"/>
      <c r="J2659" s="46"/>
      <c r="K2659" s="46"/>
      <c r="L2659" s="46"/>
      <c r="M2659" s="46"/>
      <c r="N2659" s="46"/>
      <c r="O2659" s="46"/>
      <c r="P2659" s="46"/>
      <c r="Q2659" s="46"/>
      <c r="R2659" s="46"/>
      <c r="S2659" s="46"/>
      <c r="T2659" s="46"/>
      <c r="U2659" s="46"/>
      <c r="V2659" s="46"/>
      <c r="W2659" s="46"/>
      <c r="X2659" s="46"/>
      <c r="Y2659" s="46"/>
      <c r="Z2659" s="46"/>
    </row>
    <row r="2660" ht="22.5" customHeight="1">
      <c r="A2660" s="17"/>
      <c r="B2660" s="20"/>
      <c r="C2660" s="13"/>
      <c r="D2660" s="13"/>
      <c r="E2660" s="13"/>
      <c r="F2660" s="15"/>
      <c r="G2660" s="15"/>
      <c r="H2660" s="46"/>
      <c r="I2660" s="46"/>
      <c r="J2660" s="46"/>
      <c r="K2660" s="46"/>
      <c r="L2660" s="46"/>
      <c r="M2660" s="46"/>
      <c r="N2660" s="46"/>
      <c r="O2660" s="46"/>
      <c r="P2660" s="46"/>
      <c r="Q2660" s="46"/>
      <c r="R2660" s="46"/>
      <c r="S2660" s="46"/>
      <c r="T2660" s="46"/>
      <c r="U2660" s="46"/>
      <c r="V2660" s="46"/>
      <c r="W2660" s="46"/>
      <c r="X2660" s="46"/>
      <c r="Y2660" s="46"/>
      <c r="Z2660" s="46"/>
    </row>
    <row r="2661" ht="22.5" customHeight="1">
      <c r="A2661" s="17"/>
      <c r="B2661" s="20"/>
      <c r="C2661" s="13"/>
      <c r="D2661" s="13"/>
      <c r="E2661" s="13"/>
      <c r="F2661" s="15"/>
      <c r="G2661" s="15"/>
      <c r="H2661" s="46"/>
      <c r="I2661" s="46"/>
      <c r="J2661" s="46"/>
      <c r="K2661" s="46"/>
      <c r="L2661" s="46"/>
      <c r="M2661" s="46"/>
      <c r="N2661" s="46"/>
      <c r="O2661" s="46"/>
      <c r="P2661" s="46"/>
      <c r="Q2661" s="46"/>
      <c r="R2661" s="46"/>
      <c r="S2661" s="46"/>
      <c r="T2661" s="46"/>
      <c r="U2661" s="46"/>
      <c r="V2661" s="46"/>
      <c r="W2661" s="46"/>
      <c r="X2661" s="46"/>
      <c r="Y2661" s="46"/>
      <c r="Z2661" s="46"/>
    </row>
    <row r="2662" ht="22.5" customHeight="1">
      <c r="A2662" s="17"/>
      <c r="B2662" s="20"/>
      <c r="C2662" s="13"/>
      <c r="D2662" s="13"/>
      <c r="E2662" s="13"/>
      <c r="F2662" s="15"/>
      <c r="G2662" s="15"/>
      <c r="H2662" s="46"/>
      <c r="I2662" s="46"/>
      <c r="J2662" s="46"/>
      <c r="K2662" s="46"/>
      <c r="L2662" s="46"/>
      <c r="M2662" s="46"/>
      <c r="N2662" s="46"/>
      <c r="O2662" s="46"/>
      <c r="P2662" s="46"/>
      <c r="Q2662" s="46"/>
      <c r="R2662" s="46"/>
      <c r="S2662" s="46"/>
      <c r="T2662" s="46"/>
      <c r="U2662" s="46"/>
      <c r="V2662" s="46"/>
      <c r="W2662" s="46"/>
      <c r="X2662" s="46"/>
      <c r="Y2662" s="46"/>
      <c r="Z2662" s="46"/>
    </row>
    <row r="2663" ht="22.5" customHeight="1">
      <c r="A2663" s="17"/>
      <c r="B2663" s="20"/>
      <c r="C2663" s="13"/>
      <c r="D2663" s="13"/>
      <c r="E2663" s="13"/>
      <c r="F2663" s="15"/>
      <c r="G2663" s="15"/>
      <c r="H2663" s="46"/>
      <c r="I2663" s="46"/>
      <c r="J2663" s="46"/>
      <c r="K2663" s="46"/>
      <c r="L2663" s="46"/>
      <c r="M2663" s="46"/>
      <c r="N2663" s="46"/>
      <c r="O2663" s="46"/>
      <c r="P2663" s="46"/>
      <c r="Q2663" s="46"/>
      <c r="R2663" s="46"/>
      <c r="S2663" s="46"/>
      <c r="T2663" s="46"/>
      <c r="U2663" s="46"/>
      <c r="V2663" s="46"/>
      <c r="W2663" s="46"/>
      <c r="X2663" s="46"/>
      <c r="Y2663" s="46"/>
      <c r="Z2663" s="46"/>
    </row>
    <row r="2664" ht="22.5" customHeight="1">
      <c r="A2664" s="17"/>
      <c r="B2664" s="20"/>
      <c r="C2664" s="13"/>
      <c r="D2664" s="13"/>
      <c r="E2664" s="13"/>
      <c r="F2664" s="15"/>
      <c r="G2664" s="15"/>
      <c r="H2664" s="46"/>
      <c r="I2664" s="46"/>
      <c r="J2664" s="46"/>
      <c r="K2664" s="46"/>
      <c r="L2664" s="46"/>
      <c r="M2664" s="46"/>
      <c r="N2664" s="46"/>
      <c r="O2664" s="46"/>
      <c r="P2664" s="46"/>
      <c r="Q2664" s="46"/>
      <c r="R2664" s="46"/>
      <c r="S2664" s="46"/>
      <c r="T2664" s="46"/>
      <c r="U2664" s="46"/>
      <c r="V2664" s="46"/>
      <c r="W2664" s="46"/>
      <c r="X2664" s="46"/>
      <c r="Y2664" s="46"/>
      <c r="Z2664" s="46"/>
    </row>
    <row r="2665" ht="22.5" customHeight="1">
      <c r="A2665" s="17"/>
      <c r="B2665" s="20"/>
      <c r="C2665" s="13"/>
      <c r="D2665" s="13"/>
      <c r="E2665" s="13"/>
      <c r="F2665" s="15"/>
      <c r="G2665" s="15"/>
      <c r="H2665" s="46"/>
      <c r="I2665" s="46"/>
      <c r="J2665" s="46"/>
      <c r="K2665" s="46"/>
      <c r="L2665" s="46"/>
      <c r="M2665" s="46"/>
      <c r="N2665" s="46"/>
      <c r="O2665" s="46"/>
      <c r="P2665" s="46"/>
      <c r="Q2665" s="46"/>
      <c r="R2665" s="46"/>
      <c r="S2665" s="46"/>
      <c r="T2665" s="46"/>
      <c r="U2665" s="46"/>
      <c r="V2665" s="46"/>
      <c r="W2665" s="46"/>
      <c r="X2665" s="46"/>
      <c r="Y2665" s="46"/>
      <c r="Z2665" s="46"/>
    </row>
    <row r="2666" ht="22.5" customHeight="1">
      <c r="A2666" s="17"/>
      <c r="B2666" s="20"/>
      <c r="C2666" s="13"/>
      <c r="D2666" s="13"/>
      <c r="E2666" s="13"/>
      <c r="F2666" s="15"/>
      <c r="G2666" s="15"/>
      <c r="H2666" s="46"/>
      <c r="I2666" s="46"/>
      <c r="J2666" s="46"/>
      <c r="K2666" s="46"/>
      <c r="L2666" s="46"/>
      <c r="M2666" s="46"/>
      <c r="N2666" s="46"/>
      <c r="O2666" s="46"/>
      <c r="P2666" s="46"/>
      <c r="Q2666" s="46"/>
      <c r="R2666" s="46"/>
      <c r="S2666" s="46"/>
      <c r="T2666" s="46"/>
      <c r="U2666" s="46"/>
      <c r="V2666" s="46"/>
      <c r="W2666" s="46"/>
      <c r="X2666" s="46"/>
      <c r="Y2666" s="46"/>
      <c r="Z2666" s="46"/>
    </row>
    <row r="2667" ht="22.5" customHeight="1">
      <c r="A2667" s="17"/>
      <c r="B2667" s="20"/>
      <c r="C2667" s="13"/>
      <c r="D2667" s="13"/>
      <c r="E2667" s="13"/>
      <c r="F2667" s="15"/>
      <c r="G2667" s="15"/>
      <c r="H2667" s="46"/>
      <c r="I2667" s="46"/>
      <c r="J2667" s="46"/>
      <c r="K2667" s="46"/>
      <c r="L2667" s="46"/>
      <c r="M2667" s="46"/>
      <c r="N2667" s="46"/>
      <c r="O2667" s="46"/>
      <c r="P2667" s="46"/>
      <c r="Q2667" s="46"/>
      <c r="R2667" s="46"/>
      <c r="S2667" s="46"/>
      <c r="T2667" s="46"/>
      <c r="U2667" s="46"/>
      <c r="V2667" s="46"/>
      <c r="W2667" s="46"/>
      <c r="X2667" s="46"/>
      <c r="Y2667" s="46"/>
      <c r="Z2667" s="46"/>
    </row>
    <row r="2668" ht="22.5" customHeight="1">
      <c r="A2668" s="17"/>
      <c r="B2668" s="20"/>
      <c r="C2668" s="13"/>
      <c r="D2668" s="13"/>
      <c r="E2668" s="13"/>
      <c r="F2668" s="15"/>
      <c r="G2668" s="15"/>
      <c r="H2668" s="46"/>
      <c r="I2668" s="46"/>
      <c r="J2668" s="46"/>
      <c r="K2668" s="46"/>
      <c r="L2668" s="46"/>
      <c r="M2668" s="46"/>
      <c r="N2668" s="46"/>
      <c r="O2668" s="46"/>
      <c r="P2668" s="46"/>
      <c r="Q2668" s="46"/>
      <c r="R2668" s="46"/>
      <c r="S2668" s="46"/>
      <c r="T2668" s="46"/>
      <c r="U2668" s="46"/>
      <c r="V2668" s="46"/>
      <c r="W2668" s="46"/>
      <c r="X2668" s="46"/>
      <c r="Y2668" s="46"/>
      <c r="Z2668" s="46"/>
    </row>
    <row r="2669" ht="22.5" customHeight="1">
      <c r="A2669" s="17"/>
      <c r="B2669" s="20"/>
      <c r="C2669" s="13"/>
      <c r="D2669" s="13"/>
      <c r="E2669" s="13"/>
      <c r="F2669" s="15"/>
      <c r="G2669" s="15"/>
      <c r="H2669" s="46"/>
      <c r="I2669" s="46"/>
      <c r="J2669" s="46"/>
      <c r="K2669" s="46"/>
      <c r="L2669" s="46"/>
      <c r="M2669" s="46"/>
      <c r="N2669" s="46"/>
      <c r="O2669" s="46"/>
      <c r="P2669" s="46"/>
      <c r="Q2669" s="46"/>
      <c r="R2669" s="46"/>
      <c r="S2669" s="46"/>
      <c r="T2669" s="46"/>
      <c r="U2669" s="46"/>
      <c r="V2669" s="46"/>
      <c r="W2669" s="46"/>
      <c r="X2669" s="46"/>
      <c r="Y2669" s="46"/>
      <c r="Z2669" s="46"/>
    </row>
    <row r="2670" ht="22.5" customHeight="1">
      <c r="A2670" s="17"/>
      <c r="B2670" s="20"/>
      <c r="C2670" s="13"/>
      <c r="D2670" s="13"/>
      <c r="E2670" s="13"/>
      <c r="F2670" s="15"/>
      <c r="G2670" s="15"/>
      <c r="H2670" s="46"/>
      <c r="I2670" s="46"/>
      <c r="J2670" s="46"/>
      <c r="K2670" s="46"/>
      <c r="L2670" s="46"/>
      <c r="M2670" s="46"/>
      <c r="N2670" s="46"/>
      <c r="O2670" s="46"/>
      <c r="P2670" s="46"/>
      <c r="Q2670" s="46"/>
      <c r="R2670" s="46"/>
      <c r="S2670" s="46"/>
      <c r="T2670" s="46"/>
      <c r="U2670" s="46"/>
      <c r="V2670" s="46"/>
      <c r="W2670" s="46"/>
      <c r="X2670" s="46"/>
      <c r="Y2670" s="46"/>
      <c r="Z2670" s="46"/>
    </row>
    <row r="2671" ht="22.5" customHeight="1">
      <c r="A2671" s="17"/>
      <c r="B2671" s="20"/>
      <c r="C2671" s="13"/>
      <c r="D2671" s="13"/>
      <c r="E2671" s="13"/>
      <c r="F2671" s="15"/>
      <c r="G2671" s="15"/>
      <c r="H2671" s="46"/>
      <c r="I2671" s="46"/>
      <c r="J2671" s="46"/>
      <c r="K2671" s="46"/>
      <c r="L2671" s="46"/>
      <c r="M2671" s="46"/>
      <c r="N2671" s="46"/>
      <c r="O2671" s="46"/>
      <c r="P2671" s="46"/>
      <c r="Q2671" s="46"/>
      <c r="R2671" s="46"/>
      <c r="S2671" s="46"/>
      <c r="T2671" s="46"/>
      <c r="U2671" s="46"/>
      <c r="V2671" s="46"/>
      <c r="W2671" s="46"/>
      <c r="X2671" s="46"/>
      <c r="Y2671" s="46"/>
      <c r="Z2671" s="46"/>
    </row>
    <row r="2672" ht="22.5" customHeight="1">
      <c r="A2672" s="17"/>
      <c r="B2672" s="20"/>
      <c r="C2672" s="13"/>
      <c r="D2672" s="13"/>
      <c r="E2672" s="13"/>
      <c r="F2672" s="15"/>
      <c r="G2672" s="15"/>
      <c r="H2672" s="46"/>
      <c r="I2672" s="46"/>
      <c r="J2672" s="46"/>
      <c r="K2672" s="46"/>
      <c r="L2672" s="46"/>
      <c r="M2672" s="46"/>
      <c r="N2672" s="46"/>
      <c r="O2672" s="46"/>
      <c r="P2672" s="46"/>
      <c r="Q2672" s="46"/>
      <c r="R2672" s="46"/>
      <c r="S2672" s="46"/>
      <c r="T2672" s="46"/>
      <c r="U2672" s="46"/>
      <c r="V2672" s="46"/>
      <c r="W2672" s="46"/>
      <c r="X2672" s="46"/>
      <c r="Y2672" s="46"/>
      <c r="Z2672" s="46"/>
    </row>
    <row r="2673" ht="22.5" customHeight="1">
      <c r="A2673" s="17"/>
      <c r="B2673" s="20"/>
      <c r="C2673" s="13"/>
      <c r="D2673" s="13"/>
      <c r="E2673" s="13"/>
      <c r="F2673" s="15"/>
      <c r="G2673" s="15"/>
      <c r="H2673" s="46"/>
      <c r="I2673" s="46"/>
      <c r="J2673" s="46"/>
      <c r="K2673" s="46"/>
      <c r="L2673" s="46"/>
      <c r="M2673" s="46"/>
      <c r="N2673" s="46"/>
      <c r="O2673" s="46"/>
      <c r="P2673" s="46"/>
      <c r="Q2673" s="46"/>
      <c r="R2673" s="46"/>
      <c r="S2673" s="46"/>
      <c r="T2673" s="46"/>
      <c r="U2673" s="46"/>
      <c r="V2673" s="46"/>
      <c r="W2673" s="46"/>
      <c r="X2673" s="46"/>
      <c r="Y2673" s="46"/>
      <c r="Z2673" s="46"/>
    </row>
    <row r="2674" ht="22.5" customHeight="1">
      <c r="A2674" s="17"/>
      <c r="B2674" s="20"/>
      <c r="C2674" s="13"/>
      <c r="D2674" s="13"/>
      <c r="E2674" s="13"/>
      <c r="F2674" s="15"/>
      <c r="G2674" s="15"/>
      <c r="H2674" s="46"/>
      <c r="I2674" s="46"/>
      <c r="J2674" s="46"/>
      <c r="K2674" s="46"/>
      <c r="L2674" s="46"/>
      <c r="M2674" s="46"/>
      <c r="N2674" s="46"/>
      <c r="O2674" s="46"/>
      <c r="P2674" s="46"/>
      <c r="Q2674" s="46"/>
      <c r="R2674" s="46"/>
      <c r="S2674" s="46"/>
      <c r="T2674" s="46"/>
      <c r="U2674" s="46"/>
      <c r="V2674" s="46"/>
      <c r="W2674" s="46"/>
      <c r="X2674" s="46"/>
      <c r="Y2674" s="46"/>
      <c r="Z2674" s="46"/>
    </row>
    <row r="2675" ht="22.5" customHeight="1">
      <c r="A2675" s="17"/>
      <c r="B2675" s="20"/>
      <c r="C2675" s="13"/>
      <c r="D2675" s="13"/>
      <c r="E2675" s="13"/>
      <c r="F2675" s="15"/>
      <c r="G2675" s="15"/>
      <c r="H2675" s="46"/>
      <c r="I2675" s="46"/>
      <c r="J2675" s="46"/>
      <c r="K2675" s="46"/>
      <c r="L2675" s="46"/>
      <c r="M2675" s="46"/>
      <c r="N2675" s="46"/>
      <c r="O2675" s="46"/>
      <c r="P2675" s="46"/>
      <c r="Q2675" s="46"/>
      <c r="R2675" s="46"/>
      <c r="S2675" s="46"/>
      <c r="T2675" s="46"/>
      <c r="U2675" s="46"/>
      <c r="V2675" s="46"/>
      <c r="W2675" s="46"/>
      <c r="X2675" s="46"/>
      <c r="Y2675" s="46"/>
      <c r="Z2675" s="46"/>
    </row>
    <row r="2676" ht="22.5" customHeight="1">
      <c r="A2676" s="17"/>
      <c r="B2676" s="20"/>
      <c r="C2676" s="13"/>
      <c r="D2676" s="13"/>
      <c r="E2676" s="13"/>
      <c r="F2676" s="15"/>
      <c r="G2676" s="15"/>
      <c r="H2676" s="46"/>
      <c r="I2676" s="46"/>
      <c r="J2676" s="46"/>
      <c r="K2676" s="46"/>
      <c r="L2676" s="46"/>
      <c r="M2676" s="46"/>
      <c r="N2676" s="46"/>
      <c r="O2676" s="46"/>
      <c r="P2676" s="46"/>
      <c r="Q2676" s="46"/>
      <c r="R2676" s="46"/>
      <c r="S2676" s="46"/>
      <c r="T2676" s="46"/>
      <c r="U2676" s="46"/>
      <c r="V2676" s="46"/>
      <c r="W2676" s="46"/>
      <c r="X2676" s="46"/>
      <c r="Y2676" s="46"/>
      <c r="Z2676" s="46"/>
    </row>
    <row r="2677" ht="22.5" customHeight="1">
      <c r="A2677" s="17"/>
      <c r="B2677" s="20"/>
      <c r="C2677" s="13"/>
      <c r="D2677" s="13"/>
      <c r="E2677" s="13"/>
      <c r="F2677" s="15"/>
      <c r="G2677" s="15"/>
      <c r="H2677" s="46"/>
      <c r="I2677" s="46"/>
      <c r="J2677" s="46"/>
      <c r="K2677" s="46"/>
      <c r="L2677" s="46"/>
      <c r="M2677" s="46"/>
      <c r="N2677" s="46"/>
      <c r="O2677" s="46"/>
      <c r="P2677" s="46"/>
      <c r="Q2677" s="46"/>
      <c r="R2677" s="46"/>
      <c r="S2677" s="46"/>
      <c r="T2677" s="46"/>
      <c r="U2677" s="46"/>
      <c r="V2677" s="46"/>
      <c r="W2677" s="46"/>
      <c r="X2677" s="46"/>
      <c r="Y2677" s="46"/>
      <c r="Z2677" s="46"/>
    </row>
    <row r="2678" ht="22.5" customHeight="1">
      <c r="A2678" s="17"/>
      <c r="B2678" s="20"/>
      <c r="C2678" s="13"/>
      <c r="D2678" s="13"/>
      <c r="E2678" s="13"/>
      <c r="F2678" s="15"/>
      <c r="G2678" s="15"/>
      <c r="H2678" s="46"/>
      <c r="I2678" s="46"/>
      <c r="J2678" s="46"/>
      <c r="K2678" s="46"/>
      <c r="L2678" s="46"/>
      <c r="M2678" s="46"/>
      <c r="N2678" s="46"/>
      <c r="O2678" s="46"/>
      <c r="P2678" s="46"/>
      <c r="Q2678" s="46"/>
      <c r="R2678" s="46"/>
      <c r="S2678" s="46"/>
      <c r="T2678" s="46"/>
      <c r="U2678" s="46"/>
      <c r="V2678" s="46"/>
      <c r="W2678" s="46"/>
      <c r="X2678" s="46"/>
      <c r="Y2678" s="46"/>
      <c r="Z2678" s="46"/>
    </row>
    <row r="2679" ht="22.5" customHeight="1">
      <c r="A2679" s="17"/>
      <c r="B2679" s="20"/>
      <c r="C2679" s="13"/>
      <c r="D2679" s="13"/>
      <c r="E2679" s="13"/>
      <c r="F2679" s="15"/>
      <c r="G2679" s="15"/>
      <c r="H2679" s="46"/>
      <c r="I2679" s="46"/>
      <c r="J2679" s="46"/>
      <c r="K2679" s="46"/>
      <c r="L2679" s="46"/>
      <c r="M2679" s="46"/>
      <c r="N2679" s="46"/>
      <c r="O2679" s="46"/>
      <c r="P2679" s="46"/>
      <c r="Q2679" s="46"/>
      <c r="R2679" s="46"/>
      <c r="S2679" s="46"/>
      <c r="T2679" s="46"/>
      <c r="U2679" s="46"/>
      <c r="V2679" s="46"/>
      <c r="W2679" s="46"/>
      <c r="X2679" s="46"/>
      <c r="Y2679" s="46"/>
      <c r="Z2679" s="46"/>
    </row>
    <row r="2680" ht="22.5" customHeight="1">
      <c r="A2680" s="17"/>
      <c r="B2680" s="20"/>
      <c r="C2680" s="13"/>
      <c r="D2680" s="13"/>
      <c r="E2680" s="13"/>
      <c r="F2680" s="15"/>
      <c r="G2680" s="15"/>
      <c r="H2680" s="46"/>
      <c r="I2680" s="46"/>
      <c r="J2680" s="46"/>
      <c r="K2680" s="46"/>
      <c r="L2680" s="46"/>
      <c r="M2680" s="46"/>
      <c r="N2680" s="46"/>
      <c r="O2680" s="46"/>
      <c r="P2680" s="46"/>
      <c r="Q2680" s="46"/>
      <c r="R2680" s="46"/>
      <c r="S2680" s="46"/>
      <c r="T2680" s="46"/>
      <c r="U2680" s="46"/>
      <c r="V2680" s="46"/>
      <c r="W2680" s="46"/>
      <c r="X2680" s="46"/>
      <c r="Y2680" s="46"/>
      <c r="Z2680" s="46"/>
    </row>
    <row r="2681" ht="22.5" customHeight="1">
      <c r="A2681" s="17"/>
      <c r="B2681" s="20"/>
      <c r="C2681" s="13"/>
      <c r="D2681" s="13"/>
      <c r="E2681" s="13"/>
      <c r="F2681" s="15"/>
      <c r="G2681" s="15"/>
      <c r="H2681" s="46"/>
      <c r="I2681" s="46"/>
      <c r="J2681" s="46"/>
      <c r="K2681" s="46"/>
      <c r="L2681" s="46"/>
      <c r="M2681" s="46"/>
      <c r="N2681" s="46"/>
      <c r="O2681" s="46"/>
      <c r="P2681" s="46"/>
      <c r="Q2681" s="46"/>
      <c r="R2681" s="46"/>
      <c r="S2681" s="46"/>
      <c r="T2681" s="46"/>
      <c r="U2681" s="46"/>
      <c r="V2681" s="46"/>
      <c r="W2681" s="46"/>
      <c r="X2681" s="46"/>
      <c r="Y2681" s="46"/>
      <c r="Z2681" s="46"/>
    </row>
    <row r="2682" ht="22.5" customHeight="1">
      <c r="A2682" s="17"/>
      <c r="B2682" s="20"/>
      <c r="C2682" s="13"/>
      <c r="D2682" s="13"/>
      <c r="E2682" s="13"/>
      <c r="F2682" s="15"/>
      <c r="G2682" s="15"/>
      <c r="H2682" s="46"/>
      <c r="I2682" s="46"/>
      <c r="J2682" s="46"/>
      <c r="K2682" s="46"/>
      <c r="L2682" s="46"/>
      <c r="M2682" s="46"/>
      <c r="N2682" s="46"/>
      <c r="O2682" s="46"/>
      <c r="P2682" s="46"/>
      <c r="Q2682" s="46"/>
      <c r="R2682" s="46"/>
      <c r="S2682" s="46"/>
      <c r="T2682" s="46"/>
      <c r="U2682" s="46"/>
      <c r="V2682" s="46"/>
      <c r="W2682" s="46"/>
      <c r="X2682" s="46"/>
      <c r="Y2682" s="46"/>
      <c r="Z2682" s="46"/>
    </row>
    <row r="2683" ht="22.5" customHeight="1">
      <c r="A2683" s="17"/>
      <c r="B2683" s="20"/>
      <c r="C2683" s="13"/>
      <c r="D2683" s="13"/>
      <c r="E2683" s="13"/>
      <c r="F2683" s="15"/>
      <c r="G2683" s="15"/>
      <c r="H2683" s="46"/>
      <c r="I2683" s="46"/>
      <c r="J2683" s="46"/>
      <c r="K2683" s="46"/>
      <c r="L2683" s="46"/>
      <c r="M2683" s="46"/>
      <c r="N2683" s="46"/>
      <c r="O2683" s="46"/>
      <c r="P2683" s="46"/>
      <c r="Q2683" s="46"/>
      <c r="R2683" s="46"/>
      <c r="S2683" s="46"/>
      <c r="T2683" s="46"/>
      <c r="U2683" s="46"/>
      <c r="V2683" s="46"/>
      <c r="W2683" s="46"/>
      <c r="X2683" s="46"/>
      <c r="Y2683" s="46"/>
      <c r="Z2683" s="46"/>
    </row>
    <row r="2684" ht="22.5" customHeight="1">
      <c r="A2684" s="17"/>
      <c r="B2684" s="20"/>
      <c r="C2684" s="13"/>
      <c r="D2684" s="13"/>
      <c r="E2684" s="13"/>
      <c r="F2684" s="15"/>
      <c r="G2684" s="15"/>
      <c r="H2684" s="46"/>
      <c r="I2684" s="46"/>
      <c r="J2684" s="46"/>
      <c r="K2684" s="46"/>
      <c r="L2684" s="46"/>
      <c r="M2684" s="46"/>
      <c r="N2684" s="46"/>
      <c r="O2684" s="46"/>
      <c r="P2684" s="46"/>
      <c r="Q2684" s="46"/>
      <c r="R2684" s="46"/>
      <c r="S2684" s="46"/>
      <c r="T2684" s="46"/>
      <c r="U2684" s="46"/>
      <c r="V2684" s="46"/>
      <c r="W2684" s="46"/>
      <c r="X2684" s="46"/>
      <c r="Y2684" s="46"/>
      <c r="Z2684" s="46"/>
    </row>
    <row r="2685" ht="22.5" customHeight="1">
      <c r="A2685" s="17"/>
      <c r="B2685" s="20"/>
      <c r="C2685" s="13"/>
      <c r="D2685" s="13"/>
      <c r="E2685" s="13"/>
      <c r="F2685" s="15"/>
      <c r="G2685" s="15"/>
      <c r="H2685" s="46"/>
      <c r="I2685" s="46"/>
      <c r="J2685" s="46"/>
      <c r="K2685" s="46"/>
      <c r="L2685" s="46"/>
      <c r="M2685" s="46"/>
      <c r="N2685" s="46"/>
      <c r="O2685" s="46"/>
      <c r="P2685" s="46"/>
      <c r="Q2685" s="46"/>
      <c r="R2685" s="46"/>
      <c r="S2685" s="46"/>
      <c r="T2685" s="46"/>
      <c r="U2685" s="46"/>
      <c r="V2685" s="46"/>
      <c r="W2685" s="46"/>
      <c r="X2685" s="46"/>
      <c r="Y2685" s="46"/>
      <c r="Z2685" s="46"/>
    </row>
    <row r="2686" ht="22.5" customHeight="1">
      <c r="A2686" s="17"/>
      <c r="B2686" s="20"/>
      <c r="C2686" s="13"/>
      <c r="D2686" s="13"/>
      <c r="E2686" s="13"/>
      <c r="F2686" s="15"/>
      <c r="G2686" s="15"/>
      <c r="H2686" s="46"/>
      <c r="I2686" s="46"/>
      <c r="J2686" s="46"/>
      <c r="K2686" s="46"/>
      <c r="L2686" s="46"/>
      <c r="M2686" s="46"/>
      <c r="N2686" s="46"/>
      <c r="O2686" s="46"/>
      <c r="P2686" s="46"/>
      <c r="Q2686" s="46"/>
      <c r="R2686" s="46"/>
      <c r="S2686" s="46"/>
      <c r="T2686" s="46"/>
      <c r="U2686" s="46"/>
      <c r="V2686" s="46"/>
      <c r="W2686" s="46"/>
      <c r="X2686" s="46"/>
      <c r="Y2686" s="46"/>
      <c r="Z2686" s="46"/>
    </row>
    <row r="2687" ht="22.5" customHeight="1">
      <c r="A2687" s="17"/>
      <c r="B2687" s="20"/>
      <c r="C2687" s="13"/>
      <c r="D2687" s="13"/>
      <c r="E2687" s="13"/>
      <c r="F2687" s="15"/>
      <c r="G2687" s="15"/>
      <c r="H2687" s="46"/>
      <c r="I2687" s="46"/>
      <c r="J2687" s="46"/>
      <c r="K2687" s="46"/>
      <c r="L2687" s="46"/>
      <c r="M2687" s="46"/>
      <c r="N2687" s="46"/>
      <c r="O2687" s="46"/>
      <c r="P2687" s="46"/>
      <c r="Q2687" s="46"/>
      <c r="R2687" s="46"/>
      <c r="S2687" s="46"/>
      <c r="T2687" s="46"/>
      <c r="U2687" s="46"/>
      <c r="V2687" s="46"/>
      <c r="W2687" s="46"/>
      <c r="X2687" s="46"/>
      <c r="Y2687" s="46"/>
      <c r="Z2687" s="46"/>
    </row>
    <row r="2688" ht="22.5" customHeight="1">
      <c r="A2688" s="17"/>
      <c r="B2688" s="20"/>
      <c r="C2688" s="13"/>
      <c r="D2688" s="13"/>
      <c r="E2688" s="13"/>
      <c r="F2688" s="15"/>
      <c r="G2688" s="15"/>
      <c r="H2688" s="46"/>
      <c r="I2688" s="46"/>
      <c r="J2688" s="46"/>
      <c r="K2688" s="46"/>
      <c r="L2688" s="46"/>
      <c r="M2688" s="46"/>
      <c r="N2688" s="46"/>
      <c r="O2688" s="46"/>
      <c r="P2688" s="46"/>
      <c r="Q2688" s="46"/>
      <c r="R2688" s="46"/>
      <c r="S2688" s="46"/>
      <c r="T2688" s="46"/>
      <c r="U2688" s="46"/>
      <c r="V2688" s="46"/>
      <c r="W2688" s="46"/>
      <c r="X2688" s="46"/>
      <c r="Y2688" s="46"/>
      <c r="Z2688" s="46"/>
    </row>
    <row r="2689" ht="22.5" customHeight="1">
      <c r="A2689" s="17"/>
      <c r="B2689" s="20"/>
      <c r="C2689" s="13"/>
      <c r="D2689" s="13"/>
      <c r="E2689" s="13"/>
      <c r="F2689" s="15"/>
      <c r="G2689" s="15"/>
      <c r="H2689" s="46"/>
      <c r="I2689" s="46"/>
      <c r="J2689" s="46"/>
      <c r="K2689" s="46"/>
      <c r="L2689" s="46"/>
      <c r="M2689" s="46"/>
      <c r="N2689" s="46"/>
      <c r="O2689" s="46"/>
      <c r="P2689" s="46"/>
      <c r="Q2689" s="46"/>
      <c r="R2689" s="46"/>
      <c r="S2689" s="46"/>
      <c r="T2689" s="46"/>
      <c r="U2689" s="46"/>
      <c r="V2689" s="46"/>
      <c r="W2689" s="46"/>
      <c r="X2689" s="46"/>
      <c r="Y2689" s="46"/>
      <c r="Z2689" s="46"/>
    </row>
    <row r="2690" ht="22.5" customHeight="1">
      <c r="A2690" s="17"/>
      <c r="B2690" s="20"/>
      <c r="C2690" s="13"/>
      <c r="D2690" s="13"/>
      <c r="E2690" s="13"/>
      <c r="F2690" s="15"/>
      <c r="G2690" s="15"/>
      <c r="H2690" s="46"/>
      <c r="I2690" s="46"/>
      <c r="J2690" s="46"/>
      <c r="K2690" s="46"/>
      <c r="L2690" s="46"/>
      <c r="M2690" s="46"/>
      <c r="N2690" s="46"/>
      <c r="O2690" s="46"/>
      <c r="P2690" s="46"/>
      <c r="Q2690" s="46"/>
      <c r="R2690" s="46"/>
      <c r="S2690" s="46"/>
      <c r="T2690" s="46"/>
      <c r="U2690" s="46"/>
      <c r="V2690" s="46"/>
      <c r="W2690" s="46"/>
      <c r="X2690" s="46"/>
      <c r="Y2690" s="46"/>
      <c r="Z2690" s="46"/>
    </row>
    <row r="2691" ht="22.5" customHeight="1">
      <c r="A2691" s="17"/>
      <c r="B2691" s="20"/>
      <c r="C2691" s="13"/>
      <c r="D2691" s="13"/>
      <c r="E2691" s="13"/>
      <c r="F2691" s="15"/>
      <c r="G2691" s="15"/>
      <c r="H2691" s="46"/>
      <c r="I2691" s="46"/>
      <c r="J2691" s="46"/>
      <c r="K2691" s="46"/>
      <c r="L2691" s="46"/>
      <c r="M2691" s="46"/>
      <c r="N2691" s="46"/>
      <c r="O2691" s="46"/>
      <c r="P2691" s="46"/>
      <c r="Q2691" s="46"/>
      <c r="R2691" s="46"/>
      <c r="S2691" s="46"/>
      <c r="T2691" s="46"/>
      <c r="U2691" s="46"/>
      <c r="V2691" s="46"/>
      <c r="W2691" s="46"/>
      <c r="X2691" s="46"/>
      <c r="Y2691" s="46"/>
      <c r="Z2691" s="46"/>
    </row>
    <row r="2692" ht="22.5" customHeight="1">
      <c r="A2692" s="17"/>
      <c r="B2692" s="20"/>
      <c r="C2692" s="13"/>
      <c r="D2692" s="13"/>
      <c r="E2692" s="13"/>
      <c r="F2692" s="15"/>
      <c r="G2692" s="15"/>
      <c r="H2692" s="46"/>
      <c r="I2692" s="46"/>
      <c r="J2692" s="46"/>
      <c r="K2692" s="46"/>
      <c r="L2692" s="46"/>
      <c r="M2692" s="46"/>
      <c r="N2692" s="46"/>
      <c r="O2692" s="46"/>
      <c r="P2692" s="46"/>
      <c r="Q2692" s="46"/>
      <c r="R2692" s="46"/>
      <c r="S2692" s="46"/>
      <c r="T2692" s="46"/>
      <c r="U2692" s="46"/>
      <c r="V2692" s="46"/>
      <c r="W2692" s="46"/>
      <c r="X2692" s="46"/>
      <c r="Y2692" s="46"/>
      <c r="Z2692" s="46"/>
    </row>
    <row r="2693" ht="22.5" customHeight="1">
      <c r="A2693" s="17"/>
      <c r="B2693" s="20"/>
      <c r="C2693" s="13"/>
      <c r="D2693" s="13"/>
      <c r="E2693" s="13"/>
      <c r="F2693" s="15"/>
      <c r="G2693" s="15"/>
      <c r="H2693" s="46"/>
      <c r="I2693" s="46"/>
      <c r="J2693" s="46"/>
      <c r="K2693" s="46"/>
      <c r="L2693" s="46"/>
      <c r="M2693" s="46"/>
      <c r="N2693" s="46"/>
      <c r="O2693" s="46"/>
      <c r="P2693" s="46"/>
      <c r="Q2693" s="46"/>
      <c r="R2693" s="46"/>
      <c r="S2693" s="46"/>
      <c r="T2693" s="46"/>
      <c r="U2693" s="46"/>
      <c r="V2693" s="46"/>
      <c r="W2693" s="46"/>
      <c r="X2693" s="46"/>
      <c r="Y2693" s="46"/>
      <c r="Z2693" s="46"/>
    </row>
    <row r="2694" ht="22.5" customHeight="1">
      <c r="A2694" s="17"/>
      <c r="B2694" s="20"/>
      <c r="C2694" s="13"/>
      <c r="D2694" s="13"/>
      <c r="E2694" s="13"/>
      <c r="F2694" s="15"/>
      <c r="G2694" s="15"/>
      <c r="H2694" s="46"/>
      <c r="I2694" s="46"/>
      <c r="J2694" s="46"/>
      <c r="K2694" s="46"/>
      <c r="L2694" s="46"/>
      <c r="M2694" s="46"/>
      <c r="N2694" s="46"/>
      <c r="O2694" s="46"/>
      <c r="P2694" s="46"/>
      <c r="Q2694" s="46"/>
      <c r="R2694" s="46"/>
      <c r="S2694" s="46"/>
      <c r="T2694" s="46"/>
      <c r="U2694" s="46"/>
      <c r="V2694" s="46"/>
      <c r="W2694" s="46"/>
      <c r="X2694" s="46"/>
      <c r="Y2694" s="46"/>
      <c r="Z2694" s="46"/>
    </row>
    <row r="2695" ht="22.5" customHeight="1">
      <c r="A2695" s="17"/>
      <c r="B2695" s="20"/>
      <c r="C2695" s="13"/>
      <c r="D2695" s="13"/>
      <c r="E2695" s="13"/>
      <c r="F2695" s="15"/>
      <c r="G2695" s="15"/>
      <c r="H2695" s="46"/>
      <c r="I2695" s="46"/>
      <c r="J2695" s="46"/>
      <c r="K2695" s="46"/>
      <c r="L2695" s="46"/>
      <c r="M2695" s="46"/>
      <c r="N2695" s="46"/>
      <c r="O2695" s="46"/>
      <c r="P2695" s="46"/>
      <c r="Q2695" s="46"/>
      <c r="R2695" s="46"/>
      <c r="S2695" s="46"/>
      <c r="T2695" s="46"/>
      <c r="U2695" s="46"/>
      <c r="V2695" s="46"/>
      <c r="W2695" s="46"/>
      <c r="X2695" s="46"/>
      <c r="Y2695" s="46"/>
      <c r="Z2695" s="46"/>
    </row>
    <row r="2696" ht="22.5" customHeight="1">
      <c r="A2696" s="17"/>
      <c r="B2696" s="20"/>
      <c r="C2696" s="13"/>
      <c r="D2696" s="13"/>
      <c r="E2696" s="13"/>
      <c r="F2696" s="15"/>
      <c r="G2696" s="15"/>
      <c r="H2696" s="46"/>
      <c r="I2696" s="46"/>
      <c r="J2696" s="46"/>
      <c r="K2696" s="46"/>
      <c r="L2696" s="46"/>
      <c r="M2696" s="46"/>
      <c r="N2696" s="46"/>
      <c r="O2696" s="46"/>
      <c r="P2696" s="46"/>
      <c r="Q2696" s="46"/>
      <c r="R2696" s="46"/>
      <c r="S2696" s="46"/>
      <c r="T2696" s="46"/>
      <c r="U2696" s="46"/>
      <c r="V2696" s="46"/>
      <c r="W2696" s="46"/>
      <c r="X2696" s="46"/>
      <c r="Y2696" s="46"/>
      <c r="Z2696" s="46"/>
    </row>
    <row r="2697" ht="22.5" customHeight="1">
      <c r="A2697" s="17"/>
      <c r="B2697" s="20"/>
      <c r="C2697" s="13"/>
      <c r="D2697" s="13"/>
      <c r="E2697" s="13"/>
      <c r="F2697" s="15"/>
      <c r="G2697" s="15"/>
      <c r="H2697" s="46"/>
      <c r="I2697" s="46"/>
      <c r="J2697" s="46"/>
      <c r="K2697" s="46"/>
      <c r="L2697" s="46"/>
      <c r="M2697" s="46"/>
      <c r="N2697" s="46"/>
      <c r="O2697" s="46"/>
      <c r="P2697" s="46"/>
      <c r="Q2697" s="46"/>
      <c r="R2697" s="46"/>
      <c r="S2697" s="46"/>
      <c r="T2697" s="46"/>
      <c r="U2697" s="46"/>
      <c r="V2697" s="46"/>
      <c r="W2697" s="46"/>
      <c r="X2697" s="46"/>
      <c r="Y2697" s="46"/>
      <c r="Z2697" s="46"/>
    </row>
    <row r="2698" ht="22.5" customHeight="1">
      <c r="A2698" s="17"/>
      <c r="B2698" s="20"/>
      <c r="C2698" s="13"/>
      <c r="D2698" s="13"/>
      <c r="E2698" s="13"/>
      <c r="F2698" s="15"/>
      <c r="G2698" s="15"/>
      <c r="H2698" s="46"/>
      <c r="I2698" s="46"/>
      <c r="J2698" s="46"/>
      <c r="K2698" s="46"/>
      <c r="L2698" s="46"/>
      <c r="M2698" s="46"/>
      <c r="N2698" s="46"/>
      <c r="O2698" s="46"/>
      <c r="P2698" s="46"/>
      <c r="Q2698" s="46"/>
      <c r="R2698" s="46"/>
      <c r="S2698" s="46"/>
      <c r="T2698" s="46"/>
      <c r="U2698" s="46"/>
      <c r="V2698" s="46"/>
      <c r="W2698" s="46"/>
      <c r="X2698" s="46"/>
      <c r="Y2698" s="46"/>
      <c r="Z2698" s="46"/>
    </row>
    <row r="2699" ht="22.5" customHeight="1">
      <c r="A2699" s="17"/>
      <c r="B2699" s="20"/>
      <c r="C2699" s="13"/>
      <c r="D2699" s="13"/>
      <c r="E2699" s="13"/>
      <c r="F2699" s="15"/>
      <c r="G2699" s="15"/>
      <c r="H2699" s="46"/>
      <c r="I2699" s="46"/>
      <c r="J2699" s="46"/>
      <c r="K2699" s="46"/>
      <c r="L2699" s="46"/>
      <c r="M2699" s="46"/>
      <c r="N2699" s="46"/>
      <c r="O2699" s="46"/>
      <c r="P2699" s="46"/>
      <c r="Q2699" s="46"/>
      <c r="R2699" s="46"/>
      <c r="S2699" s="46"/>
      <c r="T2699" s="46"/>
      <c r="U2699" s="46"/>
      <c r="V2699" s="46"/>
      <c r="W2699" s="46"/>
      <c r="X2699" s="46"/>
      <c r="Y2699" s="46"/>
      <c r="Z2699" s="46"/>
    </row>
    <row r="2700" ht="22.5" customHeight="1">
      <c r="A2700" s="17"/>
      <c r="B2700" s="20"/>
      <c r="C2700" s="13"/>
      <c r="D2700" s="13"/>
      <c r="E2700" s="13"/>
      <c r="F2700" s="15"/>
      <c r="G2700" s="15"/>
      <c r="H2700" s="46"/>
      <c r="I2700" s="46"/>
      <c r="J2700" s="46"/>
      <c r="K2700" s="46"/>
      <c r="L2700" s="46"/>
      <c r="M2700" s="46"/>
      <c r="N2700" s="46"/>
      <c r="O2700" s="46"/>
      <c r="P2700" s="46"/>
      <c r="Q2700" s="46"/>
      <c r="R2700" s="46"/>
      <c r="S2700" s="46"/>
      <c r="T2700" s="46"/>
      <c r="U2700" s="46"/>
      <c r="V2700" s="46"/>
      <c r="W2700" s="46"/>
      <c r="X2700" s="46"/>
      <c r="Y2700" s="46"/>
      <c r="Z2700" s="46"/>
    </row>
    <row r="2701" ht="22.5" customHeight="1">
      <c r="A2701" s="17"/>
      <c r="B2701" s="20"/>
      <c r="C2701" s="13"/>
      <c r="D2701" s="13"/>
      <c r="E2701" s="13"/>
      <c r="F2701" s="15"/>
      <c r="G2701" s="15"/>
      <c r="H2701" s="46"/>
      <c r="I2701" s="46"/>
      <c r="J2701" s="46"/>
      <c r="K2701" s="46"/>
      <c r="L2701" s="46"/>
      <c r="M2701" s="46"/>
      <c r="N2701" s="46"/>
      <c r="O2701" s="46"/>
      <c r="P2701" s="46"/>
      <c r="Q2701" s="46"/>
      <c r="R2701" s="46"/>
      <c r="S2701" s="46"/>
      <c r="T2701" s="46"/>
      <c r="U2701" s="46"/>
      <c r="V2701" s="46"/>
      <c r="W2701" s="46"/>
      <c r="X2701" s="46"/>
      <c r="Y2701" s="46"/>
      <c r="Z2701" s="46"/>
    </row>
    <row r="2702" ht="22.5" customHeight="1">
      <c r="A2702" s="17"/>
      <c r="B2702" s="20"/>
      <c r="C2702" s="13"/>
      <c r="D2702" s="13"/>
      <c r="E2702" s="13"/>
      <c r="F2702" s="15"/>
      <c r="G2702" s="15"/>
      <c r="H2702" s="46"/>
      <c r="I2702" s="46"/>
      <c r="J2702" s="46"/>
      <c r="K2702" s="46"/>
      <c r="L2702" s="46"/>
      <c r="M2702" s="46"/>
      <c r="N2702" s="46"/>
      <c r="O2702" s="46"/>
      <c r="P2702" s="46"/>
      <c r="Q2702" s="46"/>
      <c r="R2702" s="46"/>
      <c r="S2702" s="46"/>
      <c r="T2702" s="46"/>
      <c r="U2702" s="46"/>
      <c r="V2702" s="46"/>
      <c r="W2702" s="46"/>
      <c r="X2702" s="46"/>
      <c r="Y2702" s="46"/>
      <c r="Z2702" s="46"/>
    </row>
    <row r="2703" ht="22.5" customHeight="1">
      <c r="A2703" s="17"/>
      <c r="B2703" s="20"/>
      <c r="C2703" s="13"/>
      <c r="D2703" s="13"/>
      <c r="E2703" s="13"/>
      <c r="F2703" s="15"/>
      <c r="G2703" s="15"/>
      <c r="H2703" s="46"/>
      <c r="I2703" s="46"/>
      <c r="J2703" s="46"/>
      <c r="K2703" s="46"/>
      <c r="L2703" s="46"/>
      <c r="M2703" s="46"/>
      <c r="N2703" s="46"/>
      <c r="O2703" s="46"/>
      <c r="P2703" s="46"/>
      <c r="Q2703" s="46"/>
      <c r="R2703" s="46"/>
      <c r="S2703" s="46"/>
      <c r="T2703" s="46"/>
      <c r="U2703" s="46"/>
      <c r="V2703" s="46"/>
      <c r="W2703" s="46"/>
      <c r="X2703" s="46"/>
      <c r="Y2703" s="46"/>
      <c r="Z2703" s="46"/>
    </row>
    <row r="2704" ht="22.5" customHeight="1">
      <c r="A2704" s="17"/>
      <c r="B2704" s="20"/>
      <c r="C2704" s="13"/>
      <c r="D2704" s="13"/>
      <c r="E2704" s="13"/>
      <c r="F2704" s="15"/>
      <c r="G2704" s="15"/>
      <c r="H2704" s="46"/>
      <c r="I2704" s="46"/>
      <c r="J2704" s="46"/>
      <c r="K2704" s="46"/>
      <c r="L2704" s="46"/>
      <c r="M2704" s="46"/>
      <c r="N2704" s="46"/>
      <c r="O2704" s="46"/>
      <c r="P2704" s="46"/>
      <c r="Q2704" s="46"/>
      <c r="R2704" s="46"/>
      <c r="S2704" s="46"/>
      <c r="T2704" s="46"/>
      <c r="U2704" s="46"/>
      <c r="V2704" s="46"/>
      <c r="W2704" s="46"/>
      <c r="X2704" s="46"/>
      <c r="Y2704" s="46"/>
      <c r="Z2704" s="46"/>
    </row>
    <row r="2705" ht="22.5" customHeight="1">
      <c r="A2705" s="17"/>
      <c r="B2705" s="20"/>
      <c r="C2705" s="13"/>
      <c r="D2705" s="13"/>
      <c r="E2705" s="13"/>
      <c r="F2705" s="15"/>
      <c r="G2705" s="15"/>
      <c r="H2705" s="46"/>
      <c r="I2705" s="46"/>
      <c r="J2705" s="46"/>
      <c r="K2705" s="46"/>
      <c r="L2705" s="46"/>
      <c r="M2705" s="46"/>
      <c r="N2705" s="46"/>
      <c r="O2705" s="46"/>
      <c r="P2705" s="46"/>
      <c r="Q2705" s="46"/>
      <c r="R2705" s="46"/>
      <c r="S2705" s="46"/>
      <c r="T2705" s="46"/>
      <c r="U2705" s="46"/>
      <c r="V2705" s="46"/>
      <c r="W2705" s="46"/>
      <c r="X2705" s="46"/>
      <c r="Y2705" s="46"/>
      <c r="Z2705" s="46"/>
    </row>
    <row r="2706" ht="22.5" customHeight="1">
      <c r="A2706" s="17"/>
      <c r="B2706" s="20"/>
      <c r="C2706" s="13"/>
      <c r="D2706" s="13"/>
      <c r="E2706" s="13"/>
      <c r="F2706" s="15"/>
      <c r="G2706" s="15"/>
      <c r="H2706" s="46"/>
      <c r="I2706" s="46"/>
      <c r="J2706" s="46"/>
      <c r="K2706" s="46"/>
      <c r="L2706" s="46"/>
      <c r="M2706" s="46"/>
      <c r="N2706" s="46"/>
      <c r="O2706" s="46"/>
      <c r="P2706" s="46"/>
      <c r="Q2706" s="46"/>
      <c r="R2706" s="46"/>
      <c r="S2706" s="46"/>
      <c r="T2706" s="46"/>
      <c r="U2706" s="46"/>
      <c r="V2706" s="46"/>
      <c r="W2706" s="46"/>
      <c r="X2706" s="46"/>
      <c r="Y2706" s="46"/>
      <c r="Z2706" s="46"/>
    </row>
    <row r="2707" ht="22.5" customHeight="1">
      <c r="A2707" s="17"/>
      <c r="B2707" s="20"/>
      <c r="C2707" s="13"/>
      <c r="D2707" s="13"/>
      <c r="E2707" s="13"/>
      <c r="F2707" s="15"/>
      <c r="G2707" s="15"/>
      <c r="H2707" s="46"/>
      <c r="I2707" s="46"/>
      <c r="J2707" s="46"/>
      <c r="K2707" s="46"/>
      <c r="L2707" s="46"/>
      <c r="M2707" s="46"/>
      <c r="N2707" s="46"/>
      <c r="O2707" s="46"/>
      <c r="P2707" s="46"/>
      <c r="Q2707" s="46"/>
      <c r="R2707" s="46"/>
      <c r="S2707" s="46"/>
      <c r="T2707" s="46"/>
      <c r="U2707" s="46"/>
      <c r="V2707" s="46"/>
      <c r="W2707" s="46"/>
      <c r="X2707" s="46"/>
      <c r="Y2707" s="46"/>
      <c r="Z2707" s="46"/>
    </row>
    <row r="2708" ht="22.5" customHeight="1">
      <c r="A2708" s="17"/>
      <c r="B2708" s="20"/>
      <c r="C2708" s="13"/>
      <c r="D2708" s="13"/>
      <c r="E2708" s="13"/>
      <c r="F2708" s="15"/>
      <c r="G2708" s="15"/>
      <c r="H2708" s="46"/>
      <c r="I2708" s="46"/>
      <c r="J2708" s="46"/>
      <c r="K2708" s="46"/>
      <c r="L2708" s="46"/>
      <c r="M2708" s="46"/>
      <c r="N2708" s="46"/>
      <c r="O2708" s="46"/>
      <c r="P2708" s="46"/>
      <c r="Q2708" s="46"/>
      <c r="R2708" s="46"/>
      <c r="S2708" s="46"/>
      <c r="T2708" s="46"/>
      <c r="U2708" s="46"/>
      <c r="V2708" s="46"/>
      <c r="W2708" s="46"/>
      <c r="X2708" s="46"/>
      <c r="Y2708" s="46"/>
      <c r="Z2708" s="46"/>
    </row>
    <row r="2709" ht="22.5" customHeight="1">
      <c r="A2709" s="17"/>
      <c r="B2709" s="20"/>
      <c r="C2709" s="13"/>
      <c r="D2709" s="13"/>
      <c r="E2709" s="13"/>
      <c r="F2709" s="15"/>
      <c r="G2709" s="15"/>
      <c r="H2709" s="46"/>
      <c r="I2709" s="46"/>
      <c r="J2709" s="46"/>
      <c r="K2709" s="46"/>
      <c r="L2709" s="46"/>
      <c r="M2709" s="46"/>
      <c r="N2709" s="46"/>
      <c r="O2709" s="46"/>
      <c r="P2709" s="46"/>
      <c r="Q2709" s="46"/>
      <c r="R2709" s="46"/>
      <c r="S2709" s="46"/>
      <c r="T2709" s="46"/>
      <c r="U2709" s="46"/>
      <c r="V2709" s="46"/>
      <c r="W2709" s="46"/>
      <c r="X2709" s="46"/>
      <c r="Y2709" s="46"/>
      <c r="Z2709" s="46"/>
    </row>
    <row r="2710" ht="22.5" customHeight="1">
      <c r="A2710" s="17"/>
      <c r="B2710" s="20"/>
      <c r="C2710" s="13"/>
      <c r="D2710" s="13"/>
      <c r="E2710" s="13"/>
      <c r="F2710" s="15"/>
      <c r="G2710" s="15"/>
      <c r="H2710" s="46"/>
      <c r="I2710" s="46"/>
      <c r="J2710" s="46"/>
      <c r="K2710" s="46"/>
      <c r="L2710" s="46"/>
      <c r="M2710" s="46"/>
      <c r="N2710" s="46"/>
      <c r="O2710" s="46"/>
      <c r="P2710" s="46"/>
      <c r="Q2710" s="46"/>
      <c r="R2710" s="46"/>
      <c r="S2710" s="46"/>
      <c r="T2710" s="46"/>
      <c r="U2710" s="46"/>
      <c r="V2710" s="46"/>
      <c r="W2710" s="46"/>
      <c r="X2710" s="46"/>
      <c r="Y2710" s="46"/>
      <c r="Z2710" s="46"/>
    </row>
    <row r="2711" ht="22.5" customHeight="1">
      <c r="A2711" s="17"/>
      <c r="B2711" s="20"/>
      <c r="C2711" s="13"/>
      <c r="D2711" s="13"/>
      <c r="E2711" s="13"/>
      <c r="F2711" s="15"/>
      <c r="G2711" s="15"/>
      <c r="H2711" s="46"/>
      <c r="I2711" s="46"/>
      <c r="J2711" s="46"/>
      <c r="K2711" s="46"/>
      <c r="L2711" s="46"/>
      <c r="M2711" s="46"/>
      <c r="N2711" s="46"/>
      <c r="O2711" s="46"/>
      <c r="P2711" s="46"/>
      <c r="Q2711" s="46"/>
      <c r="R2711" s="46"/>
      <c r="S2711" s="46"/>
      <c r="T2711" s="46"/>
      <c r="U2711" s="46"/>
      <c r="V2711" s="46"/>
      <c r="W2711" s="46"/>
      <c r="X2711" s="46"/>
      <c r="Y2711" s="46"/>
      <c r="Z2711" s="46"/>
    </row>
    <row r="2712" ht="22.5" customHeight="1">
      <c r="A2712" s="17"/>
      <c r="B2712" s="20"/>
      <c r="C2712" s="13"/>
      <c r="D2712" s="13"/>
      <c r="E2712" s="13"/>
      <c r="F2712" s="15"/>
      <c r="G2712" s="15"/>
      <c r="H2712" s="46"/>
      <c r="I2712" s="46"/>
      <c r="J2712" s="46"/>
      <c r="K2712" s="46"/>
      <c r="L2712" s="46"/>
      <c r="M2712" s="46"/>
      <c r="N2712" s="46"/>
      <c r="O2712" s="46"/>
      <c r="P2712" s="46"/>
      <c r="Q2712" s="46"/>
      <c r="R2712" s="46"/>
      <c r="S2712" s="46"/>
      <c r="T2712" s="46"/>
      <c r="U2712" s="46"/>
      <c r="V2712" s="46"/>
      <c r="W2712" s="46"/>
      <c r="X2712" s="46"/>
      <c r="Y2712" s="46"/>
      <c r="Z2712" s="46"/>
    </row>
    <row r="2713" ht="22.5" customHeight="1">
      <c r="A2713" s="17"/>
      <c r="B2713" s="20"/>
      <c r="C2713" s="13"/>
      <c r="D2713" s="13"/>
      <c r="E2713" s="13"/>
      <c r="F2713" s="15"/>
      <c r="G2713" s="15"/>
      <c r="H2713" s="46"/>
      <c r="I2713" s="46"/>
      <c r="J2713" s="46"/>
      <c r="K2713" s="46"/>
      <c r="L2713" s="46"/>
      <c r="M2713" s="46"/>
      <c r="N2713" s="46"/>
      <c r="O2713" s="46"/>
      <c r="P2713" s="46"/>
      <c r="Q2713" s="46"/>
      <c r="R2713" s="46"/>
      <c r="S2713" s="46"/>
      <c r="T2713" s="46"/>
      <c r="U2713" s="46"/>
      <c r="V2713" s="46"/>
      <c r="W2713" s="46"/>
      <c r="X2713" s="46"/>
      <c r="Y2713" s="46"/>
      <c r="Z2713" s="46"/>
    </row>
    <row r="2714" ht="22.5" customHeight="1">
      <c r="A2714" s="17"/>
      <c r="B2714" s="20"/>
      <c r="C2714" s="13"/>
      <c r="D2714" s="13"/>
      <c r="E2714" s="13"/>
      <c r="F2714" s="15"/>
      <c r="G2714" s="15"/>
      <c r="H2714" s="46"/>
      <c r="I2714" s="46"/>
      <c r="J2714" s="46"/>
      <c r="K2714" s="46"/>
      <c r="L2714" s="46"/>
      <c r="M2714" s="46"/>
      <c r="N2714" s="46"/>
      <c r="O2714" s="46"/>
      <c r="P2714" s="46"/>
      <c r="Q2714" s="46"/>
      <c r="R2714" s="46"/>
      <c r="S2714" s="46"/>
      <c r="T2714" s="46"/>
      <c r="U2714" s="46"/>
      <c r="V2714" s="46"/>
      <c r="W2714" s="46"/>
      <c r="X2714" s="46"/>
      <c r="Y2714" s="46"/>
      <c r="Z2714" s="46"/>
    </row>
    <row r="2715" ht="22.5" customHeight="1">
      <c r="A2715" s="17"/>
      <c r="B2715" s="20"/>
      <c r="C2715" s="13"/>
      <c r="D2715" s="13"/>
      <c r="E2715" s="13"/>
      <c r="F2715" s="15"/>
      <c r="G2715" s="15"/>
      <c r="H2715" s="46"/>
      <c r="I2715" s="46"/>
      <c r="J2715" s="46"/>
      <c r="K2715" s="46"/>
      <c r="L2715" s="46"/>
      <c r="M2715" s="46"/>
      <c r="N2715" s="46"/>
      <c r="O2715" s="46"/>
      <c r="P2715" s="46"/>
      <c r="Q2715" s="46"/>
      <c r="R2715" s="46"/>
      <c r="S2715" s="46"/>
      <c r="T2715" s="46"/>
      <c r="U2715" s="46"/>
      <c r="V2715" s="46"/>
      <c r="W2715" s="46"/>
      <c r="X2715" s="46"/>
      <c r="Y2715" s="46"/>
      <c r="Z2715" s="46"/>
    </row>
    <row r="2716" ht="22.5" customHeight="1">
      <c r="A2716" s="17"/>
      <c r="B2716" s="20"/>
      <c r="C2716" s="13"/>
      <c r="D2716" s="13"/>
      <c r="E2716" s="13"/>
      <c r="F2716" s="15"/>
      <c r="G2716" s="15"/>
      <c r="H2716" s="46"/>
      <c r="I2716" s="46"/>
      <c r="J2716" s="46"/>
      <c r="K2716" s="46"/>
      <c r="L2716" s="46"/>
      <c r="M2716" s="46"/>
      <c r="N2716" s="46"/>
      <c r="O2716" s="46"/>
      <c r="P2716" s="46"/>
      <c r="Q2716" s="46"/>
      <c r="R2716" s="46"/>
      <c r="S2716" s="46"/>
      <c r="T2716" s="46"/>
      <c r="U2716" s="46"/>
      <c r="V2716" s="46"/>
      <c r="W2716" s="46"/>
      <c r="X2716" s="46"/>
      <c r="Y2716" s="46"/>
      <c r="Z2716" s="46"/>
    </row>
    <row r="2717" ht="22.5" customHeight="1">
      <c r="A2717" s="17"/>
      <c r="B2717" s="20"/>
      <c r="C2717" s="13"/>
      <c r="D2717" s="13"/>
      <c r="E2717" s="13"/>
      <c r="F2717" s="15"/>
      <c r="G2717" s="15"/>
      <c r="H2717" s="46"/>
      <c r="I2717" s="46"/>
      <c r="J2717" s="46"/>
      <c r="K2717" s="46"/>
      <c r="L2717" s="46"/>
      <c r="M2717" s="46"/>
      <c r="N2717" s="46"/>
      <c r="O2717" s="46"/>
      <c r="P2717" s="46"/>
      <c r="Q2717" s="46"/>
      <c r="R2717" s="46"/>
      <c r="S2717" s="46"/>
      <c r="T2717" s="46"/>
      <c r="U2717" s="46"/>
      <c r="V2717" s="46"/>
      <c r="W2717" s="46"/>
      <c r="X2717" s="46"/>
      <c r="Y2717" s="46"/>
      <c r="Z2717" s="46"/>
    </row>
    <row r="2718" ht="22.5" customHeight="1">
      <c r="A2718" s="17"/>
      <c r="B2718" s="20"/>
      <c r="C2718" s="13"/>
      <c r="D2718" s="13"/>
      <c r="E2718" s="13"/>
      <c r="F2718" s="15"/>
      <c r="G2718" s="15"/>
      <c r="H2718" s="46"/>
      <c r="I2718" s="46"/>
      <c r="J2718" s="46"/>
      <c r="K2718" s="46"/>
      <c r="L2718" s="46"/>
      <c r="M2718" s="46"/>
      <c r="N2718" s="46"/>
      <c r="O2718" s="46"/>
      <c r="P2718" s="46"/>
      <c r="Q2718" s="46"/>
      <c r="R2718" s="46"/>
      <c r="S2718" s="46"/>
      <c r="T2718" s="46"/>
      <c r="U2718" s="46"/>
      <c r="V2718" s="46"/>
      <c r="W2718" s="46"/>
      <c r="X2718" s="46"/>
      <c r="Y2718" s="46"/>
      <c r="Z2718" s="46"/>
    </row>
    <row r="2719" ht="22.5" customHeight="1">
      <c r="A2719" s="17"/>
      <c r="B2719" s="20"/>
      <c r="C2719" s="13"/>
      <c r="D2719" s="13"/>
      <c r="E2719" s="13"/>
      <c r="F2719" s="15"/>
      <c r="G2719" s="15"/>
      <c r="H2719" s="46"/>
      <c r="I2719" s="46"/>
      <c r="J2719" s="46"/>
      <c r="K2719" s="46"/>
      <c r="L2719" s="46"/>
      <c r="M2719" s="46"/>
      <c r="N2719" s="46"/>
      <c r="O2719" s="46"/>
      <c r="P2719" s="46"/>
      <c r="Q2719" s="46"/>
      <c r="R2719" s="46"/>
      <c r="S2719" s="46"/>
      <c r="T2719" s="46"/>
      <c r="U2719" s="46"/>
      <c r="V2719" s="46"/>
      <c r="W2719" s="46"/>
      <c r="X2719" s="46"/>
      <c r="Y2719" s="46"/>
      <c r="Z2719" s="46"/>
    </row>
    <row r="2720" ht="22.5" customHeight="1">
      <c r="A2720" s="17"/>
      <c r="B2720" s="20"/>
      <c r="C2720" s="13"/>
      <c r="D2720" s="13"/>
      <c r="E2720" s="13"/>
      <c r="F2720" s="15"/>
      <c r="G2720" s="15"/>
      <c r="H2720" s="46"/>
      <c r="I2720" s="46"/>
      <c r="J2720" s="46"/>
      <c r="K2720" s="46"/>
      <c r="L2720" s="46"/>
      <c r="M2720" s="46"/>
      <c r="N2720" s="46"/>
      <c r="O2720" s="46"/>
      <c r="P2720" s="46"/>
      <c r="Q2720" s="46"/>
      <c r="R2720" s="46"/>
      <c r="S2720" s="46"/>
      <c r="T2720" s="46"/>
      <c r="U2720" s="46"/>
      <c r="V2720" s="46"/>
      <c r="W2720" s="46"/>
      <c r="X2720" s="46"/>
      <c r="Y2720" s="46"/>
      <c r="Z2720" s="46"/>
    </row>
    <row r="2721" ht="22.5" customHeight="1">
      <c r="A2721" s="17"/>
      <c r="B2721" s="20"/>
      <c r="C2721" s="13"/>
      <c r="D2721" s="13"/>
      <c r="E2721" s="13"/>
      <c r="F2721" s="15"/>
      <c r="G2721" s="15"/>
      <c r="H2721" s="46"/>
      <c r="I2721" s="46"/>
      <c r="J2721" s="46"/>
      <c r="K2721" s="46"/>
      <c r="L2721" s="46"/>
      <c r="M2721" s="46"/>
      <c r="N2721" s="46"/>
      <c r="O2721" s="46"/>
      <c r="P2721" s="46"/>
      <c r="Q2721" s="46"/>
      <c r="R2721" s="46"/>
      <c r="S2721" s="46"/>
      <c r="T2721" s="46"/>
      <c r="U2721" s="46"/>
      <c r="V2721" s="46"/>
      <c r="W2721" s="46"/>
      <c r="X2721" s="46"/>
      <c r="Y2721" s="46"/>
      <c r="Z2721" s="46"/>
    </row>
    <row r="2722" ht="22.5" customHeight="1">
      <c r="A2722" s="17"/>
      <c r="B2722" s="20"/>
      <c r="C2722" s="13"/>
      <c r="D2722" s="13"/>
      <c r="E2722" s="13"/>
      <c r="F2722" s="15"/>
      <c r="G2722" s="15"/>
      <c r="H2722" s="46"/>
      <c r="I2722" s="46"/>
      <c r="J2722" s="46"/>
      <c r="K2722" s="46"/>
      <c r="L2722" s="46"/>
      <c r="M2722" s="46"/>
      <c r="N2722" s="46"/>
      <c r="O2722" s="46"/>
      <c r="P2722" s="46"/>
      <c r="Q2722" s="46"/>
      <c r="R2722" s="46"/>
      <c r="S2722" s="46"/>
      <c r="T2722" s="46"/>
      <c r="U2722" s="46"/>
      <c r="V2722" s="46"/>
      <c r="W2722" s="46"/>
      <c r="X2722" s="46"/>
      <c r="Y2722" s="46"/>
      <c r="Z2722" s="46"/>
    </row>
    <row r="2723" ht="22.5" customHeight="1">
      <c r="A2723" s="17"/>
      <c r="B2723" s="20"/>
      <c r="C2723" s="13"/>
      <c r="D2723" s="13"/>
      <c r="E2723" s="13"/>
      <c r="F2723" s="15"/>
      <c r="G2723" s="15"/>
      <c r="H2723" s="46"/>
      <c r="I2723" s="46"/>
      <c r="J2723" s="46"/>
      <c r="K2723" s="46"/>
      <c r="L2723" s="46"/>
      <c r="M2723" s="46"/>
      <c r="N2723" s="46"/>
      <c r="O2723" s="46"/>
      <c r="P2723" s="46"/>
      <c r="Q2723" s="46"/>
      <c r="R2723" s="46"/>
      <c r="S2723" s="46"/>
      <c r="T2723" s="46"/>
      <c r="U2723" s="46"/>
      <c r="V2723" s="46"/>
      <c r="W2723" s="46"/>
      <c r="X2723" s="46"/>
      <c r="Y2723" s="46"/>
      <c r="Z2723" s="46"/>
    </row>
    <row r="2724" ht="22.5" customHeight="1">
      <c r="A2724" s="17"/>
      <c r="B2724" s="20"/>
      <c r="C2724" s="13"/>
      <c r="D2724" s="13"/>
      <c r="E2724" s="13"/>
      <c r="F2724" s="15"/>
      <c r="G2724" s="15"/>
      <c r="H2724" s="46"/>
      <c r="I2724" s="46"/>
      <c r="J2724" s="46"/>
      <c r="K2724" s="46"/>
      <c r="L2724" s="46"/>
      <c r="M2724" s="46"/>
      <c r="N2724" s="46"/>
      <c r="O2724" s="46"/>
      <c r="P2724" s="46"/>
      <c r="Q2724" s="46"/>
      <c r="R2724" s="46"/>
      <c r="S2724" s="46"/>
      <c r="T2724" s="46"/>
      <c r="U2724" s="46"/>
      <c r="V2724" s="46"/>
      <c r="W2724" s="46"/>
      <c r="X2724" s="46"/>
      <c r="Y2724" s="46"/>
      <c r="Z2724" s="46"/>
    </row>
    <row r="2725" ht="22.5" customHeight="1">
      <c r="A2725" s="17"/>
      <c r="B2725" s="20"/>
      <c r="C2725" s="13"/>
      <c r="D2725" s="13"/>
      <c r="E2725" s="13"/>
      <c r="F2725" s="15"/>
      <c r="G2725" s="15"/>
      <c r="H2725" s="46"/>
      <c r="I2725" s="46"/>
      <c r="J2725" s="46"/>
      <c r="K2725" s="46"/>
      <c r="L2725" s="46"/>
      <c r="M2725" s="46"/>
      <c r="N2725" s="46"/>
      <c r="O2725" s="46"/>
      <c r="P2725" s="46"/>
      <c r="Q2725" s="46"/>
      <c r="R2725" s="46"/>
      <c r="S2725" s="46"/>
      <c r="T2725" s="46"/>
      <c r="U2725" s="46"/>
      <c r="V2725" s="46"/>
      <c r="W2725" s="46"/>
      <c r="X2725" s="46"/>
      <c r="Y2725" s="46"/>
      <c r="Z2725" s="46"/>
    </row>
    <row r="2726" ht="22.5" customHeight="1">
      <c r="A2726" s="17"/>
      <c r="B2726" s="20"/>
      <c r="C2726" s="13"/>
      <c r="D2726" s="13"/>
      <c r="E2726" s="13"/>
      <c r="F2726" s="15"/>
      <c r="G2726" s="15"/>
      <c r="H2726" s="46"/>
      <c r="I2726" s="46"/>
      <c r="J2726" s="46"/>
      <c r="K2726" s="46"/>
      <c r="L2726" s="46"/>
      <c r="M2726" s="46"/>
      <c r="N2726" s="46"/>
      <c r="O2726" s="46"/>
      <c r="P2726" s="46"/>
      <c r="Q2726" s="46"/>
      <c r="R2726" s="46"/>
      <c r="S2726" s="46"/>
      <c r="T2726" s="46"/>
      <c r="U2726" s="46"/>
      <c r="V2726" s="46"/>
      <c r="W2726" s="46"/>
      <c r="X2726" s="46"/>
      <c r="Y2726" s="46"/>
      <c r="Z2726" s="46"/>
    </row>
    <row r="2727" ht="22.5" customHeight="1">
      <c r="A2727" s="17"/>
      <c r="B2727" s="20"/>
      <c r="C2727" s="13"/>
      <c r="D2727" s="13"/>
      <c r="E2727" s="13"/>
      <c r="F2727" s="15"/>
      <c r="G2727" s="15"/>
      <c r="H2727" s="46"/>
      <c r="I2727" s="46"/>
      <c r="J2727" s="46"/>
      <c r="K2727" s="46"/>
      <c r="L2727" s="46"/>
      <c r="M2727" s="46"/>
      <c r="N2727" s="46"/>
      <c r="O2727" s="46"/>
      <c r="P2727" s="46"/>
      <c r="Q2727" s="46"/>
      <c r="R2727" s="46"/>
      <c r="S2727" s="46"/>
      <c r="T2727" s="46"/>
      <c r="U2727" s="46"/>
      <c r="V2727" s="46"/>
      <c r="W2727" s="46"/>
      <c r="X2727" s="46"/>
      <c r="Y2727" s="46"/>
      <c r="Z2727" s="46"/>
    </row>
    <row r="2728" ht="22.5" customHeight="1">
      <c r="A2728" s="17"/>
      <c r="B2728" s="20"/>
      <c r="C2728" s="13"/>
      <c r="D2728" s="13"/>
      <c r="E2728" s="13"/>
      <c r="F2728" s="15"/>
      <c r="G2728" s="15"/>
      <c r="H2728" s="46"/>
      <c r="I2728" s="46"/>
      <c r="J2728" s="46"/>
      <c r="K2728" s="46"/>
      <c r="L2728" s="46"/>
      <c r="M2728" s="46"/>
      <c r="N2728" s="46"/>
      <c r="O2728" s="46"/>
      <c r="P2728" s="46"/>
      <c r="Q2728" s="46"/>
      <c r="R2728" s="46"/>
      <c r="S2728" s="46"/>
      <c r="T2728" s="46"/>
      <c r="U2728" s="46"/>
      <c r="V2728" s="46"/>
      <c r="W2728" s="46"/>
      <c r="X2728" s="46"/>
      <c r="Y2728" s="46"/>
      <c r="Z2728" s="46"/>
    </row>
    <row r="2729" ht="22.5" customHeight="1">
      <c r="A2729" s="17"/>
      <c r="B2729" s="20"/>
      <c r="C2729" s="13"/>
      <c r="D2729" s="13"/>
      <c r="E2729" s="13"/>
      <c r="F2729" s="15"/>
      <c r="G2729" s="15"/>
      <c r="H2729" s="46"/>
      <c r="I2729" s="46"/>
      <c r="J2729" s="46"/>
      <c r="K2729" s="46"/>
      <c r="L2729" s="46"/>
      <c r="M2729" s="46"/>
      <c r="N2729" s="46"/>
      <c r="O2729" s="46"/>
      <c r="P2729" s="46"/>
      <c r="Q2729" s="46"/>
      <c r="R2729" s="46"/>
      <c r="S2729" s="46"/>
      <c r="T2729" s="46"/>
      <c r="U2729" s="46"/>
      <c r="V2729" s="46"/>
      <c r="W2729" s="46"/>
      <c r="X2729" s="46"/>
      <c r="Y2729" s="46"/>
      <c r="Z2729" s="46"/>
    </row>
    <row r="2730" ht="22.5" customHeight="1">
      <c r="A2730" s="17"/>
      <c r="B2730" s="20"/>
      <c r="C2730" s="13"/>
      <c r="D2730" s="13"/>
      <c r="E2730" s="13"/>
      <c r="F2730" s="15"/>
      <c r="G2730" s="15"/>
      <c r="H2730" s="46"/>
      <c r="I2730" s="46"/>
      <c r="J2730" s="46"/>
      <c r="K2730" s="46"/>
      <c r="L2730" s="46"/>
      <c r="M2730" s="46"/>
      <c r="N2730" s="46"/>
      <c r="O2730" s="46"/>
      <c r="P2730" s="46"/>
      <c r="Q2730" s="46"/>
      <c r="R2730" s="46"/>
      <c r="S2730" s="46"/>
      <c r="T2730" s="46"/>
      <c r="U2730" s="46"/>
      <c r="V2730" s="46"/>
      <c r="W2730" s="46"/>
      <c r="X2730" s="46"/>
      <c r="Y2730" s="46"/>
      <c r="Z2730" s="46"/>
    </row>
    <row r="2731" ht="22.5" customHeight="1">
      <c r="A2731" s="17"/>
      <c r="B2731" s="20"/>
      <c r="C2731" s="13"/>
      <c r="D2731" s="13"/>
      <c r="E2731" s="13"/>
      <c r="F2731" s="15"/>
      <c r="G2731" s="15"/>
      <c r="H2731" s="46"/>
      <c r="I2731" s="46"/>
      <c r="J2731" s="46"/>
      <c r="K2731" s="46"/>
      <c r="L2731" s="46"/>
      <c r="M2731" s="46"/>
      <c r="N2731" s="46"/>
      <c r="O2731" s="46"/>
      <c r="P2731" s="46"/>
      <c r="Q2731" s="46"/>
      <c r="R2731" s="46"/>
      <c r="S2731" s="46"/>
      <c r="T2731" s="46"/>
      <c r="U2731" s="46"/>
      <c r="V2731" s="46"/>
      <c r="W2731" s="46"/>
      <c r="X2731" s="46"/>
      <c r="Y2731" s="46"/>
      <c r="Z2731" s="46"/>
    </row>
    <row r="2732" ht="22.5" customHeight="1">
      <c r="A2732" s="17"/>
      <c r="B2732" s="20"/>
      <c r="C2732" s="13"/>
      <c r="D2732" s="13"/>
      <c r="E2732" s="13"/>
      <c r="F2732" s="15"/>
      <c r="G2732" s="15"/>
      <c r="H2732" s="46"/>
      <c r="I2732" s="46"/>
      <c r="J2732" s="46"/>
      <c r="K2732" s="46"/>
      <c r="L2732" s="46"/>
      <c r="M2732" s="46"/>
      <c r="N2732" s="46"/>
      <c r="O2732" s="46"/>
      <c r="P2732" s="46"/>
      <c r="Q2732" s="46"/>
      <c r="R2732" s="46"/>
      <c r="S2732" s="46"/>
      <c r="T2732" s="46"/>
      <c r="U2732" s="46"/>
      <c r="V2732" s="46"/>
      <c r="W2732" s="46"/>
      <c r="X2732" s="46"/>
      <c r="Y2732" s="46"/>
      <c r="Z2732" s="46"/>
    </row>
    <row r="2733" ht="22.5" customHeight="1">
      <c r="A2733" s="17"/>
      <c r="B2733" s="20"/>
      <c r="C2733" s="13"/>
      <c r="D2733" s="13"/>
      <c r="E2733" s="13"/>
      <c r="F2733" s="15"/>
      <c r="G2733" s="15"/>
      <c r="H2733" s="46"/>
      <c r="I2733" s="46"/>
      <c r="J2733" s="46"/>
      <c r="K2733" s="46"/>
      <c r="L2733" s="46"/>
      <c r="M2733" s="46"/>
      <c r="N2733" s="46"/>
      <c r="O2733" s="46"/>
      <c r="P2733" s="46"/>
      <c r="Q2733" s="46"/>
      <c r="R2733" s="46"/>
      <c r="S2733" s="46"/>
      <c r="T2733" s="46"/>
      <c r="U2733" s="46"/>
      <c r="V2733" s="46"/>
      <c r="W2733" s="46"/>
      <c r="X2733" s="46"/>
      <c r="Y2733" s="46"/>
      <c r="Z2733" s="46"/>
    </row>
    <row r="2734" ht="22.5" customHeight="1">
      <c r="A2734" s="17"/>
      <c r="B2734" s="20"/>
      <c r="C2734" s="13"/>
      <c r="D2734" s="13"/>
      <c r="E2734" s="13"/>
      <c r="F2734" s="15"/>
      <c r="G2734" s="15"/>
      <c r="H2734" s="46"/>
      <c r="I2734" s="46"/>
      <c r="J2734" s="46"/>
      <c r="K2734" s="46"/>
      <c r="L2734" s="46"/>
      <c r="M2734" s="46"/>
      <c r="N2734" s="46"/>
      <c r="O2734" s="46"/>
      <c r="P2734" s="46"/>
      <c r="Q2734" s="46"/>
      <c r="R2734" s="46"/>
      <c r="S2734" s="46"/>
      <c r="T2734" s="46"/>
      <c r="U2734" s="46"/>
      <c r="V2734" s="46"/>
      <c r="W2734" s="46"/>
      <c r="X2734" s="46"/>
      <c r="Y2734" s="46"/>
      <c r="Z2734" s="46"/>
    </row>
    <row r="2735" ht="22.5" customHeight="1">
      <c r="A2735" s="17"/>
      <c r="B2735" s="20"/>
      <c r="C2735" s="13"/>
      <c r="D2735" s="13"/>
      <c r="E2735" s="13"/>
      <c r="F2735" s="15"/>
      <c r="G2735" s="15"/>
      <c r="H2735" s="46"/>
      <c r="I2735" s="46"/>
      <c r="J2735" s="46"/>
      <c r="K2735" s="46"/>
      <c r="L2735" s="46"/>
      <c r="M2735" s="46"/>
      <c r="N2735" s="46"/>
      <c r="O2735" s="46"/>
      <c r="P2735" s="46"/>
      <c r="Q2735" s="46"/>
      <c r="R2735" s="46"/>
      <c r="S2735" s="46"/>
      <c r="T2735" s="46"/>
      <c r="U2735" s="46"/>
      <c r="V2735" s="46"/>
      <c r="W2735" s="46"/>
      <c r="X2735" s="46"/>
      <c r="Y2735" s="46"/>
      <c r="Z2735" s="46"/>
    </row>
    <row r="2736" ht="22.5" customHeight="1">
      <c r="A2736" s="17"/>
      <c r="B2736" s="20"/>
      <c r="C2736" s="13"/>
      <c r="D2736" s="13"/>
      <c r="E2736" s="13"/>
      <c r="F2736" s="15"/>
      <c r="G2736" s="15"/>
      <c r="H2736" s="46"/>
      <c r="I2736" s="46"/>
      <c r="J2736" s="46"/>
      <c r="K2736" s="46"/>
      <c r="L2736" s="46"/>
      <c r="M2736" s="46"/>
      <c r="N2736" s="46"/>
      <c r="O2736" s="46"/>
      <c r="P2736" s="46"/>
      <c r="Q2736" s="46"/>
      <c r="R2736" s="46"/>
      <c r="S2736" s="46"/>
      <c r="T2736" s="46"/>
      <c r="U2736" s="46"/>
      <c r="V2736" s="46"/>
      <c r="W2736" s="46"/>
      <c r="X2736" s="46"/>
      <c r="Y2736" s="46"/>
      <c r="Z2736" s="46"/>
    </row>
    <row r="2737" ht="22.5" customHeight="1">
      <c r="A2737" s="17"/>
      <c r="B2737" s="20"/>
      <c r="C2737" s="13"/>
      <c r="D2737" s="13"/>
      <c r="E2737" s="13"/>
      <c r="F2737" s="15"/>
      <c r="G2737" s="15"/>
      <c r="H2737" s="46"/>
      <c r="I2737" s="46"/>
      <c r="J2737" s="46"/>
      <c r="K2737" s="46"/>
      <c r="L2737" s="46"/>
      <c r="M2737" s="46"/>
      <c r="N2737" s="46"/>
      <c r="O2737" s="46"/>
      <c r="P2737" s="46"/>
      <c r="Q2737" s="46"/>
      <c r="R2737" s="46"/>
      <c r="S2737" s="46"/>
      <c r="T2737" s="46"/>
      <c r="U2737" s="46"/>
      <c r="V2737" s="46"/>
      <c r="W2737" s="46"/>
      <c r="X2737" s="46"/>
      <c r="Y2737" s="46"/>
      <c r="Z2737" s="46"/>
    </row>
    <row r="2738" ht="22.5" customHeight="1">
      <c r="A2738" s="17"/>
      <c r="B2738" s="20"/>
      <c r="C2738" s="13"/>
      <c r="D2738" s="13"/>
      <c r="E2738" s="13"/>
      <c r="F2738" s="15"/>
      <c r="G2738" s="15"/>
      <c r="H2738" s="46"/>
      <c r="I2738" s="46"/>
      <c r="J2738" s="46"/>
      <c r="K2738" s="46"/>
      <c r="L2738" s="46"/>
      <c r="M2738" s="46"/>
      <c r="N2738" s="46"/>
      <c r="O2738" s="46"/>
      <c r="P2738" s="46"/>
      <c r="Q2738" s="46"/>
      <c r="R2738" s="46"/>
      <c r="S2738" s="46"/>
      <c r="T2738" s="46"/>
      <c r="U2738" s="46"/>
      <c r="V2738" s="46"/>
      <c r="W2738" s="46"/>
      <c r="X2738" s="46"/>
      <c r="Y2738" s="46"/>
      <c r="Z2738" s="46"/>
    </row>
    <row r="2739" ht="22.5" customHeight="1">
      <c r="A2739" s="17"/>
      <c r="B2739" s="20"/>
      <c r="C2739" s="13"/>
      <c r="D2739" s="13"/>
      <c r="E2739" s="13"/>
      <c r="F2739" s="15"/>
      <c r="G2739" s="15"/>
      <c r="H2739" s="46"/>
      <c r="I2739" s="46"/>
      <c r="J2739" s="46"/>
      <c r="K2739" s="46"/>
      <c r="L2739" s="46"/>
      <c r="M2739" s="46"/>
      <c r="N2739" s="46"/>
      <c r="O2739" s="46"/>
      <c r="P2739" s="46"/>
      <c r="Q2739" s="46"/>
      <c r="R2739" s="46"/>
      <c r="S2739" s="46"/>
      <c r="T2739" s="46"/>
      <c r="U2739" s="46"/>
      <c r="V2739" s="46"/>
      <c r="W2739" s="46"/>
      <c r="X2739" s="46"/>
      <c r="Y2739" s="46"/>
      <c r="Z2739" s="46"/>
    </row>
    <row r="2740" ht="22.5" customHeight="1">
      <c r="A2740" s="17"/>
      <c r="B2740" s="20"/>
      <c r="C2740" s="13"/>
      <c r="D2740" s="13"/>
      <c r="E2740" s="13"/>
      <c r="F2740" s="15"/>
      <c r="G2740" s="15"/>
      <c r="H2740" s="46"/>
      <c r="I2740" s="46"/>
      <c r="J2740" s="46"/>
      <c r="K2740" s="46"/>
      <c r="L2740" s="46"/>
      <c r="M2740" s="46"/>
      <c r="N2740" s="46"/>
      <c r="O2740" s="46"/>
      <c r="P2740" s="46"/>
      <c r="Q2740" s="46"/>
      <c r="R2740" s="46"/>
      <c r="S2740" s="46"/>
      <c r="T2740" s="46"/>
      <c r="U2740" s="46"/>
      <c r="V2740" s="46"/>
      <c r="W2740" s="46"/>
      <c r="X2740" s="46"/>
      <c r="Y2740" s="46"/>
      <c r="Z2740" s="46"/>
    </row>
    <row r="2741" ht="22.5" customHeight="1">
      <c r="A2741" s="17"/>
      <c r="B2741" s="20"/>
      <c r="C2741" s="13"/>
      <c r="D2741" s="13"/>
      <c r="E2741" s="13"/>
      <c r="F2741" s="15"/>
      <c r="G2741" s="15"/>
      <c r="H2741" s="46"/>
      <c r="I2741" s="46"/>
      <c r="J2741" s="46"/>
      <c r="K2741" s="46"/>
      <c r="L2741" s="46"/>
      <c r="M2741" s="46"/>
      <c r="N2741" s="46"/>
      <c r="O2741" s="46"/>
      <c r="P2741" s="46"/>
      <c r="Q2741" s="46"/>
      <c r="R2741" s="46"/>
      <c r="S2741" s="46"/>
      <c r="T2741" s="46"/>
      <c r="U2741" s="46"/>
      <c r="V2741" s="46"/>
      <c r="W2741" s="46"/>
      <c r="X2741" s="46"/>
      <c r="Y2741" s="46"/>
      <c r="Z2741" s="46"/>
    </row>
    <row r="2742" ht="22.5" customHeight="1">
      <c r="A2742" s="17"/>
      <c r="B2742" s="20"/>
      <c r="C2742" s="13"/>
      <c r="D2742" s="13"/>
      <c r="E2742" s="13"/>
      <c r="F2742" s="15"/>
      <c r="G2742" s="15"/>
      <c r="H2742" s="46"/>
      <c r="I2742" s="46"/>
      <c r="J2742" s="46"/>
      <c r="K2742" s="46"/>
      <c r="L2742" s="46"/>
      <c r="M2742" s="46"/>
      <c r="N2742" s="46"/>
      <c r="O2742" s="46"/>
      <c r="P2742" s="46"/>
      <c r="Q2742" s="46"/>
      <c r="R2742" s="46"/>
      <c r="S2742" s="46"/>
      <c r="T2742" s="46"/>
      <c r="U2742" s="46"/>
      <c r="V2742" s="46"/>
      <c r="W2742" s="46"/>
      <c r="X2742" s="46"/>
      <c r="Y2742" s="46"/>
      <c r="Z2742" s="46"/>
    </row>
    <row r="2743" ht="22.5" customHeight="1">
      <c r="A2743" s="17"/>
      <c r="B2743" s="20"/>
      <c r="C2743" s="13"/>
      <c r="D2743" s="13"/>
      <c r="E2743" s="13"/>
      <c r="F2743" s="15"/>
      <c r="G2743" s="15"/>
      <c r="H2743" s="46"/>
      <c r="I2743" s="46"/>
      <c r="J2743" s="46"/>
      <c r="K2743" s="46"/>
      <c r="L2743" s="46"/>
      <c r="M2743" s="46"/>
      <c r="N2743" s="46"/>
      <c r="O2743" s="46"/>
      <c r="P2743" s="46"/>
      <c r="Q2743" s="46"/>
      <c r="R2743" s="46"/>
      <c r="S2743" s="46"/>
      <c r="T2743" s="46"/>
      <c r="U2743" s="46"/>
      <c r="V2743" s="46"/>
      <c r="W2743" s="46"/>
      <c r="X2743" s="46"/>
      <c r="Y2743" s="46"/>
      <c r="Z2743" s="46"/>
    </row>
    <row r="2744" ht="22.5" customHeight="1">
      <c r="A2744" s="17"/>
      <c r="B2744" s="20"/>
      <c r="C2744" s="13"/>
      <c r="D2744" s="13"/>
      <c r="E2744" s="13"/>
      <c r="F2744" s="15"/>
      <c r="G2744" s="15"/>
      <c r="H2744" s="46"/>
      <c r="I2744" s="46"/>
      <c r="J2744" s="46"/>
      <c r="K2744" s="46"/>
      <c r="L2744" s="46"/>
      <c r="M2744" s="46"/>
      <c r="N2744" s="46"/>
      <c r="O2744" s="46"/>
      <c r="P2744" s="46"/>
      <c r="Q2744" s="46"/>
      <c r="R2744" s="46"/>
      <c r="S2744" s="46"/>
      <c r="T2744" s="46"/>
      <c r="U2744" s="46"/>
      <c r="V2744" s="46"/>
      <c r="W2744" s="46"/>
      <c r="X2744" s="46"/>
      <c r="Y2744" s="46"/>
      <c r="Z2744" s="46"/>
    </row>
    <row r="2745" ht="22.5" customHeight="1">
      <c r="A2745" s="17"/>
      <c r="B2745" s="20"/>
      <c r="C2745" s="13"/>
      <c r="D2745" s="13"/>
      <c r="E2745" s="13"/>
      <c r="F2745" s="15"/>
      <c r="G2745" s="15"/>
      <c r="H2745" s="46"/>
      <c r="I2745" s="46"/>
      <c r="J2745" s="46"/>
      <c r="K2745" s="46"/>
      <c r="L2745" s="46"/>
      <c r="M2745" s="46"/>
      <c r="N2745" s="46"/>
      <c r="O2745" s="46"/>
      <c r="P2745" s="46"/>
      <c r="Q2745" s="46"/>
      <c r="R2745" s="46"/>
      <c r="S2745" s="46"/>
      <c r="T2745" s="46"/>
      <c r="U2745" s="46"/>
      <c r="V2745" s="46"/>
      <c r="W2745" s="46"/>
      <c r="X2745" s="46"/>
      <c r="Y2745" s="46"/>
      <c r="Z2745" s="46"/>
    </row>
    <row r="2746" ht="22.5" customHeight="1">
      <c r="A2746" s="17"/>
      <c r="B2746" s="20"/>
      <c r="C2746" s="13"/>
      <c r="D2746" s="13"/>
      <c r="E2746" s="13"/>
      <c r="F2746" s="15"/>
      <c r="G2746" s="15"/>
      <c r="H2746" s="46"/>
      <c r="I2746" s="46"/>
      <c r="J2746" s="46"/>
      <c r="K2746" s="46"/>
      <c r="L2746" s="46"/>
      <c r="M2746" s="46"/>
      <c r="N2746" s="46"/>
      <c r="O2746" s="46"/>
      <c r="P2746" s="46"/>
      <c r="Q2746" s="46"/>
      <c r="R2746" s="46"/>
      <c r="S2746" s="46"/>
      <c r="T2746" s="46"/>
      <c r="U2746" s="46"/>
      <c r="V2746" s="46"/>
      <c r="W2746" s="46"/>
      <c r="X2746" s="46"/>
      <c r="Y2746" s="46"/>
      <c r="Z2746" s="46"/>
    </row>
    <row r="2747" ht="22.5" customHeight="1">
      <c r="A2747" s="17"/>
      <c r="B2747" s="20"/>
      <c r="C2747" s="13"/>
      <c r="D2747" s="13"/>
      <c r="E2747" s="13"/>
      <c r="F2747" s="15"/>
      <c r="G2747" s="15"/>
      <c r="H2747" s="46"/>
      <c r="I2747" s="46"/>
      <c r="J2747" s="46"/>
      <c r="K2747" s="46"/>
      <c r="L2747" s="46"/>
      <c r="M2747" s="46"/>
      <c r="N2747" s="46"/>
      <c r="O2747" s="46"/>
      <c r="P2747" s="46"/>
      <c r="Q2747" s="46"/>
      <c r="R2747" s="46"/>
      <c r="S2747" s="46"/>
      <c r="T2747" s="46"/>
      <c r="U2747" s="46"/>
      <c r="V2747" s="46"/>
      <c r="W2747" s="46"/>
      <c r="X2747" s="46"/>
      <c r="Y2747" s="46"/>
      <c r="Z2747" s="46"/>
    </row>
    <row r="2748" ht="22.5" customHeight="1">
      <c r="A2748" s="17"/>
      <c r="B2748" s="20"/>
      <c r="C2748" s="13"/>
      <c r="D2748" s="13"/>
      <c r="E2748" s="13"/>
      <c r="F2748" s="15"/>
      <c r="G2748" s="15"/>
      <c r="H2748" s="46"/>
      <c r="I2748" s="46"/>
      <c r="J2748" s="46"/>
      <c r="K2748" s="46"/>
      <c r="L2748" s="46"/>
      <c r="M2748" s="46"/>
      <c r="N2748" s="46"/>
      <c r="O2748" s="46"/>
      <c r="P2748" s="46"/>
      <c r="Q2748" s="46"/>
      <c r="R2748" s="46"/>
      <c r="S2748" s="46"/>
      <c r="T2748" s="46"/>
      <c r="U2748" s="46"/>
      <c r="V2748" s="46"/>
      <c r="W2748" s="46"/>
      <c r="X2748" s="46"/>
      <c r="Y2748" s="46"/>
      <c r="Z2748" s="46"/>
    </row>
    <row r="2749" ht="22.5" customHeight="1">
      <c r="A2749" s="17"/>
      <c r="B2749" s="20"/>
      <c r="C2749" s="13"/>
      <c r="D2749" s="13"/>
      <c r="E2749" s="13"/>
      <c r="F2749" s="15"/>
      <c r="G2749" s="15"/>
      <c r="H2749" s="46"/>
      <c r="I2749" s="46"/>
      <c r="J2749" s="46"/>
      <c r="K2749" s="46"/>
      <c r="L2749" s="46"/>
      <c r="M2749" s="46"/>
      <c r="N2749" s="46"/>
      <c r="O2749" s="46"/>
      <c r="P2749" s="46"/>
      <c r="Q2749" s="46"/>
      <c r="R2749" s="46"/>
      <c r="S2749" s="46"/>
      <c r="T2749" s="46"/>
      <c r="U2749" s="46"/>
      <c r="V2749" s="46"/>
      <c r="W2749" s="46"/>
      <c r="X2749" s="46"/>
      <c r="Y2749" s="46"/>
      <c r="Z2749" s="46"/>
    </row>
    <row r="2750" ht="22.5" customHeight="1">
      <c r="A2750" s="17"/>
      <c r="B2750" s="20"/>
      <c r="C2750" s="13"/>
      <c r="D2750" s="13"/>
      <c r="E2750" s="13"/>
      <c r="F2750" s="15"/>
      <c r="G2750" s="15"/>
      <c r="H2750" s="46"/>
      <c r="I2750" s="46"/>
      <c r="J2750" s="46"/>
      <c r="K2750" s="46"/>
      <c r="L2750" s="46"/>
      <c r="M2750" s="46"/>
      <c r="N2750" s="46"/>
      <c r="O2750" s="46"/>
      <c r="P2750" s="46"/>
      <c r="Q2750" s="46"/>
      <c r="R2750" s="46"/>
      <c r="S2750" s="46"/>
      <c r="T2750" s="46"/>
      <c r="U2750" s="46"/>
      <c r="V2750" s="46"/>
      <c r="W2750" s="46"/>
      <c r="X2750" s="46"/>
      <c r="Y2750" s="46"/>
      <c r="Z2750" s="46"/>
    </row>
    <row r="2751" ht="22.5" customHeight="1">
      <c r="A2751" s="17"/>
      <c r="B2751" s="20"/>
      <c r="C2751" s="13"/>
      <c r="D2751" s="13"/>
      <c r="E2751" s="13"/>
      <c r="F2751" s="15"/>
      <c r="G2751" s="15"/>
      <c r="H2751" s="46"/>
      <c r="I2751" s="46"/>
      <c r="J2751" s="46"/>
      <c r="K2751" s="46"/>
      <c r="L2751" s="46"/>
      <c r="M2751" s="46"/>
      <c r="N2751" s="46"/>
      <c r="O2751" s="46"/>
      <c r="P2751" s="46"/>
      <c r="Q2751" s="46"/>
      <c r="R2751" s="46"/>
      <c r="S2751" s="46"/>
      <c r="T2751" s="46"/>
      <c r="U2751" s="46"/>
      <c r="V2751" s="46"/>
      <c r="W2751" s="46"/>
      <c r="X2751" s="46"/>
      <c r="Y2751" s="46"/>
      <c r="Z2751" s="46"/>
    </row>
    <row r="2752" ht="22.5" customHeight="1">
      <c r="A2752" s="17"/>
      <c r="B2752" s="20"/>
      <c r="C2752" s="13"/>
      <c r="D2752" s="13"/>
      <c r="E2752" s="13"/>
      <c r="F2752" s="15"/>
      <c r="G2752" s="15"/>
      <c r="H2752" s="46"/>
      <c r="I2752" s="46"/>
      <c r="J2752" s="46"/>
      <c r="K2752" s="46"/>
      <c r="L2752" s="46"/>
      <c r="M2752" s="46"/>
      <c r="N2752" s="46"/>
      <c r="O2752" s="46"/>
      <c r="P2752" s="46"/>
      <c r="Q2752" s="46"/>
      <c r="R2752" s="46"/>
      <c r="S2752" s="46"/>
      <c r="T2752" s="46"/>
      <c r="U2752" s="46"/>
      <c r="V2752" s="46"/>
      <c r="W2752" s="46"/>
      <c r="X2752" s="46"/>
      <c r="Y2752" s="46"/>
      <c r="Z2752" s="46"/>
    </row>
    <row r="2753" ht="22.5" customHeight="1">
      <c r="A2753" s="17"/>
      <c r="B2753" s="20"/>
      <c r="C2753" s="13"/>
      <c r="D2753" s="13"/>
      <c r="E2753" s="13"/>
      <c r="F2753" s="15"/>
      <c r="G2753" s="15"/>
      <c r="H2753" s="46"/>
      <c r="I2753" s="46"/>
      <c r="J2753" s="46"/>
      <c r="K2753" s="46"/>
      <c r="L2753" s="46"/>
      <c r="M2753" s="46"/>
      <c r="N2753" s="46"/>
      <c r="O2753" s="46"/>
      <c r="P2753" s="46"/>
      <c r="Q2753" s="46"/>
      <c r="R2753" s="46"/>
      <c r="S2753" s="46"/>
      <c r="T2753" s="46"/>
      <c r="U2753" s="46"/>
      <c r="V2753" s="46"/>
      <c r="W2753" s="46"/>
      <c r="X2753" s="46"/>
      <c r="Y2753" s="46"/>
      <c r="Z2753" s="46"/>
    </row>
    <row r="2754" ht="22.5" customHeight="1">
      <c r="A2754" s="17"/>
      <c r="B2754" s="20"/>
      <c r="C2754" s="13"/>
      <c r="D2754" s="13"/>
      <c r="E2754" s="13"/>
      <c r="F2754" s="15"/>
      <c r="G2754" s="15"/>
      <c r="H2754" s="46"/>
      <c r="I2754" s="46"/>
      <c r="J2754" s="46"/>
      <c r="K2754" s="46"/>
      <c r="L2754" s="46"/>
      <c r="M2754" s="46"/>
      <c r="N2754" s="46"/>
      <c r="O2754" s="46"/>
      <c r="P2754" s="46"/>
      <c r="Q2754" s="46"/>
      <c r="R2754" s="46"/>
      <c r="S2754" s="46"/>
      <c r="T2754" s="46"/>
      <c r="U2754" s="46"/>
      <c r="V2754" s="46"/>
      <c r="W2754" s="46"/>
      <c r="X2754" s="46"/>
      <c r="Y2754" s="46"/>
      <c r="Z2754" s="46"/>
    </row>
    <row r="2755" ht="22.5" customHeight="1">
      <c r="A2755" s="17"/>
      <c r="B2755" s="20"/>
      <c r="C2755" s="13"/>
      <c r="D2755" s="13"/>
      <c r="E2755" s="13"/>
      <c r="F2755" s="15"/>
      <c r="G2755" s="15"/>
      <c r="H2755" s="46"/>
      <c r="I2755" s="46"/>
      <c r="J2755" s="46"/>
      <c r="K2755" s="46"/>
      <c r="L2755" s="46"/>
      <c r="M2755" s="46"/>
      <c r="N2755" s="46"/>
      <c r="O2755" s="46"/>
      <c r="P2755" s="46"/>
      <c r="Q2755" s="46"/>
      <c r="R2755" s="46"/>
      <c r="S2755" s="46"/>
      <c r="T2755" s="46"/>
      <c r="U2755" s="46"/>
      <c r="V2755" s="46"/>
      <c r="W2755" s="46"/>
      <c r="X2755" s="46"/>
      <c r="Y2755" s="46"/>
      <c r="Z2755" s="46"/>
    </row>
    <row r="2756" ht="22.5" customHeight="1">
      <c r="A2756" s="17"/>
      <c r="B2756" s="20"/>
      <c r="C2756" s="13"/>
      <c r="D2756" s="13"/>
      <c r="E2756" s="13"/>
      <c r="F2756" s="15"/>
      <c r="G2756" s="15"/>
      <c r="H2756" s="46"/>
      <c r="I2756" s="46"/>
      <c r="J2756" s="46"/>
      <c r="K2756" s="46"/>
      <c r="L2756" s="46"/>
      <c r="M2756" s="46"/>
      <c r="N2756" s="46"/>
      <c r="O2756" s="46"/>
      <c r="P2756" s="46"/>
      <c r="Q2756" s="46"/>
      <c r="R2756" s="46"/>
      <c r="S2756" s="46"/>
      <c r="T2756" s="46"/>
      <c r="U2756" s="46"/>
      <c r="V2756" s="46"/>
      <c r="W2756" s="46"/>
      <c r="X2756" s="46"/>
      <c r="Y2756" s="46"/>
      <c r="Z2756" s="46"/>
    </row>
    <row r="2757" ht="22.5" customHeight="1">
      <c r="A2757" s="17"/>
      <c r="B2757" s="20"/>
      <c r="C2757" s="13"/>
      <c r="D2757" s="13"/>
      <c r="E2757" s="13"/>
      <c r="F2757" s="15"/>
      <c r="G2757" s="15"/>
      <c r="H2757" s="46"/>
      <c r="I2757" s="46"/>
      <c r="J2757" s="46"/>
      <c r="K2757" s="46"/>
      <c r="L2757" s="46"/>
      <c r="M2757" s="46"/>
      <c r="N2757" s="46"/>
      <c r="O2757" s="46"/>
      <c r="P2757" s="46"/>
      <c r="Q2757" s="46"/>
      <c r="R2757" s="46"/>
      <c r="S2757" s="46"/>
      <c r="T2757" s="46"/>
      <c r="U2757" s="46"/>
      <c r="V2757" s="46"/>
      <c r="W2757" s="46"/>
      <c r="X2757" s="46"/>
      <c r="Y2757" s="46"/>
      <c r="Z2757" s="46"/>
    </row>
    <row r="2758" ht="22.5" customHeight="1">
      <c r="A2758" s="17"/>
      <c r="B2758" s="20"/>
      <c r="C2758" s="13"/>
      <c r="D2758" s="13"/>
      <c r="E2758" s="13"/>
      <c r="F2758" s="15"/>
      <c r="G2758" s="15"/>
      <c r="H2758" s="46"/>
      <c r="I2758" s="46"/>
      <c r="J2758" s="46"/>
      <c r="K2758" s="46"/>
      <c r="L2758" s="46"/>
      <c r="M2758" s="46"/>
      <c r="N2758" s="46"/>
      <c r="O2758" s="46"/>
      <c r="P2758" s="46"/>
      <c r="Q2758" s="46"/>
      <c r="R2758" s="46"/>
      <c r="S2758" s="46"/>
      <c r="T2758" s="46"/>
      <c r="U2758" s="46"/>
      <c r="V2758" s="46"/>
      <c r="W2758" s="46"/>
      <c r="X2758" s="46"/>
      <c r="Y2758" s="46"/>
      <c r="Z2758" s="46"/>
    </row>
    <row r="2759" ht="22.5" customHeight="1">
      <c r="A2759" s="17"/>
      <c r="B2759" s="20"/>
      <c r="C2759" s="13"/>
      <c r="D2759" s="13"/>
      <c r="E2759" s="13"/>
      <c r="F2759" s="15"/>
      <c r="G2759" s="15"/>
      <c r="H2759" s="46"/>
      <c r="I2759" s="46"/>
      <c r="J2759" s="46"/>
      <c r="K2759" s="46"/>
      <c r="L2759" s="46"/>
      <c r="M2759" s="46"/>
      <c r="N2759" s="46"/>
      <c r="O2759" s="46"/>
      <c r="P2759" s="46"/>
      <c r="Q2759" s="46"/>
      <c r="R2759" s="46"/>
      <c r="S2759" s="46"/>
      <c r="T2759" s="46"/>
      <c r="U2759" s="46"/>
      <c r="V2759" s="46"/>
      <c r="W2759" s="46"/>
      <c r="X2759" s="46"/>
      <c r="Y2759" s="46"/>
      <c r="Z2759" s="46"/>
    </row>
    <row r="2760" ht="22.5" customHeight="1">
      <c r="A2760" s="17"/>
      <c r="B2760" s="20"/>
      <c r="C2760" s="13"/>
      <c r="D2760" s="13"/>
      <c r="E2760" s="13"/>
      <c r="F2760" s="15"/>
      <c r="G2760" s="15"/>
      <c r="H2760" s="46"/>
      <c r="I2760" s="46"/>
      <c r="J2760" s="46"/>
      <c r="K2760" s="46"/>
      <c r="L2760" s="46"/>
      <c r="M2760" s="46"/>
      <c r="N2760" s="46"/>
      <c r="O2760" s="46"/>
      <c r="P2760" s="46"/>
      <c r="Q2760" s="46"/>
      <c r="R2760" s="46"/>
      <c r="S2760" s="46"/>
      <c r="T2760" s="46"/>
      <c r="U2760" s="46"/>
      <c r="V2760" s="46"/>
      <c r="W2760" s="46"/>
      <c r="X2760" s="46"/>
      <c r="Y2760" s="46"/>
      <c r="Z2760" s="46"/>
    </row>
    <row r="2761" ht="22.5" customHeight="1">
      <c r="A2761" s="17"/>
      <c r="B2761" s="20"/>
      <c r="C2761" s="13"/>
      <c r="D2761" s="13"/>
      <c r="E2761" s="13"/>
      <c r="F2761" s="15"/>
      <c r="G2761" s="15"/>
      <c r="H2761" s="46"/>
      <c r="I2761" s="46"/>
      <c r="J2761" s="46"/>
      <c r="K2761" s="46"/>
      <c r="L2761" s="46"/>
      <c r="M2761" s="46"/>
      <c r="N2761" s="46"/>
      <c r="O2761" s="46"/>
      <c r="P2761" s="46"/>
      <c r="Q2761" s="46"/>
      <c r="R2761" s="46"/>
      <c r="S2761" s="46"/>
      <c r="T2761" s="46"/>
      <c r="U2761" s="46"/>
      <c r="V2761" s="46"/>
      <c r="W2761" s="46"/>
      <c r="X2761" s="46"/>
      <c r="Y2761" s="46"/>
      <c r="Z2761" s="46"/>
    </row>
    <row r="2762" ht="22.5" customHeight="1">
      <c r="A2762" s="17"/>
      <c r="B2762" s="20"/>
      <c r="C2762" s="13"/>
      <c r="D2762" s="13"/>
      <c r="E2762" s="13"/>
      <c r="F2762" s="15"/>
      <c r="G2762" s="15"/>
      <c r="H2762" s="46"/>
      <c r="I2762" s="46"/>
      <c r="J2762" s="46"/>
      <c r="K2762" s="46"/>
      <c r="L2762" s="46"/>
      <c r="M2762" s="46"/>
      <c r="N2762" s="46"/>
      <c r="O2762" s="46"/>
      <c r="P2762" s="46"/>
      <c r="Q2762" s="46"/>
      <c r="R2762" s="46"/>
      <c r="S2762" s="46"/>
      <c r="T2762" s="46"/>
      <c r="U2762" s="46"/>
      <c r="V2762" s="46"/>
      <c r="W2762" s="46"/>
      <c r="X2762" s="46"/>
      <c r="Y2762" s="46"/>
      <c r="Z2762" s="46"/>
    </row>
    <row r="2763" ht="22.5" customHeight="1">
      <c r="A2763" s="17"/>
      <c r="B2763" s="20"/>
      <c r="C2763" s="13"/>
      <c r="D2763" s="13"/>
      <c r="E2763" s="13"/>
      <c r="F2763" s="15"/>
      <c r="G2763" s="15"/>
      <c r="H2763" s="46"/>
      <c r="I2763" s="46"/>
      <c r="J2763" s="46"/>
      <c r="K2763" s="46"/>
      <c r="L2763" s="46"/>
      <c r="M2763" s="46"/>
      <c r="N2763" s="46"/>
      <c r="O2763" s="46"/>
      <c r="P2763" s="46"/>
      <c r="Q2763" s="46"/>
      <c r="R2763" s="46"/>
      <c r="S2763" s="46"/>
      <c r="T2763" s="46"/>
      <c r="U2763" s="46"/>
      <c r="V2763" s="46"/>
      <c r="W2763" s="46"/>
      <c r="X2763" s="46"/>
      <c r="Y2763" s="46"/>
      <c r="Z2763" s="46"/>
    </row>
    <row r="2764" ht="22.5" customHeight="1">
      <c r="A2764" s="17"/>
      <c r="B2764" s="20"/>
      <c r="C2764" s="13"/>
      <c r="D2764" s="13"/>
      <c r="E2764" s="13"/>
      <c r="F2764" s="15"/>
      <c r="G2764" s="15"/>
      <c r="H2764" s="46"/>
      <c r="I2764" s="46"/>
      <c r="J2764" s="46"/>
      <c r="K2764" s="46"/>
      <c r="L2764" s="46"/>
      <c r="M2764" s="46"/>
      <c r="N2764" s="46"/>
      <c r="O2764" s="46"/>
      <c r="P2764" s="46"/>
      <c r="Q2764" s="46"/>
      <c r="R2764" s="46"/>
      <c r="S2764" s="46"/>
      <c r="T2764" s="46"/>
      <c r="U2764" s="46"/>
      <c r="V2764" s="46"/>
      <c r="W2764" s="46"/>
      <c r="X2764" s="46"/>
      <c r="Y2764" s="46"/>
      <c r="Z2764" s="46"/>
    </row>
    <row r="2765" ht="22.5" customHeight="1">
      <c r="A2765" s="17"/>
      <c r="B2765" s="20"/>
      <c r="C2765" s="13"/>
      <c r="D2765" s="13"/>
      <c r="E2765" s="13"/>
      <c r="F2765" s="15"/>
      <c r="G2765" s="15"/>
      <c r="H2765" s="46"/>
      <c r="I2765" s="46"/>
      <c r="J2765" s="46"/>
      <c r="K2765" s="46"/>
      <c r="L2765" s="46"/>
      <c r="M2765" s="46"/>
      <c r="N2765" s="46"/>
      <c r="O2765" s="46"/>
      <c r="P2765" s="46"/>
      <c r="Q2765" s="46"/>
      <c r="R2765" s="46"/>
      <c r="S2765" s="46"/>
      <c r="T2765" s="46"/>
      <c r="U2765" s="46"/>
      <c r="V2765" s="46"/>
      <c r="W2765" s="46"/>
      <c r="X2765" s="46"/>
      <c r="Y2765" s="46"/>
      <c r="Z2765" s="46"/>
    </row>
    <row r="2766" ht="22.5" customHeight="1">
      <c r="A2766" s="17"/>
      <c r="B2766" s="20"/>
      <c r="C2766" s="13"/>
      <c r="D2766" s="13"/>
      <c r="E2766" s="13"/>
      <c r="F2766" s="15"/>
      <c r="G2766" s="15"/>
      <c r="H2766" s="46"/>
      <c r="I2766" s="46"/>
      <c r="J2766" s="46"/>
      <c r="K2766" s="46"/>
      <c r="L2766" s="46"/>
      <c r="M2766" s="46"/>
      <c r="N2766" s="46"/>
      <c r="O2766" s="46"/>
      <c r="P2766" s="46"/>
      <c r="Q2766" s="46"/>
      <c r="R2766" s="46"/>
      <c r="S2766" s="46"/>
      <c r="T2766" s="46"/>
      <c r="U2766" s="46"/>
      <c r="V2766" s="46"/>
      <c r="W2766" s="46"/>
      <c r="X2766" s="46"/>
      <c r="Y2766" s="46"/>
      <c r="Z2766" s="46"/>
    </row>
    <row r="2767" ht="22.5" customHeight="1">
      <c r="A2767" s="17"/>
      <c r="B2767" s="20"/>
      <c r="C2767" s="13"/>
      <c r="D2767" s="13"/>
      <c r="E2767" s="13"/>
      <c r="F2767" s="15"/>
      <c r="G2767" s="15"/>
      <c r="H2767" s="46"/>
      <c r="I2767" s="46"/>
      <c r="J2767" s="46"/>
      <c r="K2767" s="46"/>
      <c r="L2767" s="46"/>
      <c r="M2767" s="46"/>
      <c r="N2767" s="46"/>
      <c r="O2767" s="46"/>
      <c r="P2767" s="46"/>
      <c r="Q2767" s="46"/>
      <c r="R2767" s="46"/>
      <c r="S2767" s="46"/>
      <c r="T2767" s="46"/>
      <c r="U2767" s="46"/>
      <c r="V2767" s="46"/>
      <c r="W2767" s="46"/>
      <c r="X2767" s="46"/>
      <c r="Y2767" s="46"/>
      <c r="Z2767" s="46"/>
    </row>
    <row r="2768" ht="22.5" customHeight="1">
      <c r="A2768" s="17"/>
      <c r="B2768" s="20"/>
      <c r="C2768" s="13"/>
      <c r="D2768" s="13"/>
      <c r="E2768" s="13"/>
      <c r="F2768" s="15"/>
      <c r="G2768" s="15"/>
      <c r="H2768" s="46"/>
      <c r="I2768" s="46"/>
      <c r="J2768" s="46"/>
      <c r="K2768" s="46"/>
      <c r="L2768" s="46"/>
      <c r="M2768" s="46"/>
      <c r="N2768" s="46"/>
      <c r="O2768" s="46"/>
      <c r="P2768" s="46"/>
      <c r="Q2768" s="46"/>
      <c r="R2768" s="46"/>
      <c r="S2768" s="46"/>
      <c r="T2768" s="46"/>
      <c r="U2768" s="46"/>
      <c r="V2768" s="46"/>
      <c r="W2768" s="46"/>
      <c r="X2768" s="46"/>
      <c r="Y2768" s="46"/>
      <c r="Z2768" s="46"/>
    </row>
    <row r="2769" ht="22.5" customHeight="1">
      <c r="A2769" s="17"/>
      <c r="B2769" s="20"/>
      <c r="C2769" s="13"/>
      <c r="D2769" s="13"/>
      <c r="E2769" s="13"/>
      <c r="F2769" s="15"/>
      <c r="G2769" s="15"/>
      <c r="H2769" s="46"/>
      <c r="I2769" s="46"/>
      <c r="J2769" s="46"/>
      <c r="K2769" s="46"/>
      <c r="L2769" s="46"/>
      <c r="M2769" s="46"/>
      <c r="N2769" s="46"/>
      <c r="O2769" s="46"/>
      <c r="P2769" s="46"/>
      <c r="Q2769" s="46"/>
      <c r="R2769" s="46"/>
      <c r="S2769" s="46"/>
      <c r="T2769" s="46"/>
      <c r="U2769" s="46"/>
      <c r="V2769" s="46"/>
      <c r="W2769" s="46"/>
      <c r="X2769" s="46"/>
      <c r="Y2769" s="46"/>
      <c r="Z2769" s="46"/>
    </row>
    <row r="2770" ht="22.5" customHeight="1">
      <c r="A2770" s="17"/>
      <c r="B2770" s="20"/>
      <c r="C2770" s="13"/>
      <c r="D2770" s="13"/>
      <c r="E2770" s="13"/>
      <c r="F2770" s="15"/>
      <c r="G2770" s="15"/>
      <c r="H2770" s="46"/>
      <c r="I2770" s="46"/>
      <c r="J2770" s="46"/>
      <c r="K2770" s="46"/>
      <c r="L2770" s="46"/>
      <c r="M2770" s="46"/>
      <c r="N2770" s="46"/>
      <c r="O2770" s="46"/>
      <c r="P2770" s="46"/>
      <c r="Q2770" s="46"/>
      <c r="R2770" s="46"/>
      <c r="S2770" s="46"/>
      <c r="T2770" s="46"/>
      <c r="U2770" s="46"/>
      <c r="V2770" s="46"/>
      <c r="W2770" s="46"/>
      <c r="X2770" s="46"/>
      <c r="Y2770" s="46"/>
      <c r="Z2770" s="46"/>
    </row>
    <row r="2771" ht="22.5" customHeight="1">
      <c r="A2771" s="17"/>
      <c r="B2771" s="20"/>
      <c r="C2771" s="13"/>
      <c r="D2771" s="13"/>
      <c r="E2771" s="13"/>
      <c r="F2771" s="15"/>
      <c r="G2771" s="15"/>
      <c r="H2771" s="46"/>
      <c r="I2771" s="46"/>
      <c r="J2771" s="46"/>
      <c r="K2771" s="46"/>
      <c r="L2771" s="46"/>
      <c r="M2771" s="46"/>
      <c r="N2771" s="46"/>
      <c r="O2771" s="46"/>
      <c r="P2771" s="46"/>
      <c r="Q2771" s="46"/>
      <c r="R2771" s="46"/>
      <c r="S2771" s="46"/>
      <c r="T2771" s="46"/>
      <c r="U2771" s="46"/>
      <c r="V2771" s="46"/>
      <c r="W2771" s="46"/>
      <c r="X2771" s="46"/>
      <c r="Y2771" s="46"/>
      <c r="Z2771" s="46"/>
    </row>
    <row r="2772" ht="22.5" customHeight="1">
      <c r="A2772" s="17"/>
      <c r="B2772" s="20"/>
      <c r="C2772" s="13"/>
      <c r="D2772" s="13"/>
      <c r="E2772" s="13"/>
      <c r="F2772" s="15"/>
      <c r="G2772" s="15"/>
      <c r="H2772" s="46"/>
      <c r="I2772" s="46"/>
      <c r="J2772" s="46"/>
      <c r="K2772" s="46"/>
      <c r="L2772" s="46"/>
      <c r="M2772" s="46"/>
      <c r="N2772" s="46"/>
      <c r="O2772" s="46"/>
      <c r="P2772" s="46"/>
      <c r="Q2772" s="46"/>
      <c r="R2772" s="46"/>
      <c r="S2772" s="46"/>
      <c r="T2772" s="46"/>
      <c r="U2772" s="46"/>
      <c r="V2772" s="46"/>
      <c r="W2772" s="46"/>
      <c r="X2772" s="46"/>
      <c r="Y2772" s="46"/>
      <c r="Z2772" s="46"/>
    </row>
    <row r="2773" ht="22.5" customHeight="1">
      <c r="A2773" s="17"/>
      <c r="B2773" s="20"/>
      <c r="C2773" s="13"/>
      <c r="D2773" s="13"/>
      <c r="E2773" s="13"/>
      <c r="F2773" s="15"/>
      <c r="G2773" s="15"/>
      <c r="H2773" s="46"/>
      <c r="I2773" s="46"/>
      <c r="J2773" s="46"/>
      <c r="K2773" s="46"/>
      <c r="L2773" s="46"/>
      <c r="M2773" s="46"/>
      <c r="N2773" s="46"/>
      <c r="O2773" s="46"/>
      <c r="P2773" s="46"/>
      <c r="Q2773" s="46"/>
      <c r="R2773" s="46"/>
      <c r="S2773" s="46"/>
      <c r="T2773" s="46"/>
      <c r="U2773" s="46"/>
      <c r="V2773" s="46"/>
      <c r="W2773" s="46"/>
      <c r="X2773" s="46"/>
      <c r="Y2773" s="46"/>
      <c r="Z2773" s="46"/>
    </row>
    <row r="2774" ht="22.5" customHeight="1">
      <c r="A2774" s="17"/>
      <c r="B2774" s="20"/>
      <c r="C2774" s="13"/>
      <c r="D2774" s="13"/>
      <c r="E2774" s="13"/>
      <c r="F2774" s="15"/>
      <c r="G2774" s="15"/>
      <c r="H2774" s="46"/>
      <c r="I2774" s="46"/>
      <c r="J2774" s="46"/>
      <c r="K2774" s="46"/>
      <c r="L2774" s="46"/>
      <c r="M2774" s="46"/>
      <c r="N2774" s="46"/>
      <c r="O2774" s="46"/>
      <c r="P2774" s="46"/>
      <c r="Q2774" s="46"/>
      <c r="R2774" s="46"/>
      <c r="S2774" s="46"/>
      <c r="T2774" s="46"/>
      <c r="U2774" s="46"/>
      <c r="V2774" s="46"/>
      <c r="W2774" s="46"/>
      <c r="X2774" s="46"/>
      <c r="Y2774" s="46"/>
      <c r="Z2774" s="46"/>
    </row>
    <row r="2775" ht="22.5" customHeight="1">
      <c r="A2775" s="17"/>
      <c r="B2775" s="20"/>
      <c r="C2775" s="13"/>
      <c r="D2775" s="13"/>
      <c r="E2775" s="13"/>
      <c r="F2775" s="15"/>
      <c r="G2775" s="15"/>
      <c r="H2775" s="46"/>
      <c r="I2775" s="46"/>
      <c r="J2775" s="46"/>
      <c r="K2775" s="46"/>
      <c r="L2775" s="46"/>
      <c r="M2775" s="46"/>
      <c r="N2775" s="46"/>
      <c r="O2775" s="46"/>
      <c r="P2775" s="46"/>
      <c r="Q2775" s="46"/>
      <c r="R2775" s="46"/>
      <c r="S2775" s="46"/>
      <c r="T2775" s="46"/>
      <c r="U2775" s="46"/>
      <c r="V2775" s="46"/>
      <c r="W2775" s="46"/>
      <c r="X2775" s="46"/>
      <c r="Y2775" s="46"/>
      <c r="Z2775" s="46"/>
    </row>
    <row r="2776" ht="22.5" customHeight="1">
      <c r="A2776" s="17"/>
      <c r="B2776" s="20"/>
      <c r="C2776" s="13"/>
      <c r="D2776" s="13"/>
      <c r="E2776" s="13"/>
      <c r="F2776" s="15"/>
      <c r="G2776" s="15"/>
      <c r="H2776" s="46"/>
      <c r="I2776" s="46"/>
      <c r="J2776" s="46"/>
      <c r="K2776" s="46"/>
      <c r="L2776" s="46"/>
      <c r="M2776" s="46"/>
      <c r="N2776" s="46"/>
      <c r="O2776" s="46"/>
      <c r="P2776" s="46"/>
      <c r="Q2776" s="46"/>
      <c r="R2776" s="46"/>
      <c r="S2776" s="46"/>
      <c r="T2776" s="46"/>
      <c r="U2776" s="46"/>
      <c r="V2776" s="46"/>
      <c r="W2776" s="46"/>
      <c r="X2776" s="46"/>
      <c r="Y2776" s="46"/>
      <c r="Z2776" s="46"/>
    </row>
    <row r="2777" ht="22.5" customHeight="1">
      <c r="A2777" s="17"/>
      <c r="B2777" s="20"/>
      <c r="C2777" s="13"/>
      <c r="D2777" s="13"/>
      <c r="E2777" s="13"/>
      <c r="F2777" s="15"/>
      <c r="G2777" s="15"/>
      <c r="H2777" s="46"/>
      <c r="I2777" s="46"/>
      <c r="J2777" s="46"/>
      <c r="K2777" s="46"/>
      <c r="L2777" s="46"/>
      <c r="M2777" s="46"/>
      <c r="N2777" s="46"/>
      <c r="O2777" s="46"/>
      <c r="P2777" s="46"/>
      <c r="Q2777" s="46"/>
      <c r="R2777" s="46"/>
      <c r="S2777" s="46"/>
      <c r="T2777" s="46"/>
      <c r="U2777" s="46"/>
      <c r="V2777" s="46"/>
      <c r="W2777" s="46"/>
      <c r="X2777" s="46"/>
      <c r="Y2777" s="46"/>
      <c r="Z2777" s="46"/>
    </row>
    <row r="2778" ht="22.5" customHeight="1">
      <c r="A2778" s="17"/>
      <c r="B2778" s="20"/>
      <c r="C2778" s="13"/>
      <c r="D2778" s="13"/>
      <c r="E2778" s="13"/>
      <c r="F2778" s="15"/>
      <c r="G2778" s="15"/>
      <c r="H2778" s="46"/>
      <c r="I2778" s="46"/>
      <c r="J2778" s="46"/>
      <c r="K2778" s="46"/>
      <c r="L2778" s="46"/>
      <c r="M2778" s="46"/>
      <c r="N2778" s="46"/>
      <c r="O2778" s="46"/>
      <c r="P2778" s="46"/>
      <c r="Q2778" s="46"/>
      <c r="R2778" s="46"/>
      <c r="S2778" s="46"/>
      <c r="T2778" s="46"/>
      <c r="U2778" s="46"/>
      <c r="V2778" s="46"/>
      <c r="W2778" s="46"/>
      <c r="X2778" s="46"/>
      <c r="Y2778" s="46"/>
      <c r="Z2778" s="46"/>
    </row>
    <row r="2779" ht="22.5" customHeight="1">
      <c r="A2779" s="17"/>
      <c r="B2779" s="20"/>
      <c r="C2779" s="13"/>
      <c r="D2779" s="13"/>
      <c r="E2779" s="13"/>
      <c r="F2779" s="15"/>
      <c r="G2779" s="15"/>
      <c r="H2779" s="46"/>
      <c r="I2779" s="46"/>
      <c r="J2779" s="46"/>
      <c r="K2779" s="46"/>
      <c r="L2779" s="46"/>
      <c r="M2779" s="46"/>
      <c r="N2779" s="46"/>
      <c r="O2779" s="46"/>
      <c r="P2779" s="46"/>
      <c r="Q2779" s="46"/>
      <c r="R2779" s="46"/>
      <c r="S2779" s="46"/>
      <c r="T2779" s="46"/>
      <c r="U2779" s="46"/>
      <c r="V2779" s="46"/>
      <c r="W2779" s="46"/>
      <c r="X2779" s="46"/>
      <c r="Y2779" s="46"/>
      <c r="Z2779" s="46"/>
    </row>
    <row r="2780" ht="22.5" customHeight="1">
      <c r="A2780" s="17"/>
      <c r="B2780" s="20"/>
      <c r="C2780" s="13"/>
      <c r="D2780" s="13"/>
      <c r="E2780" s="13"/>
      <c r="F2780" s="15"/>
      <c r="G2780" s="15"/>
      <c r="H2780" s="46"/>
      <c r="I2780" s="46"/>
      <c r="J2780" s="46"/>
      <c r="K2780" s="46"/>
      <c r="L2780" s="46"/>
      <c r="M2780" s="46"/>
      <c r="N2780" s="46"/>
      <c r="O2780" s="46"/>
      <c r="P2780" s="46"/>
      <c r="Q2780" s="46"/>
      <c r="R2780" s="46"/>
      <c r="S2780" s="46"/>
      <c r="T2780" s="46"/>
      <c r="U2780" s="46"/>
      <c r="V2780" s="46"/>
      <c r="W2780" s="46"/>
      <c r="X2780" s="46"/>
      <c r="Y2780" s="46"/>
      <c r="Z2780" s="46"/>
    </row>
    <row r="2781" ht="22.5" customHeight="1">
      <c r="A2781" s="17"/>
      <c r="B2781" s="20"/>
      <c r="C2781" s="13"/>
      <c r="D2781" s="13"/>
      <c r="E2781" s="13"/>
      <c r="F2781" s="15"/>
      <c r="G2781" s="15"/>
      <c r="H2781" s="46"/>
      <c r="I2781" s="46"/>
      <c r="J2781" s="46"/>
      <c r="K2781" s="46"/>
      <c r="L2781" s="46"/>
      <c r="M2781" s="46"/>
      <c r="N2781" s="46"/>
      <c r="O2781" s="46"/>
      <c r="P2781" s="46"/>
      <c r="Q2781" s="46"/>
      <c r="R2781" s="46"/>
      <c r="S2781" s="46"/>
      <c r="T2781" s="46"/>
      <c r="U2781" s="46"/>
      <c r="V2781" s="46"/>
      <c r="W2781" s="46"/>
      <c r="X2781" s="46"/>
      <c r="Y2781" s="46"/>
      <c r="Z2781" s="46"/>
    </row>
    <row r="2782" ht="22.5" customHeight="1">
      <c r="A2782" s="17"/>
      <c r="B2782" s="20"/>
      <c r="C2782" s="13"/>
      <c r="D2782" s="13"/>
      <c r="E2782" s="13"/>
      <c r="F2782" s="15"/>
      <c r="G2782" s="15"/>
      <c r="H2782" s="46"/>
      <c r="I2782" s="46"/>
      <c r="J2782" s="46"/>
      <c r="K2782" s="46"/>
      <c r="L2782" s="46"/>
      <c r="M2782" s="46"/>
      <c r="N2782" s="46"/>
      <c r="O2782" s="46"/>
      <c r="P2782" s="46"/>
      <c r="Q2782" s="46"/>
      <c r="R2782" s="46"/>
      <c r="S2782" s="46"/>
      <c r="T2782" s="46"/>
      <c r="U2782" s="46"/>
      <c r="V2782" s="46"/>
      <c r="W2782" s="46"/>
      <c r="X2782" s="46"/>
      <c r="Y2782" s="46"/>
      <c r="Z2782" s="46"/>
    </row>
    <row r="2783" ht="22.5" customHeight="1">
      <c r="A2783" s="17"/>
      <c r="B2783" s="20"/>
      <c r="C2783" s="13"/>
      <c r="D2783" s="13"/>
      <c r="E2783" s="13"/>
      <c r="F2783" s="15"/>
      <c r="G2783" s="15"/>
      <c r="H2783" s="46"/>
      <c r="I2783" s="46"/>
      <c r="J2783" s="46"/>
      <c r="K2783" s="46"/>
      <c r="L2783" s="46"/>
      <c r="M2783" s="46"/>
      <c r="N2783" s="46"/>
      <c r="O2783" s="46"/>
      <c r="P2783" s="46"/>
      <c r="Q2783" s="46"/>
      <c r="R2783" s="46"/>
      <c r="S2783" s="46"/>
      <c r="T2783" s="46"/>
      <c r="U2783" s="46"/>
      <c r="V2783" s="46"/>
      <c r="W2783" s="46"/>
      <c r="X2783" s="46"/>
      <c r="Y2783" s="46"/>
      <c r="Z2783" s="46"/>
    </row>
    <row r="2784" ht="22.5" customHeight="1">
      <c r="A2784" s="17"/>
      <c r="B2784" s="20"/>
      <c r="C2784" s="13"/>
      <c r="D2784" s="13"/>
      <c r="E2784" s="13"/>
      <c r="F2784" s="15"/>
      <c r="G2784" s="15"/>
      <c r="H2784" s="46"/>
      <c r="I2784" s="46"/>
      <c r="J2784" s="46"/>
      <c r="K2784" s="46"/>
      <c r="L2784" s="46"/>
      <c r="M2784" s="46"/>
      <c r="N2784" s="46"/>
      <c r="O2784" s="46"/>
      <c r="P2784" s="46"/>
      <c r="Q2784" s="46"/>
      <c r="R2784" s="46"/>
      <c r="S2784" s="46"/>
      <c r="T2784" s="46"/>
      <c r="U2784" s="46"/>
      <c r="V2784" s="46"/>
      <c r="W2784" s="46"/>
      <c r="X2784" s="46"/>
      <c r="Y2784" s="46"/>
      <c r="Z2784" s="46"/>
    </row>
    <row r="2785" ht="22.5" customHeight="1">
      <c r="A2785" s="17"/>
      <c r="B2785" s="20"/>
      <c r="C2785" s="13"/>
      <c r="D2785" s="13"/>
      <c r="E2785" s="13"/>
      <c r="F2785" s="15"/>
      <c r="G2785" s="15"/>
      <c r="H2785" s="46"/>
      <c r="I2785" s="46"/>
      <c r="J2785" s="46"/>
      <c r="K2785" s="46"/>
      <c r="L2785" s="46"/>
      <c r="M2785" s="46"/>
      <c r="N2785" s="46"/>
      <c r="O2785" s="46"/>
      <c r="P2785" s="46"/>
      <c r="Q2785" s="46"/>
      <c r="R2785" s="46"/>
      <c r="S2785" s="46"/>
      <c r="T2785" s="46"/>
      <c r="U2785" s="46"/>
      <c r="V2785" s="46"/>
      <c r="W2785" s="46"/>
      <c r="X2785" s="46"/>
      <c r="Y2785" s="46"/>
      <c r="Z2785" s="46"/>
    </row>
    <row r="2786" ht="22.5" customHeight="1">
      <c r="A2786" s="17"/>
      <c r="B2786" s="20"/>
      <c r="C2786" s="13"/>
      <c r="D2786" s="13"/>
      <c r="E2786" s="13"/>
      <c r="F2786" s="15"/>
      <c r="G2786" s="15"/>
      <c r="H2786" s="46"/>
      <c r="I2786" s="46"/>
      <c r="J2786" s="46"/>
      <c r="K2786" s="46"/>
      <c r="L2786" s="46"/>
      <c r="M2786" s="46"/>
      <c r="N2786" s="46"/>
      <c r="O2786" s="46"/>
      <c r="P2786" s="46"/>
      <c r="Q2786" s="46"/>
      <c r="R2786" s="46"/>
      <c r="S2786" s="46"/>
      <c r="T2786" s="46"/>
      <c r="U2786" s="46"/>
      <c r="V2786" s="46"/>
      <c r="W2786" s="46"/>
      <c r="X2786" s="46"/>
      <c r="Y2786" s="46"/>
      <c r="Z2786" s="46"/>
    </row>
    <row r="2787" ht="22.5" customHeight="1">
      <c r="A2787" s="17"/>
      <c r="B2787" s="20"/>
      <c r="C2787" s="13"/>
      <c r="D2787" s="13"/>
      <c r="E2787" s="13"/>
      <c r="F2787" s="15"/>
      <c r="G2787" s="15"/>
      <c r="H2787" s="46"/>
      <c r="I2787" s="46"/>
      <c r="J2787" s="46"/>
      <c r="K2787" s="46"/>
      <c r="L2787" s="46"/>
      <c r="M2787" s="46"/>
      <c r="N2787" s="46"/>
      <c r="O2787" s="46"/>
      <c r="P2787" s="46"/>
      <c r="Q2787" s="46"/>
      <c r="R2787" s="46"/>
      <c r="S2787" s="46"/>
      <c r="T2787" s="46"/>
      <c r="U2787" s="46"/>
      <c r="V2787" s="46"/>
      <c r="W2787" s="46"/>
      <c r="X2787" s="46"/>
      <c r="Y2787" s="46"/>
      <c r="Z2787" s="46"/>
    </row>
    <row r="2788" ht="22.5" customHeight="1">
      <c r="A2788" s="17"/>
      <c r="B2788" s="20"/>
      <c r="C2788" s="13"/>
      <c r="D2788" s="13"/>
      <c r="E2788" s="13"/>
      <c r="F2788" s="15"/>
      <c r="G2788" s="15"/>
      <c r="H2788" s="46"/>
      <c r="I2788" s="46"/>
      <c r="J2788" s="46"/>
      <c r="K2788" s="46"/>
      <c r="L2788" s="46"/>
      <c r="M2788" s="46"/>
      <c r="N2788" s="46"/>
      <c r="O2788" s="46"/>
      <c r="P2788" s="46"/>
      <c r="Q2788" s="46"/>
      <c r="R2788" s="46"/>
      <c r="S2788" s="46"/>
      <c r="T2788" s="46"/>
      <c r="U2788" s="46"/>
      <c r="V2788" s="46"/>
      <c r="W2788" s="46"/>
      <c r="X2788" s="46"/>
      <c r="Y2788" s="46"/>
      <c r="Z2788" s="46"/>
    </row>
    <row r="2789" ht="22.5" customHeight="1">
      <c r="A2789" s="17"/>
      <c r="B2789" s="20"/>
      <c r="C2789" s="13"/>
      <c r="D2789" s="13"/>
      <c r="E2789" s="13"/>
      <c r="F2789" s="15"/>
      <c r="G2789" s="15"/>
      <c r="H2789" s="46"/>
      <c r="I2789" s="46"/>
      <c r="J2789" s="46"/>
      <c r="K2789" s="46"/>
      <c r="L2789" s="46"/>
      <c r="M2789" s="46"/>
      <c r="N2789" s="46"/>
      <c r="O2789" s="46"/>
      <c r="P2789" s="46"/>
      <c r="Q2789" s="46"/>
      <c r="R2789" s="46"/>
      <c r="S2789" s="46"/>
      <c r="T2789" s="46"/>
      <c r="U2789" s="46"/>
      <c r="V2789" s="46"/>
      <c r="W2789" s="46"/>
      <c r="X2789" s="46"/>
      <c r="Y2789" s="46"/>
      <c r="Z2789" s="46"/>
    </row>
    <row r="2790" ht="22.5" customHeight="1">
      <c r="A2790" s="17"/>
      <c r="B2790" s="20"/>
      <c r="C2790" s="13"/>
      <c r="D2790" s="13"/>
      <c r="E2790" s="13"/>
      <c r="F2790" s="15"/>
      <c r="G2790" s="15"/>
      <c r="H2790" s="46"/>
      <c r="I2790" s="46"/>
      <c r="J2790" s="46"/>
      <c r="K2790" s="46"/>
      <c r="L2790" s="46"/>
      <c r="M2790" s="46"/>
      <c r="N2790" s="46"/>
      <c r="O2790" s="46"/>
      <c r="P2790" s="46"/>
      <c r="Q2790" s="46"/>
      <c r="R2790" s="46"/>
      <c r="S2790" s="46"/>
      <c r="T2790" s="46"/>
      <c r="U2790" s="46"/>
      <c r="V2790" s="46"/>
      <c r="W2790" s="46"/>
      <c r="X2790" s="46"/>
      <c r="Y2790" s="46"/>
      <c r="Z2790" s="46"/>
    </row>
    <row r="2791" ht="22.5" customHeight="1">
      <c r="A2791" s="17"/>
      <c r="B2791" s="20"/>
      <c r="C2791" s="13"/>
      <c r="D2791" s="13"/>
      <c r="E2791" s="13"/>
      <c r="F2791" s="15"/>
      <c r="G2791" s="15"/>
      <c r="H2791" s="46"/>
      <c r="I2791" s="46"/>
      <c r="J2791" s="46"/>
      <c r="K2791" s="46"/>
      <c r="L2791" s="46"/>
      <c r="M2791" s="46"/>
      <c r="N2791" s="46"/>
      <c r="O2791" s="46"/>
      <c r="P2791" s="46"/>
      <c r="Q2791" s="46"/>
      <c r="R2791" s="46"/>
      <c r="S2791" s="46"/>
      <c r="T2791" s="46"/>
      <c r="U2791" s="46"/>
      <c r="V2791" s="46"/>
      <c r="W2791" s="46"/>
      <c r="X2791" s="46"/>
      <c r="Y2791" s="46"/>
      <c r="Z2791" s="46"/>
    </row>
    <row r="2792" ht="22.5" customHeight="1">
      <c r="A2792" s="17"/>
      <c r="B2792" s="20"/>
      <c r="C2792" s="13"/>
      <c r="D2792" s="13"/>
      <c r="E2792" s="13"/>
      <c r="F2792" s="15"/>
      <c r="G2792" s="15"/>
      <c r="H2792" s="46"/>
      <c r="I2792" s="46"/>
      <c r="J2792" s="46"/>
      <c r="K2792" s="46"/>
      <c r="L2792" s="46"/>
      <c r="M2792" s="46"/>
      <c r="N2792" s="46"/>
      <c r="O2792" s="46"/>
      <c r="P2792" s="46"/>
      <c r="Q2792" s="46"/>
      <c r="R2792" s="46"/>
      <c r="S2792" s="46"/>
      <c r="T2792" s="46"/>
      <c r="U2792" s="46"/>
      <c r="V2792" s="46"/>
      <c r="W2792" s="46"/>
      <c r="X2792" s="46"/>
      <c r="Y2792" s="46"/>
      <c r="Z2792" s="46"/>
    </row>
    <row r="2793" ht="22.5" customHeight="1">
      <c r="A2793" s="17"/>
      <c r="B2793" s="20"/>
      <c r="C2793" s="13"/>
      <c r="D2793" s="13"/>
      <c r="E2793" s="13"/>
      <c r="F2793" s="15"/>
      <c r="G2793" s="15"/>
      <c r="H2793" s="46"/>
      <c r="I2793" s="46"/>
      <c r="J2793" s="46"/>
      <c r="K2793" s="46"/>
      <c r="L2793" s="46"/>
      <c r="M2793" s="46"/>
      <c r="N2793" s="46"/>
      <c r="O2793" s="46"/>
      <c r="P2793" s="46"/>
      <c r="Q2793" s="46"/>
      <c r="R2793" s="46"/>
      <c r="S2793" s="46"/>
      <c r="T2793" s="46"/>
      <c r="U2793" s="46"/>
      <c r="V2793" s="46"/>
      <c r="W2793" s="46"/>
      <c r="X2793" s="46"/>
      <c r="Y2793" s="46"/>
      <c r="Z2793" s="46"/>
    </row>
    <row r="2794" ht="22.5" customHeight="1">
      <c r="A2794" s="17"/>
      <c r="B2794" s="20"/>
      <c r="C2794" s="13"/>
      <c r="D2794" s="13"/>
      <c r="E2794" s="13"/>
      <c r="F2794" s="15"/>
      <c r="G2794" s="15"/>
      <c r="H2794" s="46"/>
      <c r="I2794" s="46"/>
      <c r="J2794" s="46"/>
      <c r="K2794" s="46"/>
      <c r="L2794" s="46"/>
      <c r="M2794" s="46"/>
      <c r="N2794" s="46"/>
      <c r="O2794" s="46"/>
      <c r="P2794" s="46"/>
      <c r="Q2794" s="46"/>
      <c r="R2794" s="46"/>
      <c r="S2794" s="46"/>
      <c r="T2794" s="46"/>
      <c r="U2794" s="46"/>
      <c r="V2794" s="46"/>
      <c r="W2794" s="46"/>
      <c r="X2794" s="46"/>
      <c r="Y2794" s="46"/>
      <c r="Z2794" s="46"/>
    </row>
    <row r="2795" ht="22.5" customHeight="1">
      <c r="A2795" s="17"/>
      <c r="B2795" s="20"/>
      <c r="C2795" s="13"/>
      <c r="D2795" s="13"/>
      <c r="E2795" s="13"/>
      <c r="F2795" s="15"/>
      <c r="G2795" s="15"/>
      <c r="H2795" s="46"/>
      <c r="I2795" s="46"/>
      <c r="J2795" s="46"/>
      <c r="K2795" s="46"/>
      <c r="L2795" s="46"/>
      <c r="M2795" s="46"/>
      <c r="N2795" s="46"/>
      <c r="O2795" s="46"/>
      <c r="P2795" s="46"/>
      <c r="Q2795" s="46"/>
      <c r="R2795" s="46"/>
      <c r="S2795" s="46"/>
      <c r="T2795" s="46"/>
      <c r="U2795" s="46"/>
      <c r="V2795" s="46"/>
      <c r="W2795" s="46"/>
      <c r="X2795" s="46"/>
      <c r="Y2795" s="46"/>
      <c r="Z2795" s="46"/>
    </row>
    <row r="2796" ht="22.5" customHeight="1">
      <c r="A2796" s="17"/>
      <c r="B2796" s="20"/>
      <c r="C2796" s="13"/>
      <c r="D2796" s="13"/>
      <c r="E2796" s="13"/>
      <c r="F2796" s="15"/>
      <c r="G2796" s="15"/>
      <c r="H2796" s="46"/>
      <c r="I2796" s="46"/>
      <c r="J2796" s="46"/>
      <c r="K2796" s="46"/>
      <c r="L2796" s="46"/>
      <c r="M2796" s="46"/>
      <c r="N2796" s="46"/>
      <c r="O2796" s="46"/>
      <c r="P2796" s="46"/>
      <c r="Q2796" s="46"/>
      <c r="R2796" s="46"/>
      <c r="S2796" s="46"/>
      <c r="T2796" s="46"/>
      <c r="U2796" s="46"/>
      <c r="V2796" s="46"/>
      <c r="W2796" s="46"/>
      <c r="X2796" s="46"/>
      <c r="Y2796" s="46"/>
      <c r="Z2796" s="46"/>
    </row>
    <row r="2797" ht="22.5" customHeight="1">
      <c r="A2797" s="17"/>
      <c r="B2797" s="20"/>
      <c r="C2797" s="13"/>
      <c r="D2797" s="13"/>
      <c r="E2797" s="13"/>
      <c r="F2797" s="15"/>
      <c r="G2797" s="15"/>
      <c r="H2797" s="46"/>
      <c r="I2797" s="46"/>
      <c r="J2797" s="46"/>
      <c r="K2797" s="46"/>
      <c r="L2797" s="46"/>
      <c r="M2797" s="46"/>
      <c r="N2797" s="46"/>
      <c r="O2797" s="46"/>
      <c r="P2797" s="46"/>
      <c r="Q2797" s="46"/>
      <c r="R2797" s="46"/>
      <c r="S2797" s="46"/>
      <c r="T2797" s="46"/>
      <c r="U2797" s="46"/>
      <c r="V2797" s="46"/>
      <c r="W2797" s="46"/>
      <c r="X2797" s="46"/>
      <c r="Y2797" s="46"/>
      <c r="Z2797" s="46"/>
    </row>
    <row r="2798" ht="22.5" customHeight="1">
      <c r="A2798" s="17"/>
      <c r="B2798" s="20"/>
      <c r="C2798" s="13"/>
      <c r="D2798" s="13"/>
      <c r="E2798" s="13"/>
      <c r="F2798" s="15"/>
      <c r="G2798" s="15"/>
      <c r="H2798" s="46"/>
      <c r="I2798" s="46"/>
      <c r="J2798" s="46"/>
      <c r="K2798" s="46"/>
      <c r="L2798" s="46"/>
      <c r="M2798" s="46"/>
      <c r="N2798" s="46"/>
      <c r="O2798" s="46"/>
      <c r="P2798" s="46"/>
      <c r="Q2798" s="46"/>
      <c r="R2798" s="46"/>
      <c r="S2798" s="46"/>
      <c r="T2798" s="46"/>
      <c r="U2798" s="46"/>
      <c r="V2798" s="46"/>
      <c r="W2798" s="46"/>
      <c r="X2798" s="46"/>
      <c r="Y2798" s="46"/>
      <c r="Z2798" s="46"/>
    </row>
    <row r="2799" ht="22.5" customHeight="1">
      <c r="A2799" s="17"/>
      <c r="B2799" s="20"/>
      <c r="C2799" s="13"/>
      <c r="D2799" s="13"/>
      <c r="E2799" s="13"/>
      <c r="F2799" s="15"/>
      <c r="G2799" s="15"/>
      <c r="H2799" s="46"/>
      <c r="I2799" s="46"/>
      <c r="J2799" s="46"/>
      <c r="K2799" s="46"/>
      <c r="L2799" s="46"/>
      <c r="M2799" s="46"/>
      <c r="N2799" s="46"/>
      <c r="O2799" s="46"/>
      <c r="P2799" s="46"/>
      <c r="Q2799" s="46"/>
      <c r="R2799" s="46"/>
      <c r="S2799" s="46"/>
      <c r="T2799" s="46"/>
      <c r="U2799" s="46"/>
      <c r="V2799" s="46"/>
      <c r="W2799" s="46"/>
      <c r="X2799" s="46"/>
      <c r="Y2799" s="46"/>
      <c r="Z2799" s="46"/>
    </row>
    <row r="2800" ht="22.5" customHeight="1">
      <c r="A2800" s="17"/>
      <c r="B2800" s="20"/>
      <c r="C2800" s="13"/>
      <c r="D2800" s="13"/>
      <c r="E2800" s="13"/>
      <c r="F2800" s="15"/>
      <c r="G2800" s="15"/>
      <c r="H2800" s="46"/>
      <c r="I2800" s="46"/>
      <c r="J2800" s="46"/>
      <c r="K2800" s="46"/>
      <c r="L2800" s="46"/>
      <c r="M2800" s="46"/>
      <c r="N2800" s="46"/>
      <c r="O2800" s="46"/>
      <c r="P2800" s="46"/>
      <c r="Q2800" s="46"/>
      <c r="R2800" s="46"/>
      <c r="S2800" s="46"/>
      <c r="T2800" s="46"/>
      <c r="U2800" s="46"/>
      <c r="V2800" s="46"/>
      <c r="W2800" s="46"/>
      <c r="X2800" s="46"/>
      <c r="Y2800" s="46"/>
      <c r="Z2800" s="46"/>
    </row>
    <row r="2801" ht="22.5" customHeight="1">
      <c r="A2801" s="17"/>
      <c r="B2801" s="20"/>
      <c r="C2801" s="13"/>
      <c r="D2801" s="13"/>
      <c r="E2801" s="13"/>
      <c r="F2801" s="15"/>
      <c r="G2801" s="15"/>
      <c r="H2801" s="46"/>
      <c r="I2801" s="46"/>
      <c r="J2801" s="46"/>
      <c r="K2801" s="46"/>
      <c r="L2801" s="46"/>
      <c r="M2801" s="46"/>
      <c r="N2801" s="46"/>
      <c r="O2801" s="46"/>
      <c r="P2801" s="46"/>
      <c r="Q2801" s="46"/>
      <c r="R2801" s="46"/>
      <c r="S2801" s="46"/>
      <c r="T2801" s="46"/>
      <c r="U2801" s="46"/>
      <c r="V2801" s="46"/>
      <c r="W2801" s="46"/>
      <c r="X2801" s="46"/>
      <c r="Y2801" s="46"/>
      <c r="Z2801" s="46"/>
    </row>
    <row r="2802" ht="22.5" customHeight="1">
      <c r="A2802" s="17"/>
      <c r="B2802" s="20"/>
      <c r="C2802" s="13"/>
      <c r="D2802" s="13"/>
      <c r="E2802" s="13"/>
      <c r="F2802" s="15"/>
      <c r="G2802" s="15"/>
      <c r="H2802" s="46"/>
      <c r="I2802" s="46"/>
      <c r="J2802" s="46"/>
      <c r="K2802" s="46"/>
      <c r="L2802" s="46"/>
      <c r="M2802" s="46"/>
      <c r="N2802" s="46"/>
      <c r="O2802" s="46"/>
      <c r="P2802" s="46"/>
      <c r="Q2802" s="46"/>
      <c r="R2802" s="46"/>
      <c r="S2802" s="46"/>
      <c r="T2802" s="46"/>
      <c r="U2802" s="46"/>
      <c r="V2802" s="46"/>
      <c r="W2802" s="46"/>
      <c r="X2802" s="46"/>
      <c r="Y2802" s="46"/>
      <c r="Z2802" s="46"/>
    </row>
    <row r="2803" ht="22.5" customHeight="1">
      <c r="A2803" s="17"/>
      <c r="B2803" s="20"/>
      <c r="C2803" s="13"/>
      <c r="D2803" s="13"/>
      <c r="E2803" s="13"/>
      <c r="F2803" s="15"/>
      <c r="G2803" s="15"/>
      <c r="H2803" s="46"/>
      <c r="I2803" s="46"/>
      <c r="J2803" s="46"/>
      <c r="K2803" s="46"/>
      <c r="L2803" s="46"/>
      <c r="M2803" s="46"/>
      <c r="N2803" s="46"/>
      <c r="O2803" s="46"/>
      <c r="P2803" s="46"/>
      <c r="Q2803" s="46"/>
      <c r="R2803" s="46"/>
      <c r="S2803" s="46"/>
      <c r="T2803" s="46"/>
      <c r="U2803" s="46"/>
      <c r="V2803" s="46"/>
      <c r="W2803" s="46"/>
      <c r="X2803" s="46"/>
      <c r="Y2803" s="46"/>
      <c r="Z2803" s="46"/>
    </row>
    <row r="2804" ht="22.5" customHeight="1">
      <c r="A2804" s="17"/>
      <c r="B2804" s="20"/>
      <c r="C2804" s="13"/>
      <c r="D2804" s="13"/>
      <c r="E2804" s="13"/>
      <c r="F2804" s="15"/>
      <c r="G2804" s="15"/>
      <c r="H2804" s="46"/>
      <c r="I2804" s="46"/>
      <c r="J2804" s="46"/>
      <c r="K2804" s="46"/>
      <c r="L2804" s="46"/>
      <c r="M2804" s="46"/>
      <c r="N2804" s="46"/>
      <c r="O2804" s="46"/>
      <c r="P2804" s="46"/>
      <c r="Q2804" s="46"/>
      <c r="R2804" s="46"/>
      <c r="S2804" s="46"/>
      <c r="T2804" s="46"/>
      <c r="U2804" s="46"/>
      <c r="V2804" s="46"/>
      <c r="W2804" s="46"/>
      <c r="X2804" s="46"/>
      <c r="Y2804" s="46"/>
      <c r="Z2804" s="46"/>
    </row>
    <row r="2805" ht="22.5" customHeight="1">
      <c r="A2805" s="17"/>
      <c r="B2805" s="20"/>
      <c r="C2805" s="13"/>
      <c r="D2805" s="13"/>
      <c r="E2805" s="13"/>
      <c r="F2805" s="15"/>
      <c r="G2805" s="15"/>
      <c r="H2805" s="46"/>
      <c r="I2805" s="46"/>
      <c r="J2805" s="46"/>
      <c r="K2805" s="46"/>
      <c r="L2805" s="46"/>
      <c r="M2805" s="46"/>
      <c r="N2805" s="46"/>
      <c r="O2805" s="46"/>
      <c r="P2805" s="46"/>
      <c r="Q2805" s="46"/>
      <c r="R2805" s="46"/>
      <c r="S2805" s="46"/>
      <c r="T2805" s="46"/>
      <c r="U2805" s="46"/>
      <c r="V2805" s="46"/>
      <c r="W2805" s="46"/>
      <c r="X2805" s="46"/>
      <c r="Y2805" s="46"/>
      <c r="Z2805" s="46"/>
    </row>
    <row r="2806" ht="22.5" customHeight="1">
      <c r="A2806" s="17"/>
      <c r="B2806" s="20"/>
      <c r="C2806" s="13"/>
      <c r="D2806" s="13"/>
      <c r="E2806" s="13"/>
      <c r="F2806" s="15"/>
      <c r="G2806" s="15"/>
      <c r="H2806" s="46"/>
      <c r="I2806" s="46"/>
      <c r="J2806" s="46"/>
      <c r="K2806" s="46"/>
      <c r="L2806" s="46"/>
      <c r="M2806" s="46"/>
      <c r="N2806" s="46"/>
      <c r="O2806" s="46"/>
      <c r="P2806" s="46"/>
      <c r="Q2806" s="46"/>
      <c r="R2806" s="46"/>
      <c r="S2806" s="46"/>
      <c r="T2806" s="46"/>
      <c r="U2806" s="46"/>
      <c r="V2806" s="46"/>
      <c r="W2806" s="46"/>
      <c r="X2806" s="46"/>
      <c r="Y2806" s="46"/>
      <c r="Z2806" s="46"/>
    </row>
    <row r="2807" ht="22.5" customHeight="1">
      <c r="A2807" s="17"/>
      <c r="B2807" s="20"/>
      <c r="C2807" s="13"/>
      <c r="D2807" s="13"/>
      <c r="E2807" s="13"/>
      <c r="F2807" s="15"/>
      <c r="G2807" s="15"/>
      <c r="H2807" s="46"/>
      <c r="I2807" s="46"/>
      <c r="J2807" s="46"/>
      <c r="K2807" s="46"/>
      <c r="L2807" s="46"/>
      <c r="M2807" s="46"/>
      <c r="N2807" s="46"/>
      <c r="O2807" s="46"/>
      <c r="P2807" s="46"/>
      <c r="Q2807" s="46"/>
      <c r="R2807" s="46"/>
      <c r="S2807" s="46"/>
      <c r="T2807" s="46"/>
      <c r="U2807" s="46"/>
      <c r="V2807" s="46"/>
      <c r="W2807" s="46"/>
      <c r="X2807" s="46"/>
      <c r="Y2807" s="46"/>
      <c r="Z2807" s="46"/>
    </row>
    <row r="2808" ht="22.5" customHeight="1">
      <c r="A2808" s="17"/>
      <c r="B2808" s="20"/>
      <c r="C2808" s="13"/>
      <c r="D2808" s="13"/>
      <c r="E2808" s="13"/>
      <c r="F2808" s="15"/>
      <c r="G2808" s="15"/>
      <c r="H2808" s="46"/>
      <c r="I2808" s="46"/>
      <c r="J2808" s="46"/>
      <c r="K2808" s="46"/>
      <c r="L2808" s="46"/>
      <c r="M2808" s="46"/>
      <c r="N2808" s="46"/>
      <c r="O2808" s="46"/>
      <c r="P2808" s="46"/>
      <c r="Q2808" s="46"/>
      <c r="R2808" s="46"/>
      <c r="S2808" s="46"/>
      <c r="T2808" s="46"/>
      <c r="U2808" s="46"/>
      <c r="V2808" s="46"/>
      <c r="W2808" s="46"/>
      <c r="X2808" s="46"/>
      <c r="Y2808" s="46"/>
      <c r="Z2808" s="46"/>
    </row>
    <row r="2809" ht="22.5" customHeight="1">
      <c r="A2809" s="17"/>
      <c r="B2809" s="20"/>
      <c r="C2809" s="13"/>
      <c r="D2809" s="13"/>
      <c r="E2809" s="13"/>
      <c r="F2809" s="15"/>
      <c r="G2809" s="15"/>
      <c r="H2809" s="46"/>
      <c r="I2809" s="46"/>
      <c r="J2809" s="46"/>
      <c r="K2809" s="46"/>
      <c r="L2809" s="46"/>
      <c r="M2809" s="46"/>
      <c r="N2809" s="46"/>
      <c r="O2809" s="46"/>
      <c r="P2809" s="46"/>
      <c r="Q2809" s="46"/>
      <c r="R2809" s="46"/>
      <c r="S2809" s="46"/>
      <c r="T2809" s="46"/>
      <c r="U2809" s="46"/>
      <c r="V2809" s="46"/>
      <c r="W2809" s="46"/>
      <c r="X2809" s="46"/>
      <c r="Y2809" s="46"/>
      <c r="Z2809" s="46"/>
    </row>
    <row r="2810" ht="22.5" customHeight="1">
      <c r="A2810" s="17"/>
      <c r="B2810" s="20"/>
      <c r="C2810" s="13"/>
      <c r="D2810" s="13"/>
      <c r="E2810" s="13"/>
      <c r="F2810" s="15"/>
      <c r="G2810" s="15"/>
      <c r="H2810" s="46"/>
      <c r="I2810" s="46"/>
      <c r="J2810" s="46"/>
      <c r="K2810" s="46"/>
      <c r="L2810" s="46"/>
      <c r="M2810" s="46"/>
      <c r="N2810" s="46"/>
      <c r="O2810" s="46"/>
      <c r="P2810" s="46"/>
      <c r="Q2810" s="46"/>
      <c r="R2810" s="46"/>
      <c r="S2810" s="46"/>
      <c r="T2810" s="46"/>
      <c r="U2810" s="46"/>
      <c r="V2810" s="46"/>
      <c r="W2810" s="46"/>
      <c r="X2810" s="46"/>
      <c r="Y2810" s="46"/>
      <c r="Z2810" s="46"/>
    </row>
    <row r="2811" ht="22.5" customHeight="1">
      <c r="A2811" s="17"/>
      <c r="B2811" s="20"/>
      <c r="C2811" s="13"/>
      <c r="D2811" s="13"/>
      <c r="E2811" s="13"/>
      <c r="F2811" s="15"/>
      <c r="G2811" s="15"/>
      <c r="H2811" s="46"/>
      <c r="I2811" s="46"/>
      <c r="J2811" s="46"/>
      <c r="K2811" s="46"/>
      <c r="L2811" s="46"/>
      <c r="M2811" s="46"/>
      <c r="N2811" s="46"/>
      <c r="O2811" s="46"/>
      <c r="P2811" s="46"/>
      <c r="Q2811" s="46"/>
      <c r="R2811" s="46"/>
      <c r="S2811" s="46"/>
      <c r="T2811" s="46"/>
      <c r="U2811" s="46"/>
      <c r="V2811" s="46"/>
      <c r="W2811" s="46"/>
      <c r="X2811" s="46"/>
      <c r="Y2811" s="46"/>
      <c r="Z2811" s="46"/>
    </row>
    <row r="2812" ht="22.5" customHeight="1">
      <c r="A2812" s="17"/>
      <c r="B2812" s="20"/>
      <c r="C2812" s="13"/>
      <c r="D2812" s="13"/>
      <c r="E2812" s="13"/>
      <c r="F2812" s="15"/>
      <c r="G2812" s="15"/>
      <c r="H2812" s="46"/>
      <c r="I2812" s="46"/>
      <c r="J2812" s="46"/>
      <c r="K2812" s="46"/>
      <c r="L2812" s="46"/>
      <c r="M2812" s="46"/>
      <c r="N2812" s="46"/>
      <c r="O2812" s="46"/>
      <c r="P2812" s="46"/>
      <c r="Q2812" s="46"/>
      <c r="R2812" s="46"/>
      <c r="S2812" s="46"/>
      <c r="T2812" s="46"/>
      <c r="U2812" s="46"/>
      <c r="V2812" s="46"/>
      <c r="W2812" s="46"/>
      <c r="X2812" s="46"/>
      <c r="Y2812" s="46"/>
      <c r="Z2812" s="46"/>
    </row>
    <row r="2813" ht="22.5" customHeight="1">
      <c r="A2813" s="17"/>
      <c r="B2813" s="20"/>
      <c r="C2813" s="13"/>
      <c r="D2813" s="13"/>
      <c r="E2813" s="13"/>
      <c r="F2813" s="15"/>
      <c r="G2813" s="15"/>
      <c r="H2813" s="46"/>
      <c r="I2813" s="46"/>
      <c r="J2813" s="46"/>
      <c r="K2813" s="46"/>
      <c r="L2813" s="46"/>
      <c r="M2813" s="46"/>
      <c r="N2813" s="46"/>
      <c r="O2813" s="46"/>
      <c r="P2813" s="46"/>
      <c r="Q2813" s="46"/>
      <c r="R2813" s="46"/>
      <c r="S2813" s="46"/>
      <c r="T2813" s="46"/>
      <c r="U2813" s="46"/>
      <c r="V2813" s="46"/>
      <c r="W2813" s="46"/>
      <c r="X2813" s="46"/>
      <c r="Y2813" s="46"/>
      <c r="Z2813" s="46"/>
    </row>
    <row r="2814" ht="22.5" customHeight="1">
      <c r="A2814" s="17"/>
      <c r="B2814" s="20"/>
      <c r="C2814" s="13"/>
      <c r="D2814" s="13"/>
      <c r="E2814" s="13"/>
      <c r="F2814" s="15"/>
      <c r="G2814" s="15"/>
      <c r="H2814" s="46"/>
      <c r="I2814" s="46"/>
      <c r="J2814" s="46"/>
      <c r="K2814" s="46"/>
      <c r="L2814" s="46"/>
      <c r="M2814" s="46"/>
      <c r="N2814" s="46"/>
      <c r="O2814" s="46"/>
      <c r="P2814" s="46"/>
      <c r="Q2814" s="46"/>
      <c r="R2814" s="46"/>
      <c r="S2814" s="46"/>
      <c r="T2814" s="46"/>
      <c r="U2814" s="46"/>
      <c r="V2814" s="46"/>
      <c r="W2814" s="46"/>
      <c r="X2814" s="46"/>
      <c r="Y2814" s="46"/>
      <c r="Z2814" s="46"/>
    </row>
    <row r="2815" ht="22.5" customHeight="1">
      <c r="A2815" s="17"/>
      <c r="B2815" s="20"/>
      <c r="C2815" s="13"/>
      <c r="D2815" s="13"/>
      <c r="E2815" s="13"/>
      <c r="F2815" s="15"/>
      <c r="G2815" s="15"/>
      <c r="H2815" s="46"/>
      <c r="I2815" s="46"/>
      <c r="J2815" s="46"/>
      <c r="K2815" s="46"/>
      <c r="L2815" s="46"/>
      <c r="M2815" s="46"/>
      <c r="N2815" s="46"/>
      <c r="O2815" s="46"/>
      <c r="P2815" s="46"/>
      <c r="Q2815" s="46"/>
      <c r="R2815" s="46"/>
      <c r="S2815" s="46"/>
      <c r="T2815" s="46"/>
      <c r="U2815" s="46"/>
      <c r="V2815" s="46"/>
      <c r="W2815" s="46"/>
      <c r="X2815" s="46"/>
      <c r="Y2815" s="46"/>
      <c r="Z2815" s="46"/>
    </row>
    <row r="2816" ht="22.5" customHeight="1">
      <c r="A2816" s="17"/>
      <c r="B2816" s="20"/>
      <c r="C2816" s="13"/>
      <c r="D2816" s="13"/>
      <c r="E2816" s="13"/>
      <c r="F2816" s="15"/>
      <c r="G2816" s="15"/>
      <c r="H2816" s="46"/>
      <c r="I2816" s="46"/>
      <c r="J2816" s="46"/>
      <c r="K2816" s="46"/>
      <c r="L2816" s="46"/>
      <c r="M2816" s="46"/>
      <c r="N2816" s="46"/>
      <c r="O2816" s="46"/>
      <c r="P2816" s="46"/>
      <c r="Q2816" s="46"/>
      <c r="R2816" s="46"/>
      <c r="S2816" s="46"/>
      <c r="T2816" s="46"/>
      <c r="U2816" s="46"/>
      <c r="V2816" s="46"/>
      <c r="W2816" s="46"/>
      <c r="X2816" s="46"/>
      <c r="Y2816" s="46"/>
      <c r="Z2816" s="46"/>
    </row>
    <row r="2817" ht="22.5" customHeight="1">
      <c r="A2817" s="17"/>
      <c r="B2817" s="20"/>
      <c r="C2817" s="13"/>
      <c r="D2817" s="13"/>
      <c r="E2817" s="13"/>
      <c r="F2817" s="15"/>
      <c r="G2817" s="15"/>
      <c r="H2817" s="46"/>
      <c r="I2817" s="46"/>
      <c r="J2817" s="46"/>
      <c r="K2817" s="46"/>
      <c r="L2817" s="46"/>
      <c r="M2817" s="46"/>
      <c r="N2817" s="46"/>
      <c r="O2817" s="46"/>
      <c r="P2817" s="46"/>
      <c r="Q2817" s="46"/>
      <c r="R2817" s="46"/>
      <c r="S2817" s="46"/>
      <c r="T2817" s="46"/>
      <c r="U2817" s="46"/>
      <c r="V2817" s="46"/>
      <c r="W2817" s="46"/>
      <c r="X2817" s="46"/>
      <c r="Y2817" s="46"/>
      <c r="Z2817" s="46"/>
    </row>
    <row r="2818" ht="22.5" customHeight="1">
      <c r="A2818" s="17"/>
      <c r="B2818" s="20"/>
      <c r="C2818" s="13"/>
      <c r="D2818" s="13"/>
      <c r="E2818" s="13"/>
      <c r="F2818" s="15"/>
      <c r="G2818" s="15"/>
      <c r="H2818" s="46"/>
      <c r="I2818" s="46"/>
      <c r="J2818" s="46"/>
      <c r="K2818" s="46"/>
      <c r="L2818" s="46"/>
      <c r="M2818" s="46"/>
      <c r="N2818" s="46"/>
      <c r="O2818" s="46"/>
      <c r="P2818" s="46"/>
      <c r="Q2818" s="46"/>
      <c r="R2818" s="46"/>
      <c r="S2818" s="46"/>
      <c r="T2818" s="46"/>
      <c r="U2818" s="46"/>
      <c r="V2818" s="46"/>
      <c r="W2818" s="46"/>
      <c r="X2818" s="46"/>
      <c r="Y2818" s="46"/>
      <c r="Z2818" s="46"/>
    </row>
    <row r="2819" ht="22.5" customHeight="1">
      <c r="A2819" s="17"/>
      <c r="B2819" s="20"/>
      <c r="C2819" s="13"/>
      <c r="D2819" s="13"/>
      <c r="E2819" s="13"/>
      <c r="F2819" s="15"/>
      <c r="G2819" s="15"/>
      <c r="H2819" s="46"/>
      <c r="I2819" s="46"/>
      <c r="J2819" s="46"/>
      <c r="K2819" s="46"/>
      <c r="L2819" s="46"/>
      <c r="M2819" s="46"/>
      <c r="N2819" s="46"/>
      <c r="O2819" s="46"/>
      <c r="P2819" s="46"/>
      <c r="Q2819" s="46"/>
      <c r="R2819" s="46"/>
      <c r="S2819" s="46"/>
      <c r="T2819" s="46"/>
      <c r="U2819" s="46"/>
      <c r="V2819" s="46"/>
      <c r="W2819" s="46"/>
      <c r="X2819" s="46"/>
      <c r="Y2819" s="46"/>
      <c r="Z2819" s="46"/>
    </row>
    <row r="2820" ht="22.5" customHeight="1">
      <c r="A2820" s="17"/>
      <c r="B2820" s="20"/>
      <c r="C2820" s="13"/>
      <c r="D2820" s="13"/>
      <c r="E2820" s="13"/>
      <c r="F2820" s="15"/>
      <c r="G2820" s="15"/>
      <c r="H2820" s="46"/>
      <c r="I2820" s="46"/>
      <c r="J2820" s="46"/>
      <c r="K2820" s="46"/>
      <c r="L2820" s="46"/>
      <c r="M2820" s="46"/>
      <c r="N2820" s="46"/>
      <c r="O2820" s="46"/>
      <c r="P2820" s="46"/>
      <c r="Q2820" s="46"/>
      <c r="R2820" s="46"/>
      <c r="S2820" s="46"/>
      <c r="T2820" s="46"/>
      <c r="U2820" s="46"/>
      <c r="V2820" s="46"/>
      <c r="W2820" s="46"/>
      <c r="X2820" s="46"/>
      <c r="Y2820" s="46"/>
      <c r="Z2820" s="46"/>
    </row>
    <row r="2821" ht="22.5" customHeight="1">
      <c r="A2821" s="17"/>
      <c r="B2821" s="20"/>
      <c r="C2821" s="13"/>
      <c r="D2821" s="13"/>
      <c r="E2821" s="13"/>
      <c r="F2821" s="15"/>
      <c r="G2821" s="15"/>
      <c r="H2821" s="46"/>
      <c r="I2821" s="46"/>
      <c r="J2821" s="46"/>
      <c r="K2821" s="46"/>
      <c r="L2821" s="46"/>
      <c r="M2821" s="46"/>
      <c r="N2821" s="46"/>
      <c r="O2821" s="46"/>
      <c r="P2821" s="46"/>
      <c r="Q2821" s="46"/>
      <c r="R2821" s="46"/>
      <c r="S2821" s="46"/>
      <c r="T2821" s="46"/>
      <c r="U2821" s="46"/>
      <c r="V2821" s="46"/>
      <c r="W2821" s="46"/>
      <c r="X2821" s="46"/>
      <c r="Y2821" s="46"/>
      <c r="Z2821" s="46"/>
    </row>
    <row r="2822" ht="22.5" customHeight="1">
      <c r="A2822" s="17"/>
      <c r="B2822" s="20"/>
      <c r="C2822" s="13"/>
      <c r="D2822" s="13"/>
      <c r="E2822" s="13"/>
      <c r="F2822" s="15"/>
      <c r="G2822" s="15"/>
      <c r="H2822" s="46"/>
      <c r="I2822" s="46"/>
      <c r="J2822" s="46"/>
      <c r="K2822" s="46"/>
      <c r="L2822" s="46"/>
      <c r="M2822" s="46"/>
      <c r="N2822" s="46"/>
      <c r="O2822" s="46"/>
      <c r="P2822" s="46"/>
      <c r="Q2822" s="46"/>
      <c r="R2822" s="46"/>
      <c r="S2822" s="46"/>
      <c r="T2822" s="46"/>
      <c r="U2822" s="46"/>
      <c r="V2822" s="46"/>
      <c r="W2822" s="46"/>
      <c r="X2822" s="46"/>
      <c r="Y2822" s="46"/>
      <c r="Z2822" s="46"/>
    </row>
    <row r="2823" ht="22.5" customHeight="1">
      <c r="A2823" s="17"/>
      <c r="B2823" s="20"/>
      <c r="C2823" s="13"/>
      <c r="D2823" s="13"/>
      <c r="E2823" s="13"/>
      <c r="F2823" s="15"/>
      <c r="G2823" s="15"/>
      <c r="H2823" s="46"/>
      <c r="I2823" s="46"/>
      <c r="J2823" s="46"/>
      <c r="K2823" s="46"/>
      <c r="L2823" s="46"/>
      <c r="M2823" s="46"/>
      <c r="N2823" s="46"/>
      <c r="O2823" s="46"/>
      <c r="P2823" s="46"/>
      <c r="Q2823" s="46"/>
      <c r="R2823" s="46"/>
      <c r="S2823" s="46"/>
      <c r="T2823" s="46"/>
      <c r="U2823" s="46"/>
      <c r="V2823" s="46"/>
      <c r="W2823" s="46"/>
      <c r="X2823" s="46"/>
      <c r="Y2823" s="46"/>
      <c r="Z2823" s="46"/>
    </row>
    <row r="2824" ht="22.5" customHeight="1">
      <c r="A2824" s="17"/>
      <c r="B2824" s="20"/>
      <c r="C2824" s="13"/>
      <c r="D2824" s="13"/>
      <c r="E2824" s="13"/>
      <c r="F2824" s="15"/>
      <c r="G2824" s="15"/>
      <c r="H2824" s="46"/>
      <c r="I2824" s="46"/>
      <c r="J2824" s="46"/>
      <c r="K2824" s="46"/>
      <c r="L2824" s="46"/>
      <c r="M2824" s="46"/>
      <c r="N2824" s="46"/>
      <c r="O2824" s="46"/>
      <c r="P2824" s="46"/>
      <c r="Q2824" s="46"/>
      <c r="R2824" s="46"/>
      <c r="S2824" s="46"/>
      <c r="T2824" s="46"/>
      <c r="U2824" s="46"/>
      <c r="V2824" s="46"/>
      <c r="W2824" s="46"/>
      <c r="X2824" s="46"/>
      <c r="Y2824" s="46"/>
      <c r="Z2824" s="46"/>
    </row>
    <row r="2825" ht="22.5" customHeight="1">
      <c r="A2825" s="17"/>
      <c r="B2825" s="20"/>
      <c r="C2825" s="13"/>
      <c r="D2825" s="13"/>
      <c r="E2825" s="13"/>
      <c r="F2825" s="15"/>
      <c r="G2825" s="15"/>
      <c r="H2825" s="46"/>
      <c r="I2825" s="46"/>
      <c r="J2825" s="46"/>
      <c r="K2825" s="46"/>
      <c r="L2825" s="46"/>
      <c r="M2825" s="46"/>
      <c r="N2825" s="46"/>
      <c r="O2825" s="46"/>
      <c r="P2825" s="46"/>
      <c r="Q2825" s="46"/>
      <c r="R2825" s="46"/>
      <c r="S2825" s="46"/>
      <c r="T2825" s="46"/>
      <c r="U2825" s="46"/>
      <c r="V2825" s="46"/>
      <c r="W2825" s="46"/>
      <c r="X2825" s="46"/>
      <c r="Y2825" s="46"/>
      <c r="Z2825" s="46"/>
    </row>
    <row r="2826" ht="22.5" customHeight="1">
      <c r="A2826" s="17"/>
      <c r="B2826" s="20"/>
      <c r="C2826" s="13"/>
      <c r="D2826" s="13"/>
      <c r="E2826" s="13"/>
      <c r="F2826" s="15"/>
      <c r="G2826" s="15"/>
      <c r="H2826" s="46"/>
      <c r="I2826" s="46"/>
      <c r="J2826" s="46"/>
      <c r="K2826" s="46"/>
      <c r="L2826" s="46"/>
      <c r="M2826" s="46"/>
      <c r="N2826" s="46"/>
      <c r="O2826" s="46"/>
      <c r="P2826" s="46"/>
      <c r="Q2826" s="46"/>
      <c r="R2826" s="46"/>
      <c r="S2826" s="46"/>
      <c r="T2826" s="46"/>
      <c r="U2826" s="46"/>
      <c r="V2826" s="46"/>
      <c r="W2826" s="46"/>
      <c r="X2826" s="46"/>
      <c r="Y2826" s="46"/>
      <c r="Z2826" s="46"/>
    </row>
    <row r="2827" ht="22.5" customHeight="1">
      <c r="A2827" s="17"/>
      <c r="B2827" s="20"/>
      <c r="C2827" s="13"/>
      <c r="D2827" s="13"/>
      <c r="E2827" s="13"/>
      <c r="F2827" s="15"/>
      <c r="G2827" s="15"/>
      <c r="H2827" s="46"/>
      <c r="I2827" s="46"/>
      <c r="J2827" s="46"/>
      <c r="K2827" s="46"/>
      <c r="L2827" s="46"/>
      <c r="M2827" s="46"/>
      <c r="N2827" s="46"/>
      <c r="O2827" s="46"/>
      <c r="P2827" s="46"/>
      <c r="Q2827" s="46"/>
      <c r="R2827" s="46"/>
      <c r="S2827" s="46"/>
      <c r="T2827" s="46"/>
      <c r="U2827" s="46"/>
      <c r="V2827" s="46"/>
      <c r="W2827" s="46"/>
      <c r="X2827" s="46"/>
      <c r="Y2827" s="46"/>
      <c r="Z2827" s="46"/>
    </row>
    <row r="2828" ht="22.5" customHeight="1">
      <c r="A2828" s="17"/>
      <c r="B2828" s="20"/>
      <c r="C2828" s="13"/>
      <c r="D2828" s="13"/>
      <c r="E2828" s="13"/>
      <c r="F2828" s="15"/>
      <c r="G2828" s="15"/>
      <c r="H2828" s="46"/>
      <c r="I2828" s="46"/>
      <c r="J2828" s="46"/>
      <c r="K2828" s="46"/>
      <c r="L2828" s="46"/>
      <c r="M2828" s="46"/>
      <c r="N2828" s="46"/>
      <c r="O2828" s="46"/>
      <c r="P2828" s="46"/>
      <c r="Q2828" s="46"/>
      <c r="R2828" s="46"/>
      <c r="S2828" s="46"/>
      <c r="T2828" s="46"/>
      <c r="U2828" s="46"/>
      <c r="V2828" s="46"/>
      <c r="W2828" s="46"/>
      <c r="X2828" s="46"/>
      <c r="Y2828" s="46"/>
      <c r="Z2828" s="46"/>
    </row>
    <row r="2829" ht="22.5" customHeight="1">
      <c r="A2829" s="17"/>
      <c r="B2829" s="20"/>
      <c r="C2829" s="13"/>
      <c r="D2829" s="13"/>
      <c r="E2829" s="13"/>
      <c r="F2829" s="15"/>
      <c r="G2829" s="15"/>
      <c r="H2829" s="46"/>
      <c r="I2829" s="46"/>
      <c r="J2829" s="46"/>
      <c r="K2829" s="46"/>
      <c r="L2829" s="46"/>
      <c r="M2829" s="46"/>
      <c r="N2829" s="46"/>
      <c r="O2829" s="46"/>
      <c r="P2829" s="46"/>
      <c r="Q2829" s="46"/>
      <c r="R2829" s="46"/>
      <c r="S2829" s="46"/>
      <c r="T2829" s="46"/>
      <c r="U2829" s="46"/>
      <c r="V2829" s="46"/>
      <c r="W2829" s="46"/>
      <c r="X2829" s="46"/>
      <c r="Y2829" s="46"/>
      <c r="Z2829" s="46"/>
    </row>
    <row r="2830" ht="22.5" customHeight="1">
      <c r="A2830" s="17"/>
      <c r="B2830" s="20"/>
      <c r="C2830" s="13"/>
      <c r="D2830" s="13"/>
      <c r="E2830" s="13"/>
      <c r="F2830" s="15"/>
      <c r="G2830" s="15"/>
      <c r="H2830" s="46"/>
      <c r="I2830" s="46"/>
      <c r="J2830" s="46"/>
      <c r="K2830" s="46"/>
      <c r="L2830" s="46"/>
      <c r="M2830" s="46"/>
      <c r="N2830" s="46"/>
      <c r="O2830" s="46"/>
      <c r="P2830" s="46"/>
      <c r="Q2830" s="46"/>
      <c r="R2830" s="46"/>
      <c r="S2830" s="46"/>
      <c r="T2830" s="46"/>
      <c r="U2830" s="46"/>
      <c r="V2830" s="46"/>
      <c r="W2830" s="46"/>
      <c r="X2830" s="46"/>
      <c r="Y2830" s="46"/>
      <c r="Z2830" s="46"/>
    </row>
    <row r="2831" ht="22.5" customHeight="1">
      <c r="A2831" s="17"/>
      <c r="B2831" s="20"/>
      <c r="C2831" s="13"/>
      <c r="D2831" s="13"/>
      <c r="E2831" s="13"/>
      <c r="F2831" s="15"/>
      <c r="G2831" s="15"/>
      <c r="H2831" s="46"/>
      <c r="I2831" s="46"/>
      <c r="J2831" s="46"/>
      <c r="K2831" s="46"/>
      <c r="L2831" s="46"/>
      <c r="M2831" s="46"/>
      <c r="N2831" s="46"/>
      <c r="O2831" s="46"/>
      <c r="P2831" s="46"/>
      <c r="Q2831" s="46"/>
      <c r="R2831" s="46"/>
      <c r="S2831" s="46"/>
      <c r="T2831" s="46"/>
      <c r="U2831" s="46"/>
      <c r="V2831" s="46"/>
      <c r="W2831" s="46"/>
      <c r="X2831" s="46"/>
      <c r="Y2831" s="46"/>
      <c r="Z2831" s="46"/>
    </row>
    <row r="2832" ht="22.5" customHeight="1">
      <c r="A2832" s="17"/>
      <c r="B2832" s="20"/>
      <c r="C2832" s="13"/>
      <c r="D2832" s="13"/>
      <c r="E2832" s="13"/>
      <c r="F2832" s="15"/>
      <c r="G2832" s="15"/>
      <c r="H2832" s="46"/>
      <c r="I2832" s="46"/>
      <c r="J2832" s="46"/>
      <c r="K2832" s="46"/>
      <c r="L2832" s="46"/>
      <c r="M2832" s="46"/>
      <c r="N2832" s="46"/>
      <c r="O2832" s="46"/>
      <c r="P2832" s="46"/>
      <c r="Q2832" s="46"/>
      <c r="R2832" s="46"/>
      <c r="S2832" s="46"/>
      <c r="T2832" s="46"/>
      <c r="U2832" s="46"/>
      <c r="V2832" s="46"/>
      <c r="W2832" s="46"/>
      <c r="X2832" s="46"/>
      <c r="Y2832" s="46"/>
      <c r="Z2832" s="46"/>
    </row>
    <row r="2833" ht="22.5" customHeight="1">
      <c r="A2833" s="17"/>
      <c r="B2833" s="20"/>
      <c r="C2833" s="13"/>
      <c r="D2833" s="13"/>
      <c r="E2833" s="13"/>
      <c r="F2833" s="15"/>
      <c r="G2833" s="15"/>
      <c r="H2833" s="46"/>
      <c r="I2833" s="46"/>
      <c r="J2833" s="46"/>
      <c r="K2833" s="46"/>
      <c r="L2833" s="46"/>
      <c r="M2833" s="46"/>
      <c r="N2833" s="46"/>
      <c r="O2833" s="46"/>
      <c r="P2833" s="46"/>
      <c r="Q2833" s="46"/>
      <c r="R2833" s="46"/>
      <c r="S2833" s="46"/>
      <c r="T2833" s="46"/>
      <c r="U2833" s="46"/>
      <c r="V2833" s="46"/>
      <c r="W2833" s="46"/>
      <c r="X2833" s="46"/>
      <c r="Y2833" s="46"/>
      <c r="Z2833" s="46"/>
    </row>
    <row r="2834" ht="22.5" customHeight="1">
      <c r="A2834" s="17"/>
      <c r="B2834" s="20"/>
      <c r="C2834" s="13"/>
      <c r="D2834" s="13"/>
      <c r="E2834" s="13"/>
      <c r="F2834" s="15"/>
      <c r="G2834" s="15"/>
      <c r="H2834" s="46"/>
      <c r="I2834" s="46"/>
      <c r="J2834" s="46"/>
      <c r="K2834" s="46"/>
      <c r="L2834" s="46"/>
      <c r="M2834" s="46"/>
      <c r="N2834" s="46"/>
      <c r="O2834" s="46"/>
      <c r="P2834" s="46"/>
      <c r="Q2834" s="46"/>
      <c r="R2834" s="46"/>
      <c r="S2834" s="46"/>
      <c r="T2834" s="46"/>
      <c r="U2834" s="46"/>
      <c r="V2834" s="46"/>
      <c r="W2834" s="46"/>
      <c r="X2834" s="46"/>
      <c r="Y2834" s="46"/>
      <c r="Z2834" s="46"/>
    </row>
    <row r="2835" ht="22.5" customHeight="1">
      <c r="A2835" s="17"/>
      <c r="B2835" s="20"/>
      <c r="C2835" s="13"/>
      <c r="D2835" s="13"/>
      <c r="E2835" s="13"/>
      <c r="F2835" s="15"/>
      <c r="G2835" s="15"/>
      <c r="H2835" s="46"/>
      <c r="I2835" s="46"/>
      <c r="J2835" s="46"/>
      <c r="K2835" s="46"/>
      <c r="L2835" s="46"/>
      <c r="M2835" s="46"/>
      <c r="N2835" s="46"/>
      <c r="O2835" s="46"/>
      <c r="P2835" s="46"/>
      <c r="Q2835" s="46"/>
      <c r="R2835" s="46"/>
      <c r="S2835" s="46"/>
      <c r="T2835" s="46"/>
      <c r="U2835" s="46"/>
      <c r="V2835" s="46"/>
      <c r="W2835" s="46"/>
      <c r="X2835" s="46"/>
      <c r="Y2835" s="46"/>
      <c r="Z2835" s="46"/>
    </row>
    <row r="2836" ht="22.5" customHeight="1">
      <c r="A2836" s="17"/>
      <c r="B2836" s="20"/>
      <c r="C2836" s="13"/>
      <c r="D2836" s="13"/>
      <c r="E2836" s="13"/>
      <c r="F2836" s="15"/>
      <c r="G2836" s="15"/>
      <c r="H2836" s="46"/>
      <c r="I2836" s="46"/>
      <c r="J2836" s="46"/>
      <c r="K2836" s="46"/>
      <c r="L2836" s="46"/>
      <c r="M2836" s="46"/>
      <c r="N2836" s="46"/>
      <c r="O2836" s="46"/>
      <c r="P2836" s="46"/>
      <c r="Q2836" s="46"/>
      <c r="R2836" s="46"/>
      <c r="S2836" s="46"/>
      <c r="T2836" s="46"/>
      <c r="U2836" s="46"/>
      <c r="V2836" s="46"/>
      <c r="W2836" s="46"/>
      <c r="X2836" s="46"/>
      <c r="Y2836" s="46"/>
      <c r="Z2836" s="46"/>
    </row>
    <row r="2837" ht="22.5" customHeight="1">
      <c r="A2837" s="17"/>
      <c r="B2837" s="20"/>
      <c r="C2837" s="13"/>
      <c r="D2837" s="13"/>
      <c r="E2837" s="13"/>
      <c r="F2837" s="15"/>
      <c r="G2837" s="15"/>
      <c r="H2837" s="46"/>
      <c r="I2837" s="46"/>
      <c r="J2837" s="46"/>
      <c r="K2837" s="46"/>
      <c r="L2837" s="46"/>
      <c r="M2837" s="46"/>
      <c r="N2837" s="46"/>
      <c r="O2837" s="46"/>
      <c r="P2837" s="46"/>
      <c r="Q2837" s="46"/>
      <c r="R2837" s="46"/>
      <c r="S2837" s="46"/>
      <c r="T2837" s="46"/>
      <c r="U2837" s="46"/>
      <c r="V2837" s="46"/>
      <c r="W2837" s="46"/>
      <c r="X2837" s="46"/>
      <c r="Y2837" s="46"/>
      <c r="Z2837" s="46"/>
    </row>
    <row r="2838" ht="22.5" customHeight="1">
      <c r="A2838" s="17"/>
      <c r="B2838" s="20"/>
      <c r="C2838" s="13"/>
      <c r="D2838" s="13"/>
      <c r="E2838" s="13"/>
      <c r="F2838" s="15"/>
      <c r="G2838" s="15"/>
      <c r="H2838" s="46"/>
      <c r="I2838" s="46"/>
      <c r="J2838" s="46"/>
      <c r="K2838" s="46"/>
      <c r="L2838" s="46"/>
      <c r="M2838" s="46"/>
      <c r="N2838" s="46"/>
      <c r="O2838" s="46"/>
      <c r="P2838" s="46"/>
      <c r="Q2838" s="46"/>
      <c r="R2838" s="46"/>
      <c r="S2838" s="46"/>
      <c r="T2838" s="46"/>
      <c r="U2838" s="46"/>
      <c r="V2838" s="46"/>
      <c r="W2838" s="46"/>
      <c r="X2838" s="46"/>
      <c r="Y2838" s="46"/>
      <c r="Z2838" s="46"/>
    </row>
    <row r="2839" ht="22.5" customHeight="1">
      <c r="A2839" s="17"/>
      <c r="B2839" s="20"/>
      <c r="C2839" s="13"/>
      <c r="D2839" s="13"/>
      <c r="E2839" s="13"/>
      <c r="F2839" s="15"/>
      <c r="G2839" s="15"/>
      <c r="H2839" s="46"/>
      <c r="I2839" s="46"/>
      <c r="J2839" s="46"/>
      <c r="K2839" s="46"/>
      <c r="L2839" s="46"/>
      <c r="M2839" s="46"/>
      <c r="N2839" s="46"/>
      <c r="O2839" s="46"/>
      <c r="P2839" s="46"/>
      <c r="Q2839" s="46"/>
      <c r="R2839" s="46"/>
      <c r="S2839" s="46"/>
      <c r="T2839" s="46"/>
      <c r="U2839" s="46"/>
      <c r="V2839" s="46"/>
      <c r="W2839" s="46"/>
      <c r="X2839" s="46"/>
      <c r="Y2839" s="46"/>
      <c r="Z2839" s="46"/>
    </row>
    <row r="2840" ht="22.5" customHeight="1">
      <c r="A2840" s="17"/>
      <c r="B2840" s="20"/>
      <c r="C2840" s="13"/>
      <c r="D2840" s="13"/>
      <c r="E2840" s="13"/>
      <c r="F2840" s="15"/>
      <c r="G2840" s="15"/>
      <c r="H2840" s="46"/>
      <c r="I2840" s="46"/>
      <c r="J2840" s="46"/>
      <c r="K2840" s="46"/>
      <c r="L2840" s="46"/>
      <c r="M2840" s="46"/>
      <c r="N2840" s="46"/>
      <c r="O2840" s="46"/>
      <c r="P2840" s="46"/>
      <c r="Q2840" s="46"/>
      <c r="R2840" s="46"/>
      <c r="S2840" s="46"/>
      <c r="T2840" s="46"/>
      <c r="U2840" s="46"/>
      <c r="V2840" s="46"/>
      <c r="W2840" s="46"/>
      <c r="X2840" s="46"/>
      <c r="Y2840" s="46"/>
      <c r="Z2840" s="46"/>
    </row>
    <row r="2841" ht="22.5" customHeight="1">
      <c r="A2841" s="17"/>
      <c r="B2841" s="20"/>
      <c r="C2841" s="13"/>
      <c r="D2841" s="13"/>
      <c r="E2841" s="13"/>
      <c r="F2841" s="15"/>
      <c r="G2841" s="15"/>
      <c r="H2841" s="46"/>
      <c r="I2841" s="46"/>
      <c r="J2841" s="46"/>
      <c r="K2841" s="46"/>
      <c r="L2841" s="46"/>
      <c r="M2841" s="46"/>
      <c r="N2841" s="46"/>
      <c r="O2841" s="46"/>
      <c r="P2841" s="46"/>
      <c r="Q2841" s="46"/>
      <c r="R2841" s="46"/>
      <c r="S2841" s="46"/>
      <c r="T2841" s="46"/>
      <c r="U2841" s="46"/>
      <c r="V2841" s="46"/>
      <c r="W2841" s="46"/>
      <c r="X2841" s="46"/>
      <c r="Y2841" s="46"/>
      <c r="Z2841" s="46"/>
    </row>
    <row r="2842" ht="22.5" customHeight="1">
      <c r="A2842" s="17"/>
      <c r="B2842" s="20"/>
      <c r="C2842" s="13"/>
      <c r="D2842" s="13"/>
      <c r="E2842" s="13"/>
      <c r="F2842" s="15"/>
      <c r="G2842" s="15"/>
      <c r="H2842" s="46"/>
      <c r="I2842" s="46"/>
      <c r="J2842" s="46"/>
      <c r="K2842" s="46"/>
      <c r="L2842" s="46"/>
      <c r="M2842" s="46"/>
      <c r="N2842" s="46"/>
      <c r="O2842" s="46"/>
      <c r="P2842" s="46"/>
      <c r="Q2842" s="46"/>
      <c r="R2842" s="46"/>
      <c r="S2842" s="46"/>
      <c r="T2842" s="46"/>
      <c r="U2842" s="46"/>
      <c r="V2842" s="46"/>
      <c r="W2842" s="46"/>
      <c r="X2842" s="46"/>
      <c r="Y2842" s="46"/>
      <c r="Z2842" s="46"/>
    </row>
    <row r="2843" ht="22.5" customHeight="1">
      <c r="A2843" s="17"/>
      <c r="B2843" s="20"/>
      <c r="C2843" s="13"/>
      <c r="D2843" s="13"/>
      <c r="E2843" s="13"/>
      <c r="F2843" s="15"/>
      <c r="G2843" s="15"/>
      <c r="H2843" s="46"/>
      <c r="I2843" s="46"/>
      <c r="J2843" s="46"/>
      <c r="K2843" s="46"/>
      <c r="L2843" s="46"/>
      <c r="M2843" s="46"/>
      <c r="N2843" s="46"/>
      <c r="O2843" s="46"/>
      <c r="P2843" s="46"/>
      <c r="Q2843" s="46"/>
      <c r="R2843" s="46"/>
      <c r="S2843" s="46"/>
      <c r="T2843" s="46"/>
      <c r="U2843" s="46"/>
      <c r="V2843" s="46"/>
      <c r="W2843" s="46"/>
      <c r="X2843" s="46"/>
      <c r="Y2843" s="46"/>
      <c r="Z2843" s="46"/>
    </row>
    <row r="2844" ht="22.5" customHeight="1">
      <c r="A2844" s="17"/>
      <c r="B2844" s="20"/>
      <c r="C2844" s="13"/>
      <c r="D2844" s="13"/>
      <c r="E2844" s="13"/>
      <c r="F2844" s="15"/>
      <c r="G2844" s="15"/>
      <c r="H2844" s="46"/>
      <c r="I2844" s="46"/>
      <c r="J2844" s="46"/>
      <c r="K2844" s="46"/>
      <c r="L2844" s="46"/>
      <c r="M2844" s="46"/>
      <c r="N2844" s="46"/>
      <c r="O2844" s="46"/>
      <c r="P2844" s="46"/>
      <c r="Q2844" s="46"/>
      <c r="R2844" s="46"/>
      <c r="S2844" s="46"/>
      <c r="T2844" s="46"/>
      <c r="U2844" s="46"/>
      <c r="V2844" s="46"/>
      <c r="W2844" s="46"/>
      <c r="X2844" s="46"/>
      <c r="Y2844" s="46"/>
      <c r="Z2844" s="46"/>
    </row>
    <row r="2845" ht="22.5" customHeight="1">
      <c r="A2845" s="17"/>
      <c r="B2845" s="20"/>
      <c r="C2845" s="13"/>
      <c r="D2845" s="13"/>
      <c r="E2845" s="13"/>
      <c r="F2845" s="15"/>
      <c r="G2845" s="15"/>
      <c r="H2845" s="46"/>
      <c r="I2845" s="46"/>
      <c r="J2845" s="46"/>
      <c r="K2845" s="46"/>
      <c r="L2845" s="46"/>
      <c r="M2845" s="46"/>
      <c r="N2845" s="46"/>
      <c r="O2845" s="46"/>
      <c r="P2845" s="46"/>
      <c r="Q2845" s="46"/>
      <c r="R2845" s="46"/>
      <c r="S2845" s="46"/>
      <c r="T2845" s="46"/>
      <c r="U2845" s="46"/>
      <c r="V2845" s="46"/>
      <c r="W2845" s="46"/>
      <c r="X2845" s="46"/>
      <c r="Y2845" s="46"/>
      <c r="Z2845" s="46"/>
    </row>
    <row r="2846" ht="22.5" customHeight="1">
      <c r="A2846" s="17"/>
      <c r="B2846" s="20"/>
      <c r="C2846" s="13"/>
      <c r="D2846" s="13"/>
      <c r="E2846" s="13"/>
      <c r="F2846" s="15"/>
      <c r="G2846" s="15"/>
      <c r="H2846" s="46"/>
      <c r="I2846" s="46"/>
      <c r="J2846" s="46"/>
      <c r="K2846" s="46"/>
      <c r="L2846" s="46"/>
      <c r="M2846" s="46"/>
      <c r="N2846" s="46"/>
      <c r="O2846" s="46"/>
      <c r="P2846" s="46"/>
      <c r="Q2846" s="46"/>
      <c r="R2846" s="46"/>
      <c r="S2846" s="46"/>
      <c r="T2846" s="46"/>
      <c r="U2846" s="46"/>
      <c r="V2846" s="46"/>
      <c r="W2846" s="46"/>
      <c r="X2846" s="46"/>
      <c r="Y2846" s="46"/>
      <c r="Z2846" s="46"/>
    </row>
    <row r="2847" ht="22.5" customHeight="1">
      <c r="A2847" s="17"/>
      <c r="B2847" s="20"/>
      <c r="C2847" s="13"/>
      <c r="D2847" s="13"/>
      <c r="E2847" s="13"/>
      <c r="F2847" s="15"/>
      <c r="G2847" s="15"/>
      <c r="H2847" s="46"/>
      <c r="I2847" s="46"/>
      <c r="J2847" s="46"/>
      <c r="K2847" s="46"/>
      <c r="L2847" s="46"/>
      <c r="M2847" s="46"/>
      <c r="N2847" s="46"/>
      <c r="O2847" s="46"/>
      <c r="P2847" s="46"/>
      <c r="Q2847" s="46"/>
      <c r="R2847" s="46"/>
      <c r="S2847" s="46"/>
      <c r="T2847" s="46"/>
      <c r="U2847" s="46"/>
      <c r="V2847" s="46"/>
      <c r="W2847" s="46"/>
      <c r="X2847" s="46"/>
      <c r="Y2847" s="46"/>
      <c r="Z2847" s="46"/>
    </row>
    <row r="2848" ht="22.5" customHeight="1">
      <c r="A2848" s="17"/>
      <c r="B2848" s="20"/>
      <c r="C2848" s="13"/>
      <c r="D2848" s="13"/>
      <c r="E2848" s="13"/>
      <c r="F2848" s="15"/>
      <c r="G2848" s="15"/>
      <c r="H2848" s="46"/>
      <c r="I2848" s="46"/>
      <c r="J2848" s="46"/>
      <c r="K2848" s="46"/>
      <c r="L2848" s="46"/>
      <c r="M2848" s="46"/>
      <c r="N2848" s="46"/>
      <c r="O2848" s="46"/>
      <c r="P2848" s="46"/>
      <c r="Q2848" s="46"/>
      <c r="R2848" s="46"/>
      <c r="S2848" s="46"/>
      <c r="T2848" s="46"/>
      <c r="U2848" s="46"/>
      <c r="V2848" s="46"/>
      <c r="W2848" s="46"/>
      <c r="X2848" s="46"/>
      <c r="Y2848" s="46"/>
      <c r="Z2848" s="46"/>
    </row>
    <row r="2849" ht="22.5" customHeight="1">
      <c r="A2849" s="17"/>
      <c r="B2849" s="20"/>
      <c r="C2849" s="13"/>
      <c r="D2849" s="13"/>
      <c r="E2849" s="13"/>
      <c r="F2849" s="15"/>
      <c r="G2849" s="15"/>
      <c r="H2849" s="46"/>
      <c r="I2849" s="46"/>
      <c r="J2849" s="46"/>
      <c r="K2849" s="46"/>
      <c r="L2849" s="46"/>
      <c r="M2849" s="46"/>
      <c r="N2849" s="46"/>
      <c r="O2849" s="46"/>
      <c r="P2849" s="46"/>
      <c r="Q2849" s="46"/>
      <c r="R2849" s="46"/>
      <c r="S2849" s="46"/>
      <c r="T2849" s="46"/>
      <c r="U2849" s="46"/>
      <c r="V2849" s="46"/>
      <c r="W2849" s="46"/>
      <c r="X2849" s="46"/>
      <c r="Y2849" s="46"/>
      <c r="Z2849" s="46"/>
    </row>
    <row r="2850" ht="22.5" customHeight="1">
      <c r="A2850" s="17"/>
      <c r="B2850" s="20"/>
      <c r="C2850" s="13"/>
      <c r="D2850" s="13"/>
      <c r="E2850" s="13"/>
      <c r="F2850" s="15"/>
      <c r="G2850" s="15"/>
      <c r="H2850" s="46"/>
      <c r="I2850" s="46"/>
      <c r="J2850" s="46"/>
      <c r="K2850" s="46"/>
      <c r="L2850" s="46"/>
      <c r="M2850" s="46"/>
      <c r="N2850" s="46"/>
      <c r="O2850" s="46"/>
      <c r="P2850" s="46"/>
      <c r="Q2850" s="46"/>
      <c r="R2850" s="46"/>
      <c r="S2850" s="46"/>
      <c r="T2850" s="46"/>
      <c r="U2850" s="46"/>
      <c r="V2850" s="46"/>
      <c r="W2850" s="46"/>
      <c r="X2850" s="46"/>
      <c r="Y2850" s="46"/>
      <c r="Z2850" s="46"/>
    </row>
    <row r="2851" ht="22.5" customHeight="1">
      <c r="A2851" s="17"/>
      <c r="B2851" s="20"/>
      <c r="C2851" s="13"/>
      <c r="D2851" s="13"/>
      <c r="E2851" s="13"/>
      <c r="F2851" s="15"/>
      <c r="G2851" s="15"/>
      <c r="H2851" s="46"/>
      <c r="I2851" s="46"/>
      <c r="J2851" s="46"/>
      <c r="K2851" s="46"/>
      <c r="L2851" s="46"/>
      <c r="M2851" s="46"/>
      <c r="N2851" s="46"/>
      <c r="O2851" s="46"/>
      <c r="P2851" s="46"/>
      <c r="Q2851" s="46"/>
      <c r="R2851" s="46"/>
      <c r="S2851" s="46"/>
      <c r="T2851" s="46"/>
      <c r="U2851" s="46"/>
      <c r="V2851" s="46"/>
      <c r="W2851" s="46"/>
      <c r="X2851" s="46"/>
      <c r="Y2851" s="46"/>
      <c r="Z2851" s="46"/>
    </row>
    <row r="2852" ht="22.5" customHeight="1">
      <c r="A2852" s="17"/>
      <c r="B2852" s="20"/>
      <c r="C2852" s="13"/>
      <c r="D2852" s="13"/>
      <c r="E2852" s="13"/>
      <c r="F2852" s="15"/>
      <c r="G2852" s="15"/>
      <c r="H2852" s="46"/>
      <c r="I2852" s="46"/>
      <c r="J2852" s="46"/>
      <c r="K2852" s="46"/>
      <c r="L2852" s="46"/>
      <c r="M2852" s="46"/>
      <c r="N2852" s="46"/>
      <c r="O2852" s="46"/>
      <c r="P2852" s="46"/>
      <c r="Q2852" s="46"/>
      <c r="R2852" s="46"/>
      <c r="S2852" s="46"/>
      <c r="T2852" s="46"/>
      <c r="U2852" s="46"/>
      <c r="V2852" s="46"/>
      <c r="W2852" s="46"/>
      <c r="X2852" s="46"/>
      <c r="Y2852" s="46"/>
      <c r="Z2852" s="46"/>
    </row>
    <row r="2853" ht="22.5" customHeight="1">
      <c r="A2853" s="17"/>
      <c r="B2853" s="20"/>
      <c r="C2853" s="13"/>
      <c r="D2853" s="13"/>
      <c r="E2853" s="13"/>
      <c r="F2853" s="15"/>
      <c r="G2853" s="15"/>
      <c r="H2853" s="46"/>
      <c r="I2853" s="46"/>
      <c r="J2853" s="46"/>
      <c r="K2853" s="46"/>
      <c r="L2853" s="46"/>
      <c r="M2853" s="46"/>
      <c r="N2853" s="46"/>
      <c r="O2853" s="46"/>
      <c r="P2853" s="46"/>
      <c r="Q2853" s="46"/>
      <c r="R2853" s="46"/>
      <c r="S2853" s="46"/>
      <c r="T2853" s="46"/>
      <c r="U2853" s="46"/>
      <c r="V2853" s="46"/>
      <c r="W2853" s="46"/>
      <c r="X2853" s="46"/>
      <c r="Y2853" s="46"/>
      <c r="Z2853" s="46"/>
    </row>
    <row r="2854" ht="22.5" customHeight="1">
      <c r="A2854" s="17"/>
      <c r="B2854" s="20"/>
      <c r="C2854" s="13"/>
      <c r="D2854" s="13"/>
      <c r="E2854" s="13"/>
      <c r="F2854" s="15"/>
      <c r="G2854" s="15"/>
      <c r="H2854" s="46"/>
      <c r="I2854" s="46"/>
      <c r="J2854" s="46"/>
      <c r="K2854" s="46"/>
      <c r="L2854" s="46"/>
      <c r="M2854" s="46"/>
      <c r="N2854" s="46"/>
      <c r="O2854" s="46"/>
      <c r="P2854" s="46"/>
      <c r="Q2854" s="46"/>
      <c r="R2854" s="46"/>
      <c r="S2854" s="46"/>
      <c r="T2854" s="46"/>
      <c r="U2854" s="46"/>
      <c r="V2854" s="46"/>
      <c r="W2854" s="46"/>
      <c r="X2854" s="46"/>
      <c r="Y2854" s="46"/>
      <c r="Z2854" s="46"/>
    </row>
    <row r="2855" ht="22.5" customHeight="1">
      <c r="A2855" s="17"/>
      <c r="B2855" s="20"/>
      <c r="C2855" s="13"/>
      <c r="D2855" s="13"/>
      <c r="E2855" s="13"/>
      <c r="F2855" s="15"/>
      <c r="G2855" s="15"/>
      <c r="H2855" s="46"/>
      <c r="I2855" s="46"/>
      <c r="J2855" s="46"/>
      <c r="K2855" s="46"/>
      <c r="L2855" s="46"/>
      <c r="M2855" s="46"/>
      <c r="N2855" s="46"/>
      <c r="O2855" s="46"/>
      <c r="P2855" s="46"/>
      <c r="Q2855" s="46"/>
      <c r="R2855" s="46"/>
      <c r="S2855" s="46"/>
      <c r="T2855" s="46"/>
      <c r="U2855" s="46"/>
      <c r="V2855" s="46"/>
      <c r="W2855" s="46"/>
      <c r="X2855" s="46"/>
      <c r="Y2855" s="46"/>
      <c r="Z2855" s="46"/>
    </row>
    <row r="2856" ht="22.5" customHeight="1">
      <c r="A2856" s="17"/>
      <c r="B2856" s="20"/>
      <c r="C2856" s="13"/>
      <c r="D2856" s="13"/>
      <c r="E2856" s="13"/>
      <c r="F2856" s="15"/>
      <c r="G2856" s="15"/>
      <c r="H2856" s="46"/>
      <c r="I2856" s="46"/>
      <c r="J2856" s="46"/>
      <c r="K2856" s="46"/>
      <c r="L2856" s="46"/>
      <c r="M2856" s="46"/>
      <c r="N2856" s="46"/>
      <c r="O2856" s="46"/>
      <c r="P2856" s="46"/>
      <c r="Q2856" s="46"/>
      <c r="R2856" s="46"/>
      <c r="S2856" s="46"/>
      <c r="T2856" s="46"/>
      <c r="U2856" s="46"/>
      <c r="V2856" s="46"/>
      <c r="W2856" s="46"/>
      <c r="X2856" s="46"/>
      <c r="Y2856" s="46"/>
      <c r="Z2856" s="46"/>
    </row>
    <row r="2857" ht="22.5" customHeight="1">
      <c r="A2857" s="17"/>
      <c r="B2857" s="20"/>
      <c r="C2857" s="13"/>
      <c r="D2857" s="13"/>
      <c r="E2857" s="13"/>
      <c r="F2857" s="15"/>
      <c r="G2857" s="15"/>
      <c r="H2857" s="46"/>
      <c r="I2857" s="46"/>
      <c r="J2857" s="46"/>
      <c r="K2857" s="46"/>
      <c r="L2857" s="46"/>
      <c r="M2857" s="46"/>
      <c r="N2857" s="46"/>
      <c r="O2857" s="46"/>
      <c r="P2857" s="46"/>
      <c r="Q2857" s="46"/>
      <c r="R2857" s="46"/>
      <c r="S2857" s="46"/>
      <c r="T2857" s="46"/>
      <c r="U2857" s="46"/>
      <c r="V2857" s="46"/>
      <c r="W2857" s="46"/>
      <c r="X2857" s="46"/>
      <c r="Y2857" s="46"/>
      <c r="Z2857" s="46"/>
    </row>
    <row r="2858" ht="22.5" customHeight="1">
      <c r="A2858" s="17"/>
      <c r="B2858" s="20"/>
      <c r="C2858" s="13"/>
      <c r="D2858" s="13"/>
      <c r="E2858" s="13"/>
      <c r="F2858" s="15"/>
      <c r="G2858" s="15"/>
      <c r="H2858" s="46"/>
      <c r="I2858" s="46"/>
      <c r="J2858" s="46"/>
      <c r="K2858" s="46"/>
      <c r="L2858" s="46"/>
      <c r="M2858" s="46"/>
      <c r="N2858" s="46"/>
      <c r="O2858" s="46"/>
      <c r="P2858" s="46"/>
      <c r="Q2858" s="46"/>
      <c r="R2858" s="46"/>
      <c r="S2858" s="46"/>
      <c r="T2858" s="46"/>
      <c r="U2858" s="46"/>
      <c r="V2858" s="46"/>
      <c r="W2858" s="46"/>
      <c r="X2858" s="46"/>
      <c r="Y2858" s="46"/>
      <c r="Z2858" s="46"/>
    </row>
    <row r="2859" ht="22.5" customHeight="1">
      <c r="A2859" s="17"/>
      <c r="B2859" s="20"/>
      <c r="C2859" s="13"/>
      <c r="D2859" s="13"/>
      <c r="E2859" s="13"/>
      <c r="F2859" s="15"/>
      <c r="G2859" s="15"/>
      <c r="H2859" s="46"/>
      <c r="I2859" s="46"/>
      <c r="J2859" s="46"/>
      <c r="K2859" s="46"/>
      <c r="L2859" s="46"/>
      <c r="M2859" s="46"/>
      <c r="N2859" s="46"/>
      <c r="O2859" s="46"/>
      <c r="P2859" s="46"/>
      <c r="Q2859" s="46"/>
      <c r="R2859" s="46"/>
      <c r="S2859" s="46"/>
      <c r="T2859" s="46"/>
      <c r="U2859" s="46"/>
      <c r="V2859" s="46"/>
      <c r="W2859" s="46"/>
      <c r="X2859" s="46"/>
      <c r="Y2859" s="46"/>
      <c r="Z2859" s="46"/>
    </row>
    <row r="2860" ht="22.5" customHeight="1">
      <c r="A2860" s="17"/>
      <c r="B2860" s="20"/>
      <c r="C2860" s="13"/>
      <c r="D2860" s="13"/>
      <c r="E2860" s="13"/>
      <c r="F2860" s="15"/>
      <c r="G2860" s="15"/>
      <c r="H2860" s="46"/>
      <c r="I2860" s="46"/>
      <c r="J2860" s="46"/>
      <c r="K2860" s="46"/>
      <c r="L2860" s="46"/>
      <c r="M2860" s="46"/>
      <c r="N2860" s="46"/>
      <c r="O2860" s="46"/>
      <c r="P2860" s="46"/>
      <c r="Q2860" s="46"/>
      <c r="R2860" s="46"/>
      <c r="S2860" s="46"/>
      <c r="T2860" s="46"/>
      <c r="U2860" s="46"/>
      <c r="V2860" s="46"/>
      <c r="W2860" s="46"/>
      <c r="X2860" s="46"/>
      <c r="Y2860" s="46"/>
      <c r="Z2860" s="46"/>
    </row>
    <row r="2861" ht="22.5" customHeight="1">
      <c r="A2861" s="17"/>
      <c r="B2861" s="20"/>
      <c r="C2861" s="13"/>
      <c r="D2861" s="13"/>
      <c r="E2861" s="13"/>
      <c r="F2861" s="15"/>
      <c r="G2861" s="15"/>
      <c r="H2861" s="46"/>
      <c r="I2861" s="46"/>
      <c r="J2861" s="46"/>
      <c r="K2861" s="46"/>
      <c r="L2861" s="46"/>
      <c r="M2861" s="46"/>
      <c r="N2861" s="46"/>
      <c r="O2861" s="46"/>
      <c r="P2861" s="46"/>
      <c r="Q2861" s="46"/>
      <c r="R2861" s="46"/>
      <c r="S2861" s="46"/>
      <c r="T2861" s="46"/>
      <c r="U2861" s="46"/>
      <c r="V2861" s="46"/>
      <c r="W2861" s="46"/>
      <c r="X2861" s="46"/>
      <c r="Y2861" s="46"/>
      <c r="Z2861" s="46"/>
    </row>
    <row r="2862" ht="22.5" customHeight="1">
      <c r="A2862" s="17"/>
      <c r="B2862" s="20"/>
      <c r="C2862" s="13"/>
      <c r="D2862" s="13"/>
      <c r="E2862" s="13"/>
      <c r="F2862" s="15"/>
      <c r="G2862" s="15"/>
      <c r="H2862" s="46"/>
      <c r="I2862" s="46"/>
      <c r="J2862" s="46"/>
      <c r="K2862" s="46"/>
      <c r="L2862" s="46"/>
      <c r="M2862" s="46"/>
      <c r="N2862" s="46"/>
      <c r="O2862" s="46"/>
      <c r="P2862" s="46"/>
      <c r="Q2862" s="46"/>
      <c r="R2862" s="46"/>
      <c r="S2862" s="46"/>
      <c r="T2862" s="46"/>
      <c r="U2862" s="46"/>
      <c r="V2862" s="46"/>
      <c r="W2862" s="46"/>
      <c r="X2862" s="46"/>
      <c r="Y2862" s="46"/>
      <c r="Z2862" s="46"/>
    </row>
    <row r="2863" ht="22.5" customHeight="1">
      <c r="A2863" s="17"/>
      <c r="B2863" s="20"/>
      <c r="C2863" s="13"/>
      <c r="D2863" s="13"/>
      <c r="E2863" s="13"/>
      <c r="F2863" s="15"/>
      <c r="G2863" s="15"/>
      <c r="H2863" s="46"/>
      <c r="I2863" s="46"/>
      <c r="J2863" s="46"/>
      <c r="K2863" s="46"/>
      <c r="L2863" s="46"/>
      <c r="M2863" s="46"/>
      <c r="N2863" s="46"/>
      <c r="O2863" s="46"/>
      <c r="P2863" s="46"/>
      <c r="Q2863" s="46"/>
      <c r="R2863" s="46"/>
      <c r="S2863" s="46"/>
      <c r="T2863" s="46"/>
      <c r="U2863" s="46"/>
      <c r="V2863" s="46"/>
      <c r="W2863" s="46"/>
      <c r="X2863" s="46"/>
      <c r="Y2863" s="46"/>
      <c r="Z2863" s="46"/>
    </row>
    <row r="2864" ht="22.5" customHeight="1">
      <c r="A2864" s="17"/>
      <c r="B2864" s="20"/>
      <c r="C2864" s="13"/>
      <c r="D2864" s="13"/>
      <c r="E2864" s="13"/>
      <c r="F2864" s="15"/>
      <c r="G2864" s="15"/>
      <c r="H2864" s="46"/>
      <c r="I2864" s="46"/>
      <c r="J2864" s="46"/>
      <c r="K2864" s="46"/>
      <c r="L2864" s="46"/>
      <c r="M2864" s="46"/>
      <c r="N2864" s="46"/>
      <c r="O2864" s="46"/>
      <c r="P2864" s="46"/>
      <c r="Q2864" s="46"/>
      <c r="R2864" s="46"/>
      <c r="S2864" s="46"/>
      <c r="T2864" s="46"/>
      <c r="U2864" s="46"/>
      <c r="V2864" s="46"/>
      <c r="W2864" s="46"/>
      <c r="X2864" s="46"/>
      <c r="Y2864" s="46"/>
      <c r="Z2864" s="46"/>
    </row>
    <row r="2865" ht="22.5" customHeight="1">
      <c r="A2865" s="17"/>
      <c r="B2865" s="20"/>
      <c r="C2865" s="13"/>
      <c r="D2865" s="13"/>
      <c r="E2865" s="13"/>
      <c r="F2865" s="15"/>
      <c r="G2865" s="15"/>
      <c r="H2865" s="46"/>
      <c r="I2865" s="46"/>
      <c r="J2865" s="46"/>
      <c r="K2865" s="46"/>
      <c r="L2865" s="46"/>
      <c r="M2865" s="46"/>
      <c r="N2865" s="46"/>
      <c r="O2865" s="46"/>
      <c r="P2865" s="46"/>
      <c r="Q2865" s="46"/>
      <c r="R2865" s="46"/>
      <c r="S2865" s="46"/>
      <c r="T2865" s="46"/>
      <c r="U2865" s="46"/>
      <c r="V2865" s="46"/>
      <c r="W2865" s="46"/>
      <c r="X2865" s="46"/>
      <c r="Y2865" s="46"/>
      <c r="Z2865" s="46"/>
    </row>
    <row r="2866" ht="22.5" customHeight="1">
      <c r="A2866" s="17"/>
      <c r="B2866" s="20"/>
      <c r="C2866" s="13"/>
      <c r="D2866" s="13"/>
      <c r="E2866" s="13"/>
      <c r="F2866" s="15"/>
      <c r="G2866" s="15"/>
      <c r="H2866" s="46"/>
      <c r="I2866" s="46"/>
      <c r="J2866" s="46"/>
      <c r="K2866" s="46"/>
      <c r="L2866" s="46"/>
      <c r="M2866" s="46"/>
      <c r="N2866" s="46"/>
      <c r="O2866" s="46"/>
      <c r="P2866" s="46"/>
      <c r="Q2866" s="46"/>
      <c r="R2866" s="46"/>
      <c r="S2866" s="46"/>
      <c r="T2866" s="46"/>
      <c r="U2866" s="46"/>
      <c r="V2866" s="46"/>
      <c r="W2866" s="46"/>
      <c r="X2866" s="46"/>
      <c r="Y2866" s="46"/>
      <c r="Z2866" s="46"/>
    </row>
    <row r="2867" ht="22.5" customHeight="1">
      <c r="A2867" s="17"/>
      <c r="B2867" s="20"/>
      <c r="C2867" s="13"/>
      <c r="D2867" s="13"/>
      <c r="E2867" s="13"/>
      <c r="F2867" s="15"/>
      <c r="G2867" s="15"/>
      <c r="H2867" s="46"/>
      <c r="I2867" s="46"/>
      <c r="J2867" s="46"/>
      <c r="K2867" s="46"/>
      <c r="L2867" s="46"/>
      <c r="M2867" s="46"/>
      <c r="N2867" s="46"/>
      <c r="O2867" s="46"/>
      <c r="P2867" s="46"/>
      <c r="Q2867" s="46"/>
      <c r="R2867" s="46"/>
      <c r="S2867" s="46"/>
      <c r="T2867" s="46"/>
      <c r="U2867" s="46"/>
      <c r="V2867" s="46"/>
      <c r="W2867" s="46"/>
      <c r="X2867" s="46"/>
      <c r="Y2867" s="46"/>
      <c r="Z2867" s="46"/>
    </row>
    <row r="2868" ht="22.5" customHeight="1">
      <c r="A2868" s="17"/>
      <c r="B2868" s="20"/>
      <c r="C2868" s="13"/>
      <c r="D2868" s="13"/>
      <c r="E2868" s="13"/>
      <c r="F2868" s="15"/>
      <c r="G2868" s="15"/>
      <c r="H2868" s="46"/>
      <c r="I2868" s="46"/>
      <c r="J2868" s="46"/>
      <c r="K2868" s="46"/>
      <c r="L2868" s="46"/>
      <c r="M2868" s="46"/>
      <c r="N2868" s="46"/>
      <c r="O2868" s="46"/>
      <c r="P2868" s="46"/>
      <c r="Q2868" s="46"/>
      <c r="R2868" s="46"/>
      <c r="S2868" s="46"/>
      <c r="T2868" s="46"/>
      <c r="U2868" s="46"/>
      <c r="V2868" s="46"/>
      <c r="W2868" s="46"/>
      <c r="X2868" s="46"/>
      <c r="Y2868" s="46"/>
      <c r="Z2868" s="46"/>
    </row>
    <row r="2869" ht="22.5" customHeight="1">
      <c r="A2869" s="17"/>
      <c r="B2869" s="20"/>
      <c r="C2869" s="13"/>
      <c r="D2869" s="13"/>
      <c r="E2869" s="13"/>
      <c r="F2869" s="15"/>
      <c r="G2869" s="15"/>
      <c r="H2869" s="46"/>
      <c r="I2869" s="46"/>
      <c r="J2869" s="46"/>
      <c r="K2869" s="46"/>
      <c r="L2869" s="46"/>
      <c r="M2869" s="46"/>
      <c r="N2869" s="46"/>
      <c r="O2869" s="46"/>
      <c r="P2869" s="46"/>
      <c r="Q2869" s="46"/>
      <c r="R2869" s="46"/>
      <c r="S2869" s="46"/>
      <c r="T2869" s="46"/>
      <c r="U2869" s="46"/>
      <c r="V2869" s="46"/>
      <c r="W2869" s="46"/>
      <c r="X2869" s="46"/>
      <c r="Y2869" s="46"/>
      <c r="Z2869" s="46"/>
    </row>
    <row r="2870" ht="22.5" customHeight="1">
      <c r="A2870" s="17"/>
      <c r="B2870" s="20"/>
      <c r="C2870" s="13"/>
      <c r="D2870" s="13"/>
      <c r="E2870" s="13"/>
      <c r="F2870" s="15"/>
      <c r="G2870" s="15"/>
      <c r="H2870" s="46"/>
      <c r="I2870" s="46"/>
      <c r="J2870" s="46"/>
      <c r="K2870" s="46"/>
      <c r="L2870" s="46"/>
      <c r="M2870" s="46"/>
      <c r="N2870" s="46"/>
      <c r="O2870" s="46"/>
      <c r="P2870" s="46"/>
      <c r="Q2870" s="46"/>
      <c r="R2870" s="46"/>
      <c r="S2870" s="46"/>
      <c r="T2870" s="46"/>
      <c r="U2870" s="46"/>
      <c r="V2870" s="46"/>
      <c r="W2870" s="46"/>
      <c r="X2870" s="46"/>
      <c r="Y2870" s="46"/>
      <c r="Z2870" s="46"/>
    </row>
    <row r="2871" ht="22.5" customHeight="1">
      <c r="A2871" s="17"/>
      <c r="B2871" s="20"/>
      <c r="C2871" s="13"/>
      <c r="D2871" s="13"/>
      <c r="E2871" s="13"/>
      <c r="F2871" s="15"/>
      <c r="G2871" s="15"/>
      <c r="H2871" s="46"/>
      <c r="I2871" s="46"/>
      <c r="J2871" s="46"/>
      <c r="K2871" s="46"/>
      <c r="L2871" s="46"/>
      <c r="M2871" s="46"/>
      <c r="N2871" s="46"/>
      <c r="O2871" s="46"/>
      <c r="P2871" s="46"/>
      <c r="Q2871" s="46"/>
      <c r="R2871" s="46"/>
      <c r="S2871" s="46"/>
      <c r="T2871" s="46"/>
      <c r="U2871" s="46"/>
      <c r="V2871" s="46"/>
      <c r="W2871" s="46"/>
      <c r="X2871" s="46"/>
      <c r="Y2871" s="46"/>
      <c r="Z2871" s="46"/>
    </row>
    <row r="2872" ht="22.5" customHeight="1">
      <c r="A2872" s="17"/>
      <c r="B2872" s="20"/>
      <c r="C2872" s="13"/>
      <c r="D2872" s="13"/>
      <c r="E2872" s="13"/>
      <c r="F2872" s="15"/>
      <c r="G2872" s="15"/>
      <c r="H2872" s="46"/>
      <c r="I2872" s="46"/>
      <c r="J2872" s="46"/>
      <c r="K2872" s="46"/>
      <c r="L2872" s="46"/>
      <c r="M2872" s="46"/>
      <c r="N2872" s="46"/>
      <c r="O2872" s="46"/>
      <c r="P2872" s="46"/>
      <c r="Q2872" s="46"/>
      <c r="R2872" s="46"/>
      <c r="S2872" s="46"/>
      <c r="T2872" s="46"/>
      <c r="U2872" s="46"/>
      <c r="V2872" s="46"/>
      <c r="W2872" s="46"/>
      <c r="X2872" s="46"/>
      <c r="Y2872" s="46"/>
      <c r="Z2872" s="46"/>
    </row>
    <row r="2873" ht="22.5" customHeight="1">
      <c r="A2873" s="17"/>
      <c r="B2873" s="20"/>
      <c r="C2873" s="13"/>
      <c r="D2873" s="13"/>
      <c r="E2873" s="13"/>
      <c r="F2873" s="15"/>
      <c r="G2873" s="15"/>
      <c r="H2873" s="46"/>
      <c r="I2873" s="46"/>
      <c r="J2873" s="46"/>
      <c r="K2873" s="46"/>
      <c r="L2873" s="46"/>
      <c r="M2873" s="46"/>
      <c r="N2873" s="46"/>
      <c r="O2873" s="46"/>
      <c r="P2873" s="46"/>
      <c r="Q2873" s="46"/>
      <c r="R2873" s="46"/>
      <c r="S2873" s="46"/>
      <c r="T2873" s="46"/>
      <c r="U2873" s="46"/>
      <c r="V2873" s="46"/>
      <c r="W2873" s="46"/>
      <c r="X2873" s="46"/>
      <c r="Y2873" s="46"/>
      <c r="Z2873" s="46"/>
    </row>
    <row r="2874" ht="22.5" customHeight="1">
      <c r="A2874" s="17"/>
      <c r="B2874" s="20"/>
      <c r="C2874" s="13"/>
      <c r="D2874" s="13"/>
      <c r="E2874" s="13"/>
      <c r="F2874" s="15"/>
      <c r="G2874" s="15"/>
      <c r="H2874" s="46"/>
      <c r="I2874" s="46"/>
      <c r="J2874" s="46"/>
      <c r="K2874" s="46"/>
      <c r="L2874" s="46"/>
      <c r="M2874" s="46"/>
      <c r="N2874" s="46"/>
      <c r="O2874" s="46"/>
      <c r="P2874" s="46"/>
      <c r="Q2874" s="46"/>
      <c r="R2874" s="46"/>
      <c r="S2874" s="46"/>
      <c r="T2874" s="46"/>
      <c r="U2874" s="46"/>
      <c r="V2874" s="46"/>
      <c r="W2874" s="46"/>
      <c r="X2874" s="46"/>
      <c r="Y2874" s="46"/>
      <c r="Z2874" s="46"/>
    </row>
    <row r="2875" ht="22.5" customHeight="1">
      <c r="A2875" s="17"/>
      <c r="B2875" s="20"/>
      <c r="C2875" s="13"/>
      <c r="D2875" s="13"/>
      <c r="E2875" s="13"/>
      <c r="F2875" s="15"/>
      <c r="G2875" s="15"/>
      <c r="H2875" s="46"/>
      <c r="I2875" s="46"/>
      <c r="J2875" s="46"/>
      <c r="K2875" s="46"/>
      <c r="L2875" s="46"/>
      <c r="M2875" s="46"/>
      <c r="N2875" s="46"/>
      <c r="O2875" s="46"/>
      <c r="P2875" s="46"/>
      <c r="Q2875" s="46"/>
      <c r="R2875" s="46"/>
      <c r="S2875" s="46"/>
      <c r="T2875" s="46"/>
      <c r="U2875" s="46"/>
      <c r="V2875" s="46"/>
      <c r="W2875" s="46"/>
      <c r="X2875" s="46"/>
      <c r="Y2875" s="46"/>
      <c r="Z2875" s="46"/>
    </row>
    <row r="2876" ht="22.5" customHeight="1">
      <c r="A2876" s="17"/>
      <c r="B2876" s="20"/>
      <c r="C2876" s="13"/>
      <c r="D2876" s="13"/>
      <c r="E2876" s="13"/>
      <c r="F2876" s="15"/>
      <c r="G2876" s="15"/>
      <c r="H2876" s="46"/>
      <c r="I2876" s="46"/>
      <c r="J2876" s="46"/>
      <c r="K2876" s="46"/>
      <c r="L2876" s="46"/>
      <c r="M2876" s="46"/>
      <c r="N2876" s="46"/>
      <c r="O2876" s="46"/>
      <c r="P2876" s="46"/>
      <c r="Q2876" s="46"/>
      <c r="R2876" s="46"/>
      <c r="S2876" s="46"/>
      <c r="T2876" s="46"/>
      <c r="U2876" s="46"/>
      <c r="V2876" s="46"/>
      <c r="W2876" s="46"/>
      <c r="X2876" s="46"/>
      <c r="Y2876" s="46"/>
      <c r="Z2876" s="46"/>
    </row>
    <row r="2877" ht="22.5" customHeight="1">
      <c r="A2877" s="17"/>
      <c r="B2877" s="20"/>
      <c r="C2877" s="13"/>
      <c r="D2877" s="13"/>
      <c r="E2877" s="13"/>
      <c r="F2877" s="15"/>
      <c r="G2877" s="15"/>
      <c r="H2877" s="46"/>
      <c r="I2877" s="46"/>
      <c r="J2877" s="46"/>
      <c r="K2877" s="46"/>
      <c r="L2877" s="46"/>
      <c r="M2877" s="46"/>
      <c r="N2877" s="46"/>
      <c r="O2877" s="46"/>
      <c r="P2877" s="46"/>
      <c r="Q2877" s="46"/>
      <c r="R2877" s="46"/>
      <c r="S2877" s="46"/>
      <c r="T2877" s="46"/>
      <c r="U2877" s="46"/>
      <c r="V2877" s="46"/>
      <c r="W2877" s="46"/>
      <c r="X2877" s="46"/>
      <c r="Y2877" s="46"/>
      <c r="Z2877" s="46"/>
    </row>
    <row r="2878" ht="22.5" customHeight="1">
      <c r="A2878" s="17"/>
      <c r="B2878" s="20"/>
      <c r="C2878" s="13"/>
      <c r="D2878" s="13"/>
      <c r="E2878" s="13"/>
      <c r="F2878" s="15"/>
      <c r="G2878" s="15"/>
      <c r="H2878" s="46"/>
      <c r="I2878" s="46"/>
      <c r="J2878" s="46"/>
      <c r="K2878" s="46"/>
      <c r="L2878" s="46"/>
      <c r="M2878" s="46"/>
      <c r="N2878" s="46"/>
      <c r="O2878" s="46"/>
      <c r="P2878" s="46"/>
      <c r="Q2878" s="46"/>
      <c r="R2878" s="46"/>
      <c r="S2878" s="46"/>
      <c r="T2878" s="46"/>
      <c r="U2878" s="46"/>
      <c r="V2878" s="46"/>
      <c r="W2878" s="46"/>
      <c r="X2878" s="46"/>
      <c r="Y2878" s="46"/>
      <c r="Z2878" s="46"/>
    </row>
    <row r="2879" ht="22.5" customHeight="1">
      <c r="A2879" s="17"/>
      <c r="B2879" s="20"/>
      <c r="C2879" s="13"/>
      <c r="D2879" s="13"/>
      <c r="E2879" s="13"/>
      <c r="F2879" s="15"/>
      <c r="G2879" s="15"/>
      <c r="H2879" s="46"/>
      <c r="I2879" s="46"/>
      <c r="J2879" s="46"/>
      <c r="K2879" s="46"/>
      <c r="L2879" s="46"/>
      <c r="M2879" s="46"/>
      <c r="N2879" s="46"/>
      <c r="O2879" s="46"/>
      <c r="P2879" s="46"/>
      <c r="Q2879" s="46"/>
      <c r="R2879" s="46"/>
      <c r="S2879" s="46"/>
      <c r="T2879" s="46"/>
      <c r="U2879" s="46"/>
      <c r="V2879" s="46"/>
      <c r="W2879" s="46"/>
      <c r="X2879" s="46"/>
      <c r="Y2879" s="46"/>
      <c r="Z2879" s="46"/>
    </row>
    <row r="2880" ht="22.5" customHeight="1">
      <c r="A2880" s="17"/>
      <c r="B2880" s="20"/>
      <c r="C2880" s="13"/>
      <c r="D2880" s="13"/>
      <c r="E2880" s="13"/>
      <c r="F2880" s="15"/>
      <c r="G2880" s="15"/>
      <c r="H2880" s="46"/>
      <c r="I2880" s="46"/>
      <c r="J2880" s="46"/>
      <c r="K2880" s="46"/>
      <c r="L2880" s="46"/>
      <c r="M2880" s="46"/>
      <c r="N2880" s="46"/>
      <c r="O2880" s="46"/>
      <c r="P2880" s="46"/>
      <c r="Q2880" s="46"/>
      <c r="R2880" s="46"/>
      <c r="S2880" s="46"/>
      <c r="T2880" s="46"/>
      <c r="U2880" s="46"/>
      <c r="V2880" s="46"/>
      <c r="W2880" s="46"/>
      <c r="X2880" s="46"/>
      <c r="Y2880" s="46"/>
      <c r="Z2880" s="46"/>
    </row>
    <row r="2881" ht="22.5" customHeight="1">
      <c r="A2881" s="17"/>
      <c r="B2881" s="20"/>
      <c r="C2881" s="13"/>
      <c r="D2881" s="13"/>
      <c r="E2881" s="13"/>
      <c r="F2881" s="15"/>
      <c r="G2881" s="15"/>
      <c r="H2881" s="46"/>
      <c r="I2881" s="46"/>
      <c r="J2881" s="46"/>
      <c r="K2881" s="46"/>
      <c r="L2881" s="46"/>
      <c r="M2881" s="46"/>
      <c r="N2881" s="46"/>
      <c r="O2881" s="46"/>
      <c r="P2881" s="46"/>
      <c r="Q2881" s="46"/>
      <c r="R2881" s="46"/>
      <c r="S2881" s="46"/>
      <c r="T2881" s="46"/>
      <c r="U2881" s="46"/>
      <c r="V2881" s="46"/>
      <c r="W2881" s="46"/>
      <c r="X2881" s="46"/>
      <c r="Y2881" s="46"/>
      <c r="Z2881" s="46"/>
    </row>
    <row r="2882" ht="22.5" customHeight="1">
      <c r="A2882" s="17"/>
      <c r="B2882" s="20"/>
      <c r="C2882" s="13"/>
      <c r="D2882" s="13"/>
      <c r="E2882" s="13"/>
      <c r="F2882" s="15"/>
      <c r="G2882" s="15"/>
      <c r="H2882" s="46"/>
      <c r="I2882" s="46"/>
      <c r="J2882" s="46"/>
      <c r="K2882" s="46"/>
      <c r="L2882" s="46"/>
      <c r="M2882" s="46"/>
      <c r="N2882" s="46"/>
      <c r="O2882" s="46"/>
      <c r="P2882" s="46"/>
      <c r="Q2882" s="46"/>
      <c r="R2882" s="46"/>
      <c r="S2882" s="46"/>
      <c r="T2882" s="46"/>
      <c r="U2882" s="46"/>
      <c r="V2882" s="46"/>
      <c r="W2882" s="46"/>
      <c r="X2882" s="46"/>
      <c r="Y2882" s="46"/>
      <c r="Z2882" s="46"/>
    </row>
    <row r="2883" ht="22.5" customHeight="1">
      <c r="A2883" s="17"/>
      <c r="B2883" s="20"/>
      <c r="C2883" s="13"/>
      <c r="D2883" s="13"/>
      <c r="E2883" s="13"/>
      <c r="F2883" s="15"/>
      <c r="G2883" s="15"/>
      <c r="H2883" s="46"/>
      <c r="I2883" s="46"/>
      <c r="J2883" s="46"/>
      <c r="K2883" s="46"/>
      <c r="L2883" s="46"/>
      <c r="M2883" s="46"/>
      <c r="N2883" s="46"/>
      <c r="O2883" s="46"/>
      <c r="P2883" s="46"/>
      <c r="Q2883" s="46"/>
      <c r="R2883" s="46"/>
      <c r="S2883" s="46"/>
      <c r="T2883" s="46"/>
      <c r="U2883" s="46"/>
      <c r="V2883" s="46"/>
      <c r="W2883" s="46"/>
      <c r="X2883" s="46"/>
      <c r="Y2883" s="46"/>
      <c r="Z2883" s="46"/>
    </row>
    <row r="2884" ht="22.5" customHeight="1">
      <c r="A2884" s="17"/>
      <c r="B2884" s="20"/>
      <c r="C2884" s="13"/>
      <c r="D2884" s="13"/>
      <c r="E2884" s="13"/>
      <c r="F2884" s="15"/>
      <c r="G2884" s="15"/>
      <c r="H2884" s="46"/>
      <c r="I2884" s="46"/>
      <c r="J2884" s="46"/>
      <c r="K2884" s="46"/>
      <c r="L2884" s="46"/>
      <c r="M2884" s="46"/>
      <c r="N2884" s="46"/>
      <c r="O2884" s="46"/>
      <c r="P2884" s="46"/>
      <c r="Q2884" s="46"/>
      <c r="R2884" s="46"/>
      <c r="S2884" s="46"/>
      <c r="T2884" s="46"/>
      <c r="U2884" s="46"/>
      <c r="V2884" s="46"/>
      <c r="W2884" s="46"/>
      <c r="X2884" s="46"/>
      <c r="Y2884" s="46"/>
      <c r="Z2884" s="46"/>
    </row>
    <row r="2885" ht="22.5" customHeight="1">
      <c r="A2885" s="17"/>
      <c r="B2885" s="20"/>
      <c r="C2885" s="13"/>
      <c r="D2885" s="13"/>
      <c r="E2885" s="13"/>
      <c r="F2885" s="15"/>
      <c r="G2885" s="15"/>
      <c r="H2885" s="46"/>
      <c r="I2885" s="46"/>
      <c r="J2885" s="46"/>
      <c r="K2885" s="46"/>
      <c r="L2885" s="46"/>
      <c r="M2885" s="46"/>
      <c r="N2885" s="46"/>
      <c r="O2885" s="46"/>
      <c r="P2885" s="46"/>
      <c r="Q2885" s="46"/>
      <c r="R2885" s="46"/>
      <c r="S2885" s="46"/>
      <c r="T2885" s="46"/>
      <c r="U2885" s="46"/>
      <c r="V2885" s="46"/>
      <c r="W2885" s="46"/>
      <c r="X2885" s="46"/>
      <c r="Y2885" s="46"/>
      <c r="Z2885" s="46"/>
    </row>
    <row r="2886" ht="22.5" customHeight="1">
      <c r="A2886" s="17"/>
      <c r="B2886" s="20"/>
      <c r="C2886" s="13"/>
      <c r="D2886" s="13"/>
      <c r="E2886" s="13"/>
      <c r="F2886" s="15"/>
      <c r="G2886" s="15"/>
      <c r="H2886" s="46"/>
      <c r="I2886" s="46"/>
      <c r="J2886" s="46"/>
      <c r="K2886" s="46"/>
      <c r="L2886" s="46"/>
      <c r="M2886" s="46"/>
      <c r="N2886" s="46"/>
      <c r="O2886" s="46"/>
      <c r="P2886" s="46"/>
      <c r="Q2886" s="46"/>
      <c r="R2886" s="46"/>
      <c r="S2886" s="46"/>
      <c r="T2886" s="46"/>
      <c r="U2886" s="46"/>
      <c r="V2886" s="46"/>
      <c r="W2886" s="46"/>
      <c r="X2886" s="46"/>
      <c r="Y2886" s="46"/>
      <c r="Z2886" s="46"/>
    </row>
    <row r="2887" ht="22.5" customHeight="1">
      <c r="A2887" s="17"/>
      <c r="B2887" s="20"/>
      <c r="C2887" s="13"/>
      <c r="D2887" s="13"/>
      <c r="E2887" s="13"/>
      <c r="F2887" s="15"/>
      <c r="G2887" s="15"/>
      <c r="H2887" s="46"/>
      <c r="I2887" s="46"/>
      <c r="J2887" s="46"/>
      <c r="K2887" s="46"/>
      <c r="L2887" s="46"/>
      <c r="M2887" s="46"/>
      <c r="N2887" s="46"/>
      <c r="O2887" s="46"/>
      <c r="P2887" s="46"/>
      <c r="Q2887" s="46"/>
      <c r="R2887" s="46"/>
      <c r="S2887" s="46"/>
      <c r="T2887" s="46"/>
      <c r="U2887" s="46"/>
      <c r="V2887" s="46"/>
      <c r="W2887" s="46"/>
      <c r="X2887" s="46"/>
      <c r="Y2887" s="46"/>
      <c r="Z2887" s="46"/>
    </row>
    <row r="2888" ht="22.5" customHeight="1">
      <c r="A2888" s="17"/>
      <c r="B2888" s="20"/>
      <c r="C2888" s="13"/>
      <c r="D2888" s="13"/>
      <c r="E2888" s="13"/>
      <c r="F2888" s="15"/>
      <c r="G2888" s="15"/>
      <c r="H2888" s="46"/>
      <c r="I2888" s="46"/>
      <c r="J2888" s="46"/>
      <c r="K2888" s="46"/>
      <c r="L2888" s="46"/>
      <c r="M2888" s="46"/>
      <c r="N2888" s="46"/>
      <c r="O2888" s="46"/>
      <c r="P2888" s="46"/>
      <c r="Q2888" s="46"/>
      <c r="R2888" s="46"/>
      <c r="S2888" s="46"/>
      <c r="T2888" s="46"/>
      <c r="U2888" s="46"/>
      <c r="V2888" s="46"/>
      <c r="W2888" s="46"/>
      <c r="X2888" s="46"/>
      <c r="Y2888" s="46"/>
      <c r="Z2888" s="46"/>
    </row>
    <row r="2889" ht="22.5" customHeight="1">
      <c r="A2889" s="17"/>
      <c r="B2889" s="20"/>
      <c r="C2889" s="13"/>
      <c r="D2889" s="13"/>
      <c r="E2889" s="13"/>
      <c r="F2889" s="15"/>
      <c r="G2889" s="15"/>
      <c r="H2889" s="46"/>
      <c r="I2889" s="46"/>
      <c r="J2889" s="46"/>
      <c r="K2889" s="46"/>
      <c r="L2889" s="46"/>
      <c r="M2889" s="46"/>
      <c r="N2889" s="46"/>
      <c r="O2889" s="46"/>
      <c r="P2889" s="46"/>
      <c r="Q2889" s="46"/>
      <c r="R2889" s="46"/>
      <c r="S2889" s="46"/>
      <c r="T2889" s="46"/>
      <c r="U2889" s="46"/>
      <c r="V2889" s="46"/>
      <c r="W2889" s="46"/>
      <c r="X2889" s="46"/>
      <c r="Y2889" s="46"/>
      <c r="Z2889" s="46"/>
    </row>
    <row r="2890" ht="22.5" customHeight="1">
      <c r="A2890" s="17"/>
      <c r="B2890" s="20"/>
      <c r="C2890" s="13"/>
      <c r="D2890" s="13"/>
      <c r="E2890" s="13"/>
      <c r="F2890" s="15"/>
      <c r="G2890" s="15"/>
      <c r="H2890" s="46"/>
      <c r="I2890" s="46"/>
      <c r="J2890" s="46"/>
      <c r="K2890" s="46"/>
      <c r="L2890" s="46"/>
      <c r="M2890" s="46"/>
      <c r="N2890" s="46"/>
      <c r="O2890" s="46"/>
      <c r="P2890" s="46"/>
      <c r="Q2890" s="46"/>
      <c r="R2890" s="46"/>
      <c r="S2890" s="46"/>
      <c r="T2890" s="46"/>
      <c r="U2890" s="46"/>
      <c r="V2890" s="46"/>
      <c r="W2890" s="46"/>
      <c r="X2890" s="46"/>
      <c r="Y2890" s="46"/>
      <c r="Z2890" s="46"/>
    </row>
    <row r="2891" ht="22.5" customHeight="1">
      <c r="A2891" s="17"/>
      <c r="B2891" s="20"/>
      <c r="C2891" s="13"/>
      <c r="D2891" s="13"/>
      <c r="E2891" s="13"/>
      <c r="F2891" s="15"/>
      <c r="G2891" s="15"/>
      <c r="H2891" s="46"/>
      <c r="I2891" s="46"/>
      <c r="J2891" s="46"/>
      <c r="K2891" s="46"/>
      <c r="L2891" s="46"/>
      <c r="M2891" s="46"/>
      <c r="N2891" s="46"/>
      <c r="O2891" s="46"/>
      <c r="P2891" s="46"/>
      <c r="Q2891" s="46"/>
      <c r="R2891" s="46"/>
      <c r="S2891" s="46"/>
      <c r="T2891" s="46"/>
      <c r="U2891" s="46"/>
      <c r="V2891" s="46"/>
      <c r="W2891" s="46"/>
      <c r="X2891" s="46"/>
      <c r="Y2891" s="46"/>
      <c r="Z2891" s="46"/>
    </row>
    <row r="2892" ht="22.5" customHeight="1">
      <c r="A2892" s="17"/>
      <c r="B2892" s="20"/>
      <c r="C2892" s="13"/>
      <c r="D2892" s="13"/>
      <c r="E2892" s="13"/>
      <c r="F2892" s="15"/>
      <c r="G2892" s="15"/>
      <c r="H2892" s="46"/>
      <c r="I2892" s="46"/>
      <c r="J2892" s="46"/>
      <c r="K2892" s="46"/>
      <c r="L2892" s="46"/>
      <c r="M2892" s="46"/>
      <c r="N2892" s="46"/>
      <c r="O2892" s="46"/>
      <c r="P2892" s="46"/>
      <c r="Q2892" s="46"/>
      <c r="R2892" s="46"/>
      <c r="S2892" s="46"/>
      <c r="T2892" s="46"/>
      <c r="U2892" s="46"/>
      <c r="V2892" s="46"/>
      <c r="W2892" s="46"/>
      <c r="X2892" s="46"/>
      <c r="Y2892" s="46"/>
      <c r="Z2892" s="46"/>
    </row>
    <row r="2893" ht="22.5" customHeight="1">
      <c r="A2893" s="17"/>
      <c r="B2893" s="20"/>
      <c r="C2893" s="13"/>
      <c r="D2893" s="13"/>
      <c r="E2893" s="13"/>
      <c r="F2893" s="15"/>
      <c r="G2893" s="15"/>
      <c r="H2893" s="46"/>
      <c r="I2893" s="46"/>
      <c r="J2893" s="46"/>
      <c r="K2893" s="46"/>
      <c r="L2893" s="46"/>
      <c r="M2893" s="46"/>
      <c r="N2893" s="46"/>
      <c r="O2893" s="46"/>
      <c r="P2893" s="46"/>
      <c r="Q2893" s="46"/>
      <c r="R2893" s="46"/>
      <c r="S2893" s="46"/>
      <c r="T2893" s="46"/>
      <c r="U2893" s="46"/>
      <c r="V2893" s="46"/>
      <c r="W2893" s="46"/>
      <c r="X2893" s="46"/>
      <c r="Y2893" s="46"/>
      <c r="Z2893" s="46"/>
    </row>
    <row r="2894" ht="22.5" customHeight="1">
      <c r="A2894" s="17"/>
      <c r="B2894" s="20"/>
      <c r="C2894" s="13"/>
      <c r="D2894" s="13"/>
      <c r="E2894" s="13"/>
      <c r="F2894" s="15"/>
      <c r="G2894" s="15"/>
      <c r="H2894" s="46"/>
      <c r="I2894" s="46"/>
      <c r="J2894" s="46"/>
      <c r="K2894" s="46"/>
      <c r="L2894" s="46"/>
      <c r="M2894" s="46"/>
      <c r="N2894" s="46"/>
      <c r="O2894" s="46"/>
      <c r="P2894" s="46"/>
      <c r="Q2894" s="46"/>
      <c r="R2894" s="46"/>
      <c r="S2894" s="46"/>
      <c r="T2894" s="46"/>
      <c r="U2894" s="46"/>
      <c r="V2894" s="46"/>
      <c r="W2894" s="46"/>
      <c r="X2894" s="46"/>
      <c r="Y2894" s="46"/>
      <c r="Z2894" s="46"/>
    </row>
    <row r="2895" ht="22.5" customHeight="1">
      <c r="A2895" s="17"/>
      <c r="B2895" s="20"/>
      <c r="C2895" s="13"/>
      <c r="D2895" s="13"/>
      <c r="E2895" s="13"/>
      <c r="F2895" s="15"/>
      <c r="G2895" s="15"/>
      <c r="H2895" s="46"/>
      <c r="I2895" s="46"/>
      <c r="J2895" s="46"/>
      <c r="K2895" s="46"/>
      <c r="L2895" s="46"/>
      <c r="M2895" s="46"/>
      <c r="N2895" s="46"/>
      <c r="O2895" s="46"/>
      <c r="P2895" s="46"/>
      <c r="Q2895" s="46"/>
      <c r="R2895" s="46"/>
      <c r="S2895" s="46"/>
      <c r="T2895" s="46"/>
      <c r="U2895" s="46"/>
      <c r="V2895" s="46"/>
      <c r="W2895" s="46"/>
      <c r="X2895" s="46"/>
      <c r="Y2895" s="46"/>
      <c r="Z2895" s="46"/>
    </row>
    <row r="2896" ht="22.5" customHeight="1">
      <c r="A2896" s="17"/>
      <c r="B2896" s="20"/>
      <c r="C2896" s="13"/>
      <c r="D2896" s="13"/>
      <c r="E2896" s="13"/>
      <c r="F2896" s="15"/>
      <c r="G2896" s="15"/>
      <c r="H2896" s="46"/>
      <c r="I2896" s="46"/>
      <c r="J2896" s="46"/>
      <c r="K2896" s="46"/>
      <c r="L2896" s="46"/>
      <c r="M2896" s="46"/>
      <c r="N2896" s="46"/>
      <c r="O2896" s="46"/>
      <c r="P2896" s="46"/>
      <c r="Q2896" s="46"/>
      <c r="R2896" s="46"/>
      <c r="S2896" s="46"/>
      <c r="T2896" s="46"/>
      <c r="U2896" s="46"/>
      <c r="V2896" s="46"/>
      <c r="W2896" s="46"/>
      <c r="X2896" s="46"/>
      <c r="Y2896" s="46"/>
      <c r="Z2896" s="46"/>
    </row>
    <row r="2897" ht="22.5" customHeight="1">
      <c r="A2897" s="17"/>
      <c r="B2897" s="20"/>
      <c r="C2897" s="13"/>
      <c r="D2897" s="13"/>
      <c r="E2897" s="13"/>
      <c r="F2897" s="15"/>
      <c r="G2897" s="15"/>
      <c r="H2897" s="46"/>
      <c r="I2897" s="46"/>
      <c r="J2897" s="46"/>
      <c r="K2897" s="46"/>
      <c r="L2897" s="46"/>
      <c r="M2897" s="46"/>
      <c r="N2897" s="46"/>
      <c r="O2897" s="46"/>
      <c r="P2897" s="46"/>
      <c r="Q2897" s="46"/>
      <c r="R2897" s="46"/>
      <c r="S2897" s="46"/>
      <c r="T2897" s="46"/>
      <c r="U2897" s="46"/>
      <c r="V2897" s="46"/>
      <c r="W2897" s="46"/>
      <c r="X2897" s="46"/>
      <c r="Y2897" s="46"/>
      <c r="Z2897" s="46"/>
    </row>
    <row r="2898" ht="22.5" customHeight="1">
      <c r="A2898" s="17"/>
      <c r="B2898" s="20"/>
      <c r="C2898" s="13"/>
      <c r="D2898" s="13"/>
      <c r="E2898" s="13"/>
      <c r="F2898" s="15"/>
      <c r="G2898" s="15"/>
      <c r="H2898" s="46"/>
      <c r="I2898" s="46"/>
      <c r="J2898" s="46"/>
      <c r="K2898" s="46"/>
      <c r="L2898" s="46"/>
      <c r="M2898" s="46"/>
      <c r="N2898" s="46"/>
      <c r="O2898" s="46"/>
      <c r="P2898" s="46"/>
      <c r="Q2898" s="46"/>
      <c r="R2898" s="46"/>
      <c r="S2898" s="46"/>
      <c r="T2898" s="46"/>
      <c r="U2898" s="46"/>
      <c r="V2898" s="46"/>
      <c r="W2898" s="46"/>
      <c r="X2898" s="46"/>
      <c r="Y2898" s="46"/>
      <c r="Z2898" s="46"/>
    </row>
    <row r="2899" ht="22.5" customHeight="1">
      <c r="A2899" s="17"/>
      <c r="B2899" s="20"/>
      <c r="C2899" s="13"/>
      <c r="D2899" s="13"/>
      <c r="E2899" s="13"/>
      <c r="F2899" s="15"/>
      <c r="G2899" s="15"/>
      <c r="H2899" s="46"/>
      <c r="I2899" s="46"/>
      <c r="J2899" s="46"/>
      <c r="K2899" s="46"/>
      <c r="L2899" s="46"/>
      <c r="M2899" s="46"/>
      <c r="N2899" s="46"/>
      <c r="O2899" s="46"/>
      <c r="P2899" s="46"/>
      <c r="Q2899" s="46"/>
      <c r="R2899" s="46"/>
      <c r="S2899" s="46"/>
      <c r="T2899" s="46"/>
      <c r="U2899" s="46"/>
      <c r="V2899" s="46"/>
      <c r="W2899" s="46"/>
      <c r="X2899" s="46"/>
      <c r="Y2899" s="46"/>
      <c r="Z2899" s="46"/>
    </row>
    <row r="2900" ht="22.5" customHeight="1">
      <c r="A2900" s="17"/>
      <c r="B2900" s="20"/>
      <c r="C2900" s="13"/>
      <c r="D2900" s="13"/>
      <c r="E2900" s="13"/>
      <c r="F2900" s="15"/>
      <c r="G2900" s="15"/>
      <c r="H2900" s="46"/>
      <c r="I2900" s="46"/>
      <c r="J2900" s="46"/>
      <c r="K2900" s="46"/>
      <c r="L2900" s="46"/>
      <c r="M2900" s="46"/>
      <c r="N2900" s="46"/>
      <c r="O2900" s="46"/>
      <c r="P2900" s="46"/>
      <c r="Q2900" s="46"/>
      <c r="R2900" s="46"/>
      <c r="S2900" s="46"/>
      <c r="T2900" s="46"/>
      <c r="U2900" s="46"/>
      <c r="V2900" s="46"/>
      <c r="W2900" s="46"/>
      <c r="X2900" s="46"/>
      <c r="Y2900" s="46"/>
      <c r="Z2900" s="46"/>
    </row>
    <row r="2901" ht="22.5" customHeight="1">
      <c r="A2901" s="17"/>
      <c r="B2901" s="20"/>
      <c r="C2901" s="13"/>
      <c r="D2901" s="13"/>
      <c r="E2901" s="13"/>
      <c r="F2901" s="15"/>
      <c r="G2901" s="15"/>
      <c r="H2901" s="46"/>
      <c r="I2901" s="46"/>
      <c r="J2901" s="46"/>
      <c r="K2901" s="46"/>
      <c r="L2901" s="46"/>
      <c r="M2901" s="46"/>
      <c r="N2901" s="46"/>
      <c r="O2901" s="46"/>
      <c r="P2901" s="46"/>
      <c r="Q2901" s="46"/>
      <c r="R2901" s="46"/>
      <c r="S2901" s="46"/>
      <c r="T2901" s="46"/>
      <c r="U2901" s="46"/>
      <c r="V2901" s="46"/>
      <c r="W2901" s="46"/>
      <c r="X2901" s="46"/>
      <c r="Y2901" s="46"/>
      <c r="Z2901" s="46"/>
    </row>
    <row r="2902" ht="22.5" customHeight="1">
      <c r="A2902" s="17"/>
      <c r="B2902" s="20"/>
      <c r="C2902" s="13"/>
      <c r="D2902" s="13"/>
      <c r="E2902" s="13"/>
      <c r="F2902" s="15"/>
      <c r="G2902" s="15"/>
      <c r="H2902" s="46"/>
      <c r="I2902" s="46"/>
      <c r="J2902" s="46"/>
      <c r="K2902" s="46"/>
      <c r="L2902" s="46"/>
      <c r="M2902" s="46"/>
      <c r="N2902" s="46"/>
      <c r="O2902" s="46"/>
      <c r="P2902" s="46"/>
      <c r="Q2902" s="46"/>
      <c r="R2902" s="46"/>
      <c r="S2902" s="46"/>
      <c r="T2902" s="46"/>
      <c r="U2902" s="46"/>
      <c r="V2902" s="46"/>
      <c r="W2902" s="46"/>
      <c r="X2902" s="46"/>
      <c r="Y2902" s="46"/>
      <c r="Z2902" s="46"/>
    </row>
    <row r="2903" ht="22.5" customHeight="1">
      <c r="A2903" s="17"/>
      <c r="B2903" s="20"/>
      <c r="C2903" s="13"/>
      <c r="D2903" s="13"/>
      <c r="E2903" s="13"/>
      <c r="F2903" s="15"/>
      <c r="G2903" s="15"/>
      <c r="H2903" s="46"/>
      <c r="I2903" s="46"/>
      <c r="J2903" s="46"/>
      <c r="K2903" s="46"/>
      <c r="L2903" s="46"/>
      <c r="M2903" s="46"/>
      <c r="N2903" s="46"/>
      <c r="O2903" s="46"/>
      <c r="P2903" s="46"/>
      <c r="Q2903" s="46"/>
      <c r="R2903" s="46"/>
      <c r="S2903" s="46"/>
      <c r="T2903" s="46"/>
      <c r="U2903" s="46"/>
      <c r="V2903" s="46"/>
      <c r="W2903" s="46"/>
      <c r="X2903" s="46"/>
      <c r="Y2903" s="46"/>
      <c r="Z2903" s="46"/>
    </row>
    <row r="2904" ht="22.5" customHeight="1">
      <c r="A2904" s="17"/>
      <c r="B2904" s="20"/>
      <c r="C2904" s="13"/>
      <c r="D2904" s="13"/>
      <c r="E2904" s="13"/>
      <c r="F2904" s="15"/>
      <c r="G2904" s="15"/>
      <c r="H2904" s="46"/>
      <c r="I2904" s="46"/>
      <c r="J2904" s="46"/>
      <c r="K2904" s="46"/>
      <c r="L2904" s="46"/>
      <c r="M2904" s="46"/>
      <c r="N2904" s="46"/>
      <c r="O2904" s="46"/>
      <c r="P2904" s="46"/>
      <c r="Q2904" s="46"/>
      <c r="R2904" s="46"/>
      <c r="S2904" s="46"/>
      <c r="T2904" s="46"/>
      <c r="U2904" s="46"/>
      <c r="V2904" s="46"/>
      <c r="W2904" s="46"/>
      <c r="X2904" s="46"/>
      <c r="Y2904" s="46"/>
      <c r="Z2904" s="46"/>
    </row>
    <row r="2905" ht="22.5" customHeight="1">
      <c r="A2905" s="17"/>
      <c r="B2905" s="20"/>
      <c r="C2905" s="13"/>
      <c r="D2905" s="13"/>
      <c r="E2905" s="13"/>
      <c r="F2905" s="15"/>
      <c r="G2905" s="15"/>
      <c r="H2905" s="46"/>
      <c r="I2905" s="46"/>
      <c r="J2905" s="46"/>
      <c r="K2905" s="46"/>
      <c r="L2905" s="46"/>
      <c r="M2905" s="46"/>
      <c r="N2905" s="46"/>
      <c r="O2905" s="46"/>
      <c r="P2905" s="46"/>
      <c r="Q2905" s="46"/>
      <c r="R2905" s="46"/>
      <c r="S2905" s="46"/>
      <c r="T2905" s="46"/>
      <c r="U2905" s="46"/>
      <c r="V2905" s="46"/>
      <c r="W2905" s="46"/>
      <c r="X2905" s="46"/>
      <c r="Y2905" s="46"/>
      <c r="Z2905" s="46"/>
    </row>
    <row r="2906" ht="22.5" customHeight="1">
      <c r="A2906" s="17"/>
      <c r="B2906" s="20"/>
      <c r="C2906" s="13"/>
      <c r="D2906" s="13"/>
      <c r="E2906" s="13"/>
      <c r="F2906" s="15"/>
      <c r="G2906" s="15"/>
      <c r="H2906" s="46"/>
      <c r="I2906" s="46"/>
      <c r="J2906" s="46"/>
      <c r="K2906" s="46"/>
      <c r="L2906" s="46"/>
      <c r="M2906" s="46"/>
      <c r="N2906" s="46"/>
      <c r="O2906" s="46"/>
      <c r="P2906" s="46"/>
      <c r="Q2906" s="46"/>
      <c r="R2906" s="46"/>
      <c r="S2906" s="46"/>
      <c r="T2906" s="46"/>
      <c r="U2906" s="46"/>
      <c r="V2906" s="46"/>
      <c r="W2906" s="46"/>
      <c r="X2906" s="46"/>
      <c r="Y2906" s="46"/>
      <c r="Z2906" s="46"/>
    </row>
    <row r="2907" ht="22.5" customHeight="1">
      <c r="A2907" s="17"/>
      <c r="B2907" s="20"/>
      <c r="C2907" s="13"/>
      <c r="D2907" s="13"/>
      <c r="E2907" s="13"/>
      <c r="F2907" s="15"/>
      <c r="G2907" s="15"/>
      <c r="H2907" s="46"/>
      <c r="I2907" s="46"/>
      <c r="J2907" s="46"/>
      <c r="K2907" s="46"/>
      <c r="L2907" s="46"/>
      <c r="M2907" s="46"/>
      <c r="N2907" s="46"/>
      <c r="O2907" s="46"/>
      <c r="P2907" s="46"/>
      <c r="Q2907" s="46"/>
      <c r="R2907" s="46"/>
      <c r="S2907" s="46"/>
      <c r="T2907" s="46"/>
      <c r="U2907" s="46"/>
      <c r="V2907" s="46"/>
      <c r="W2907" s="46"/>
      <c r="X2907" s="46"/>
      <c r="Y2907" s="46"/>
      <c r="Z2907" s="46"/>
    </row>
    <row r="2908" ht="22.5" customHeight="1">
      <c r="A2908" s="17"/>
      <c r="B2908" s="20"/>
      <c r="C2908" s="13"/>
      <c r="D2908" s="13"/>
      <c r="E2908" s="13"/>
      <c r="F2908" s="15"/>
      <c r="G2908" s="15"/>
      <c r="H2908" s="46"/>
      <c r="I2908" s="46"/>
      <c r="J2908" s="46"/>
      <c r="K2908" s="46"/>
      <c r="L2908" s="46"/>
      <c r="M2908" s="46"/>
      <c r="N2908" s="46"/>
      <c r="O2908" s="46"/>
      <c r="P2908" s="46"/>
      <c r="Q2908" s="46"/>
      <c r="R2908" s="46"/>
      <c r="S2908" s="46"/>
      <c r="T2908" s="46"/>
      <c r="U2908" s="46"/>
      <c r="V2908" s="46"/>
      <c r="W2908" s="46"/>
      <c r="X2908" s="46"/>
      <c r="Y2908" s="46"/>
      <c r="Z2908" s="46"/>
    </row>
    <row r="2909" ht="22.5" customHeight="1">
      <c r="A2909" s="17"/>
      <c r="B2909" s="20"/>
      <c r="C2909" s="13"/>
      <c r="D2909" s="13"/>
      <c r="E2909" s="13"/>
      <c r="F2909" s="15"/>
      <c r="G2909" s="15"/>
      <c r="H2909" s="46"/>
      <c r="I2909" s="46"/>
      <c r="J2909" s="46"/>
      <c r="K2909" s="46"/>
      <c r="L2909" s="46"/>
      <c r="M2909" s="46"/>
      <c r="N2909" s="46"/>
      <c r="O2909" s="46"/>
      <c r="P2909" s="46"/>
      <c r="Q2909" s="46"/>
      <c r="R2909" s="46"/>
      <c r="S2909" s="46"/>
      <c r="T2909" s="46"/>
      <c r="U2909" s="46"/>
      <c r="V2909" s="46"/>
      <c r="W2909" s="46"/>
      <c r="X2909" s="46"/>
      <c r="Y2909" s="46"/>
      <c r="Z2909" s="46"/>
    </row>
    <row r="2910" ht="22.5" customHeight="1">
      <c r="A2910" s="17"/>
      <c r="B2910" s="20"/>
      <c r="C2910" s="13"/>
      <c r="D2910" s="13"/>
      <c r="E2910" s="13"/>
      <c r="F2910" s="15"/>
      <c r="G2910" s="15"/>
      <c r="H2910" s="46"/>
      <c r="I2910" s="46"/>
      <c r="J2910" s="46"/>
      <c r="K2910" s="46"/>
      <c r="L2910" s="46"/>
      <c r="M2910" s="46"/>
      <c r="N2910" s="46"/>
      <c r="O2910" s="46"/>
      <c r="P2910" s="46"/>
      <c r="Q2910" s="46"/>
      <c r="R2910" s="46"/>
      <c r="S2910" s="46"/>
      <c r="T2910" s="46"/>
      <c r="U2910" s="46"/>
      <c r="V2910" s="46"/>
      <c r="W2910" s="46"/>
      <c r="X2910" s="46"/>
      <c r="Y2910" s="46"/>
      <c r="Z2910" s="46"/>
    </row>
    <row r="2911" ht="22.5" customHeight="1">
      <c r="A2911" s="17"/>
      <c r="B2911" s="20"/>
      <c r="C2911" s="13"/>
      <c r="D2911" s="13"/>
      <c r="E2911" s="13"/>
      <c r="F2911" s="15"/>
      <c r="G2911" s="15"/>
      <c r="H2911" s="46"/>
      <c r="I2911" s="46"/>
      <c r="J2911" s="46"/>
      <c r="K2911" s="46"/>
      <c r="L2911" s="46"/>
      <c r="M2911" s="46"/>
      <c r="N2911" s="46"/>
      <c r="O2911" s="46"/>
      <c r="P2911" s="46"/>
      <c r="Q2911" s="46"/>
      <c r="R2911" s="46"/>
      <c r="S2911" s="46"/>
      <c r="T2911" s="46"/>
      <c r="U2911" s="46"/>
      <c r="V2911" s="46"/>
      <c r="W2911" s="46"/>
      <c r="X2911" s="46"/>
      <c r="Y2911" s="46"/>
      <c r="Z2911" s="46"/>
    </row>
    <row r="2912" ht="22.5" customHeight="1">
      <c r="A2912" s="17"/>
      <c r="B2912" s="20"/>
      <c r="C2912" s="13"/>
      <c r="D2912" s="13"/>
      <c r="E2912" s="13"/>
      <c r="F2912" s="15"/>
      <c r="G2912" s="15"/>
      <c r="H2912" s="46"/>
      <c r="I2912" s="46"/>
      <c r="J2912" s="46"/>
      <c r="K2912" s="46"/>
      <c r="L2912" s="46"/>
      <c r="M2912" s="46"/>
      <c r="N2912" s="46"/>
      <c r="O2912" s="46"/>
      <c r="P2912" s="46"/>
      <c r="Q2912" s="46"/>
      <c r="R2912" s="46"/>
      <c r="S2912" s="46"/>
      <c r="T2912" s="46"/>
      <c r="U2912" s="46"/>
      <c r="V2912" s="46"/>
      <c r="W2912" s="46"/>
      <c r="X2912" s="46"/>
      <c r="Y2912" s="46"/>
      <c r="Z2912" s="46"/>
    </row>
    <row r="2913" ht="22.5" customHeight="1">
      <c r="A2913" s="17"/>
      <c r="B2913" s="20"/>
      <c r="C2913" s="13"/>
      <c r="D2913" s="13"/>
      <c r="E2913" s="13"/>
      <c r="F2913" s="15"/>
      <c r="G2913" s="15"/>
      <c r="H2913" s="46"/>
      <c r="I2913" s="46"/>
      <c r="J2913" s="46"/>
      <c r="K2913" s="46"/>
      <c r="L2913" s="46"/>
      <c r="M2913" s="46"/>
      <c r="N2913" s="46"/>
      <c r="O2913" s="46"/>
      <c r="P2913" s="46"/>
      <c r="Q2913" s="46"/>
      <c r="R2913" s="46"/>
      <c r="S2913" s="46"/>
      <c r="T2913" s="46"/>
      <c r="U2913" s="46"/>
      <c r="V2913" s="46"/>
      <c r="W2913" s="46"/>
      <c r="X2913" s="46"/>
      <c r="Y2913" s="46"/>
      <c r="Z2913" s="46"/>
    </row>
    <row r="2914" ht="22.5" customHeight="1">
      <c r="A2914" s="17"/>
      <c r="B2914" s="20"/>
      <c r="C2914" s="13"/>
      <c r="D2914" s="13"/>
      <c r="E2914" s="13"/>
      <c r="F2914" s="15"/>
      <c r="G2914" s="15"/>
      <c r="H2914" s="46"/>
      <c r="I2914" s="46"/>
      <c r="J2914" s="46"/>
      <c r="K2914" s="46"/>
      <c r="L2914" s="46"/>
      <c r="M2914" s="46"/>
      <c r="N2914" s="46"/>
      <c r="O2914" s="46"/>
      <c r="P2914" s="46"/>
      <c r="Q2914" s="46"/>
      <c r="R2914" s="46"/>
      <c r="S2914" s="46"/>
      <c r="T2914" s="46"/>
      <c r="U2914" s="46"/>
      <c r="V2914" s="46"/>
      <c r="W2914" s="46"/>
      <c r="X2914" s="46"/>
      <c r="Y2914" s="46"/>
      <c r="Z2914" s="46"/>
    </row>
    <row r="2915" ht="22.5" customHeight="1">
      <c r="A2915" s="17"/>
      <c r="B2915" s="20"/>
      <c r="C2915" s="13"/>
      <c r="D2915" s="13"/>
      <c r="E2915" s="13"/>
      <c r="F2915" s="15"/>
      <c r="G2915" s="15"/>
      <c r="H2915" s="46"/>
      <c r="I2915" s="46"/>
      <c r="J2915" s="46"/>
      <c r="K2915" s="46"/>
      <c r="L2915" s="46"/>
      <c r="M2915" s="46"/>
      <c r="N2915" s="46"/>
      <c r="O2915" s="46"/>
      <c r="P2915" s="46"/>
      <c r="Q2915" s="46"/>
      <c r="R2915" s="46"/>
      <c r="S2915" s="46"/>
      <c r="T2915" s="46"/>
      <c r="U2915" s="46"/>
      <c r="V2915" s="46"/>
      <c r="W2915" s="46"/>
      <c r="X2915" s="46"/>
      <c r="Y2915" s="46"/>
      <c r="Z2915" s="46"/>
    </row>
    <row r="2916" ht="22.5" customHeight="1">
      <c r="A2916" s="17"/>
      <c r="B2916" s="20"/>
      <c r="C2916" s="13"/>
      <c r="D2916" s="13"/>
      <c r="E2916" s="13"/>
      <c r="F2916" s="15"/>
      <c r="G2916" s="15"/>
      <c r="H2916" s="46"/>
      <c r="I2916" s="46"/>
      <c r="J2916" s="46"/>
      <c r="K2916" s="46"/>
      <c r="L2916" s="46"/>
      <c r="M2916" s="46"/>
      <c r="N2916" s="46"/>
      <c r="O2916" s="46"/>
      <c r="P2916" s="46"/>
      <c r="Q2916" s="46"/>
      <c r="R2916" s="46"/>
      <c r="S2916" s="46"/>
      <c r="T2916" s="46"/>
      <c r="U2916" s="46"/>
      <c r="V2916" s="46"/>
      <c r="W2916" s="46"/>
      <c r="X2916" s="46"/>
      <c r="Y2916" s="46"/>
      <c r="Z2916" s="46"/>
    </row>
    <row r="2917" ht="22.5" customHeight="1">
      <c r="A2917" s="17"/>
      <c r="B2917" s="20"/>
      <c r="C2917" s="13"/>
      <c r="D2917" s="13"/>
      <c r="E2917" s="13"/>
      <c r="F2917" s="15"/>
      <c r="G2917" s="15"/>
      <c r="H2917" s="46"/>
      <c r="I2917" s="46"/>
      <c r="J2917" s="46"/>
      <c r="K2917" s="46"/>
      <c r="L2917" s="46"/>
      <c r="M2917" s="46"/>
      <c r="N2917" s="46"/>
      <c r="O2917" s="46"/>
      <c r="P2917" s="46"/>
      <c r="Q2917" s="46"/>
      <c r="R2917" s="46"/>
      <c r="S2917" s="46"/>
      <c r="T2917" s="46"/>
      <c r="U2917" s="46"/>
      <c r="V2917" s="46"/>
      <c r="W2917" s="46"/>
      <c r="X2917" s="46"/>
      <c r="Y2917" s="46"/>
      <c r="Z2917" s="46"/>
    </row>
    <row r="2918" ht="22.5" customHeight="1">
      <c r="A2918" s="17"/>
      <c r="B2918" s="20"/>
      <c r="C2918" s="13"/>
      <c r="D2918" s="13"/>
      <c r="E2918" s="13"/>
      <c r="F2918" s="15"/>
      <c r="G2918" s="15"/>
      <c r="H2918" s="46"/>
      <c r="I2918" s="46"/>
      <c r="J2918" s="46"/>
      <c r="K2918" s="46"/>
      <c r="L2918" s="46"/>
      <c r="M2918" s="46"/>
      <c r="N2918" s="46"/>
      <c r="O2918" s="46"/>
      <c r="P2918" s="46"/>
      <c r="Q2918" s="46"/>
      <c r="R2918" s="46"/>
      <c r="S2918" s="46"/>
      <c r="T2918" s="46"/>
      <c r="U2918" s="46"/>
      <c r="V2918" s="46"/>
      <c r="W2918" s="46"/>
      <c r="X2918" s="46"/>
      <c r="Y2918" s="46"/>
      <c r="Z2918" s="46"/>
    </row>
    <row r="2919" ht="22.5" customHeight="1">
      <c r="A2919" s="17"/>
      <c r="B2919" s="20"/>
      <c r="C2919" s="13"/>
      <c r="D2919" s="13"/>
      <c r="E2919" s="13"/>
      <c r="F2919" s="15"/>
      <c r="G2919" s="15"/>
      <c r="H2919" s="46"/>
      <c r="I2919" s="46"/>
      <c r="J2919" s="46"/>
      <c r="K2919" s="46"/>
      <c r="L2919" s="46"/>
      <c r="M2919" s="46"/>
      <c r="N2919" s="46"/>
      <c r="O2919" s="46"/>
      <c r="P2919" s="46"/>
      <c r="Q2919" s="46"/>
      <c r="R2919" s="46"/>
      <c r="S2919" s="46"/>
      <c r="T2919" s="46"/>
      <c r="U2919" s="46"/>
      <c r="V2919" s="46"/>
      <c r="W2919" s="46"/>
      <c r="X2919" s="46"/>
      <c r="Y2919" s="46"/>
      <c r="Z2919" s="46"/>
    </row>
    <row r="2920" ht="22.5" customHeight="1">
      <c r="A2920" s="17"/>
      <c r="B2920" s="20"/>
      <c r="C2920" s="13"/>
      <c r="D2920" s="13"/>
      <c r="E2920" s="13"/>
      <c r="F2920" s="15"/>
      <c r="G2920" s="15"/>
      <c r="H2920" s="46"/>
      <c r="I2920" s="46"/>
      <c r="J2920" s="46"/>
      <c r="K2920" s="46"/>
      <c r="L2920" s="46"/>
      <c r="M2920" s="46"/>
      <c r="N2920" s="46"/>
      <c r="O2920" s="46"/>
      <c r="P2920" s="46"/>
      <c r="Q2920" s="46"/>
      <c r="R2920" s="46"/>
      <c r="S2920" s="46"/>
      <c r="T2920" s="46"/>
      <c r="U2920" s="46"/>
      <c r="V2920" s="46"/>
      <c r="W2920" s="46"/>
      <c r="X2920" s="46"/>
      <c r="Y2920" s="46"/>
      <c r="Z2920" s="46"/>
    </row>
    <row r="2921" ht="22.5" customHeight="1">
      <c r="A2921" s="17"/>
      <c r="B2921" s="20"/>
      <c r="C2921" s="13"/>
      <c r="D2921" s="13"/>
      <c r="E2921" s="13"/>
      <c r="F2921" s="15"/>
      <c r="G2921" s="15"/>
      <c r="H2921" s="46"/>
      <c r="I2921" s="46"/>
      <c r="J2921" s="46"/>
      <c r="K2921" s="46"/>
      <c r="L2921" s="46"/>
      <c r="M2921" s="46"/>
      <c r="N2921" s="46"/>
      <c r="O2921" s="46"/>
      <c r="P2921" s="46"/>
      <c r="Q2921" s="46"/>
      <c r="R2921" s="46"/>
      <c r="S2921" s="46"/>
      <c r="T2921" s="46"/>
      <c r="U2921" s="46"/>
      <c r="V2921" s="46"/>
      <c r="W2921" s="46"/>
      <c r="X2921" s="46"/>
      <c r="Y2921" s="46"/>
      <c r="Z2921" s="46"/>
    </row>
    <row r="2922" ht="22.5" customHeight="1">
      <c r="A2922" s="17"/>
      <c r="B2922" s="20"/>
      <c r="C2922" s="13"/>
      <c r="D2922" s="13"/>
      <c r="E2922" s="13"/>
      <c r="F2922" s="15"/>
      <c r="G2922" s="15"/>
      <c r="H2922" s="46"/>
      <c r="I2922" s="46"/>
      <c r="J2922" s="46"/>
      <c r="K2922" s="46"/>
      <c r="L2922" s="46"/>
      <c r="M2922" s="46"/>
      <c r="N2922" s="46"/>
      <c r="O2922" s="46"/>
      <c r="P2922" s="46"/>
      <c r="Q2922" s="46"/>
      <c r="R2922" s="46"/>
      <c r="S2922" s="46"/>
      <c r="T2922" s="46"/>
      <c r="U2922" s="46"/>
      <c r="V2922" s="46"/>
      <c r="W2922" s="46"/>
      <c r="X2922" s="46"/>
      <c r="Y2922" s="46"/>
      <c r="Z2922" s="46"/>
    </row>
    <row r="2923" ht="22.5" customHeight="1">
      <c r="A2923" s="17"/>
      <c r="B2923" s="20"/>
      <c r="C2923" s="13"/>
      <c r="D2923" s="13"/>
      <c r="E2923" s="13"/>
      <c r="F2923" s="15"/>
      <c r="G2923" s="15"/>
      <c r="H2923" s="46"/>
      <c r="I2923" s="46"/>
      <c r="J2923" s="46"/>
      <c r="K2923" s="46"/>
      <c r="L2923" s="46"/>
      <c r="M2923" s="46"/>
      <c r="N2923" s="46"/>
      <c r="O2923" s="46"/>
      <c r="P2923" s="46"/>
      <c r="Q2923" s="46"/>
      <c r="R2923" s="46"/>
      <c r="S2923" s="46"/>
      <c r="T2923" s="46"/>
      <c r="U2923" s="46"/>
      <c r="V2923" s="46"/>
      <c r="W2923" s="46"/>
      <c r="X2923" s="46"/>
      <c r="Y2923" s="46"/>
      <c r="Z2923" s="46"/>
    </row>
  </sheetData>
  <dataValidations>
    <dataValidation type="custom" allowBlank="1" showDropDown="1" sqref="B3:B2923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38"/>
    <col customWidth="1" min="18" max="18" width="15.38"/>
  </cols>
  <sheetData>
    <row r="1">
      <c r="A1" s="62"/>
      <c r="B1" s="62"/>
      <c r="C1" s="62"/>
      <c r="D1" s="63" t="s">
        <v>13059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>
      <c r="A3" s="62"/>
      <c r="B3" s="62"/>
      <c r="C3" s="62"/>
      <c r="D3" s="62"/>
      <c r="E3" s="62"/>
      <c r="F3" s="63" t="s">
        <v>13060</v>
      </c>
      <c r="G3" s="62"/>
      <c r="H3" s="63" t="s">
        <v>13061</v>
      </c>
      <c r="I3" s="62"/>
      <c r="J3" s="63"/>
      <c r="K3" s="62"/>
      <c r="L3" s="63"/>
      <c r="M3" s="62"/>
      <c r="N3" s="63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62"/>
      <c r="B4" s="63" t="s">
        <v>13062</v>
      </c>
      <c r="D4" s="63" t="s">
        <v>13063</v>
      </c>
      <c r="F4" s="63" t="s">
        <v>1163</v>
      </c>
      <c r="H4" s="63" t="s">
        <v>13064</v>
      </c>
      <c r="J4" s="63" t="s">
        <v>13065</v>
      </c>
      <c r="L4" s="63" t="s">
        <v>1168</v>
      </c>
      <c r="N4" s="63" t="s">
        <v>13066</v>
      </c>
      <c r="O4" s="62"/>
      <c r="P4" s="63" t="s">
        <v>13067</v>
      </c>
      <c r="Q4" s="62"/>
      <c r="R4" s="63" t="s">
        <v>13068</v>
      </c>
      <c r="S4" s="62"/>
      <c r="T4" s="63" t="s">
        <v>13069</v>
      </c>
      <c r="U4" s="62"/>
      <c r="V4" s="62"/>
      <c r="W4" s="62"/>
      <c r="X4" s="62"/>
      <c r="Y4" s="62"/>
      <c r="Z4" s="62"/>
    </row>
    <row r="5">
      <c r="A5" s="62"/>
      <c r="B5" s="62" t="str">
        <f>IFERROR(__xludf.DUMMYFUNCTION("QUERY('부수'!C3:C375, ""SELECT C, COUNT(C) WHERE C IS NOT NULL GROUP BY C ORDER BY COUNT(C) DESC LIMIT 20 LABEL C '문제', COUNT(C) '횟수'"")"),"문제")</f>
        <v>문제</v>
      </c>
      <c r="C5" s="62" t="str">
        <f>IFERROR(__xludf.DUMMYFUNCTION("""COMPUTED_VALUE"""),"횟수")</f>
        <v>횟수</v>
      </c>
      <c r="D5" s="62" t="str">
        <f>IFERROR(__xludf.DUMMYFUNCTION("QUERY('약자'!C3:C243, ""SELECT C, COUNT(C) WHERE C IS NOT NULL GROUP BY C ORDER BY COUNT(C) DESC LIMIT 20 LABEL C '문제', COUNT(C) '횟수'"")"),"문제")</f>
        <v>문제</v>
      </c>
      <c r="E5" s="62" t="str">
        <f>IFERROR(__xludf.DUMMYFUNCTION("""COMPUTED_VALUE"""),"횟수")</f>
        <v>횟수</v>
      </c>
      <c r="F5" s="62" t="str">
        <f>IFERROR(__xludf.DUMMYFUNCTION("QUERY('유의어반의어상대어'!C3:H1150, ""SELECT H, COUNT(H) WHERE C = '유의어' AND H IS NOT NULL GROUP BY H ORDER BY COUNT(H) DESC LIMIT 20 LABEL H '문제', COUNT(H) '횟수'"")"),"문제")</f>
        <v>문제</v>
      </c>
      <c r="G5" s="62" t="str">
        <f>IFERROR(__xludf.DUMMYFUNCTION("""COMPUTED_VALUE"""),"횟수")</f>
        <v>횟수</v>
      </c>
      <c r="H5" s="62" t="str">
        <f>IFERROR(__xludf.DUMMYFUNCTION("QUERY('유의어반의어상대어'!C3:H1150, ""SELECT H, COUNT(H) WHERE C = '반의어' AND H IS NOT NULL GROUP BY H ORDER BY COUNT(H) DESC LIMIT 20 LABEL H '문제', COUNT(H) '횟수'"")"),"문제")</f>
        <v>문제</v>
      </c>
      <c r="I5" s="62" t="str">
        <f>IFERROR(__xludf.DUMMYFUNCTION("""COMPUTED_VALUE"""),"횟수")</f>
        <v>횟수</v>
      </c>
      <c r="L5" s="62"/>
      <c r="M5" s="62"/>
      <c r="N5" s="62" t="str">
        <f>IFERROR(__xludf.DUMMYFUNCTION("QUERY('뜻풀이'!C3:C377, ""SELECT C, COUNT(C) WHERE C IS NOT NULL GROUP BY C ORDER BY COUNT(C) DESC LIMIT 20 LABEL C '문제', COUNT(C) '횟수'"")"),"문제")</f>
        <v>문제</v>
      </c>
      <c r="O5" s="62" t="str">
        <f>IFERROR(__xludf.DUMMYFUNCTION("""COMPUTED_VALUE"""),"횟수")</f>
        <v>횟수</v>
      </c>
      <c r="P5" s="62" t="str">
        <f>IFERROR(__xludf.DUMMYFUNCTION("QUERY('같은 음 단어'!C3:C377, ""SELECT C, COUNT(C) WHERE C IS NOT NULL GROUP BY C ORDER BY COUNT(C) DESC LIMIT 20 LABEL C '문제', COUNT(C) '횟수'"")"),"문제")</f>
        <v>문제</v>
      </c>
      <c r="Q5" s="62" t="str">
        <f>IFERROR(__xludf.DUMMYFUNCTION("""COMPUTED_VALUE"""),"횟수")</f>
        <v>횟수</v>
      </c>
      <c r="R5" s="62" t="str">
        <f>IFERROR(__xludf.DUMMYFUNCTION("QUERY('사자성어'!F3:F746, ""SELECT F, COUNT(F) WHERE F IS NOT NULL GROUP BY F ORDER BY COUNT(F) DESC LIMIT 20 LABEL F '문제', COUNT(F) '횟수'"")"),"문제")</f>
        <v>문제</v>
      </c>
      <c r="S5" s="62" t="str">
        <f>IFERROR(__xludf.DUMMYFUNCTION("""COMPUTED_VALUE"""),"횟수")</f>
        <v>횟수</v>
      </c>
      <c r="T5" s="62" t="str">
        <f>IFERROR(__xludf.DUMMYFUNCTION("QUERY('쓰기'!C3:C2227, ""SELECT C, COUNT(C) WHERE C IS NOT NULL GROUP BY C ORDER BY COUNT(C) DESC LIMIT 20 LABEL C '문제', COUNT(C) '횟수'"")"),"문제")</f>
        <v>문제</v>
      </c>
      <c r="U5" s="62" t="str">
        <f>IFERROR(__xludf.DUMMYFUNCTION("""COMPUTED_VALUE"""),"횟수")</f>
        <v>횟수</v>
      </c>
      <c r="V5" s="62"/>
      <c r="W5" s="62"/>
      <c r="X5" s="62"/>
      <c r="Y5" s="62"/>
      <c r="Z5" s="62"/>
    </row>
    <row r="6">
      <c r="A6" s="62"/>
      <c r="B6" s="62" t="str">
        <f>IFERROR(__xludf.DUMMYFUNCTION("""COMPUTED_VALUE"""),"尤")</f>
        <v>尤</v>
      </c>
      <c r="C6" s="62">
        <f>IFERROR(__xludf.DUMMYFUNCTION("""COMPUTED_VALUE"""),4.0)</f>
        <v>4</v>
      </c>
      <c r="D6" s="62" t="str">
        <f>IFERROR(__xludf.DUMMYFUNCTION("""COMPUTED_VALUE"""),"擴")</f>
        <v>擴</v>
      </c>
      <c r="E6" s="62">
        <f>IFERROR(__xludf.DUMMYFUNCTION("""COMPUTED_VALUE"""),11.0)</f>
        <v>11</v>
      </c>
      <c r="F6" s="62" t="str">
        <f>IFERROR(__xludf.DUMMYFUNCTION("""COMPUTED_VALUE"""),"牽引 (견인)")</f>
        <v>牽引 (견인)</v>
      </c>
      <c r="G6" s="62">
        <f>IFERROR(__xludf.DUMMYFUNCTION("""COMPUTED_VALUE"""),8.0)</f>
        <v>8</v>
      </c>
      <c r="H6" s="62" t="str">
        <f>IFERROR(__xludf.DUMMYFUNCTION("""COMPUTED_VALUE"""),"模倣 (모방)")</f>
        <v>模倣 (모방)</v>
      </c>
      <c r="I6" s="62">
        <f>IFERROR(__xludf.DUMMYFUNCTION("""COMPUTED_VALUE"""),9.0)</f>
        <v>9</v>
      </c>
      <c r="L6" s="62"/>
      <c r="M6" s="62"/>
      <c r="N6" s="62" t="str">
        <f>IFERROR(__xludf.DUMMYFUNCTION("""COMPUTED_VALUE"""),"岐路")</f>
        <v>岐路</v>
      </c>
      <c r="O6" s="62">
        <f>IFERROR(__xludf.DUMMYFUNCTION("""COMPUTED_VALUE"""),6.0)</f>
        <v>6</v>
      </c>
      <c r="P6" s="62" t="str">
        <f>IFERROR(__xludf.DUMMYFUNCTION("""COMPUTED_VALUE"""),"(壯麗)")</f>
        <v>(壯麗)</v>
      </c>
      <c r="Q6" s="62">
        <f>IFERROR(__xludf.DUMMYFUNCTION("""COMPUTED_VALUE"""),4.0)</f>
        <v>4</v>
      </c>
      <c r="R6" s="62" t="str">
        <f>IFERROR(__xludf.DUMMYFUNCTION("""COMPUTED_VALUE"""),"拔本塞源 (발본색원)")</f>
        <v>拔本塞源 (발본색원)</v>
      </c>
      <c r="S6" s="62">
        <f>IFERROR(__xludf.DUMMYFUNCTION("""COMPUTED_VALUE"""),14.0)</f>
        <v>14</v>
      </c>
      <c r="T6" s="62" t="str">
        <f>IFERROR(__xludf.DUMMYFUNCTION("""COMPUTED_VALUE"""),"돈독")</f>
        <v>돈독</v>
      </c>
      <c r="U6" s="62">
        <f>IFERROR(__xludf.DUMMYFUNCTION("""COMPUTED_VALUE"""),10.0)</f>
        <v>10</v>
      </c>
      <c r="V6" s="62"/>
      <c r="W6" s="62"/>
      <c r="X6" s="62"/>
      <c r="Y6" s="62"/>
      <c r="Z6" s="62"/>
    </row>
    <row r="7">
      <c r="A7" s="62"/>
      <c r="B7" s="62" t="str">
        <f>IFERROR(__xludf.DUMMYFUNCTION("""COMPUTED_VALUE"""),"阜")</f>
        <v>阜</v>
      </c>
      <c r="C7" s="62">
        <f>IFERROR(__xludf.DUMMYFUNCTION("""COMPUTED_VALUE"""),4.0)</f>
        <v>4</v>
      </c>
      <c r="D7" s="62" t="str">
        <f>IFERROR(__xludf.DUMMYFUNCTION("""COMPUTED_VALUE"""),"縣")</f>
        <v>縣</v>
      </c>
      <c r="E7" s="62">
        <f>IFERROR(__xludf.DUMMYFUNCTION("""COMPUTED_VALUE"""),11.0)</f>
        <v>11</v>
      </c>
      <c r="F7" s="62" t="str">
        <f>IFERROR(__xludf.DUMMYFUNCTION("""COMPUTED_VALUE"""),"跳躍 (도약)")</f>
        <v>跳躍 (도약)</v>
      </c>
      <c r="G7" s="62">
        <f>IFERROR(__xludf.DUMMYFUNCTION("""COMPUTED_VALUE"""),7.0)</f>
        <v>7</v>
      </c>
      <c r="H7" s="62" t="str">
        <f>IFERROR(__xludf.DUMMYFUNCTION("""COMPUTED_VALUE"""),"陳腐 (진부)")</f>
        <v>陳腐 (진부)</v>
      </c>
      <c r="I7" s="62">
        <f>IFERROR(__xludf.DUMMYFUNCTION("""COMPUTED_VALUE"""),8.0)</f>
        <v>8</v>
      </c>
      <c r="L7" s="62"/>
      <c r="M7" s="62"/>
      <c r="N7" s="62" t="str">
        <f>IFERROR(__xludf.DUMMYFUNCTION("""COMPUTED_VALUE"""),"振舒")</f>
        <v>振舒</v>
      </c>
      <c r="O7" s="62">
        <f>IFERROR(__xludf.DUMMYFUNCTION("""COMPUTED_VALUE"""),4.0)</f>
        <v>4</v>
      </c>
      <c r="P7" s="62" t="str">
        <f>IFERROR(__xludf.DUMMYFUNCTION("""COMPUTED_VALUE"""),"(沙器)")</f>
        <v>(沙器)</v>
      </c>
      <c r="Q7" s="62">
        <f>IFERROR(__xludf.DUMMYFUNCTION("""COMPUTED_VALUE"""),4.0)</f>
        <v>4</v>
      </c>
      <c r="R7" s="62" t="str">
        <f>IFERROR(__xludf.DUMMYFUNCTION("""COMPUTED_VALUE"""),"貪官汚吏 (탐관오리)")</f>
        <v>貪官汚吏 (탐관오리)</v>
      </c>
      <c r="S7" s="62">
        <f>IFERROR(__xludf.DUMMYFUNCTION("""COMPUTED_VALUE"""),12.0)</f>
        <v>12</v>
      </c>
      <c r="T7" s="62" t="str">
        <f>IFERROR(__xludf.DUMMYFUNCTION("""COMPUTED_VALUE"""),"도전")</f>
        <v>도전</v>
      </c>
      <c r="U7" s="62">
        <f>IFERROR(__xludf.DUMMYFUNCTION("""COMPUTED_VALUE"""),9.0)</f>
        <v>9</v>
      </c>
      <c r="V7" s="62"/>
      <c r="W7" s="62"/>
      <c r="X7" s="62"/>
      <c r="Y7" s="62"/>
      <c r="Z7" s="62"/>
    </row>
    <row r="8">
      <c r="A8" s="62"/>
      <c r="B8" s="62" t="str">
        <f>IFERROR(__xludf.DUMMYFUNCTION("""COMPUTED_VALUE"""),"鴻")</f>
        <v>鴻</v>
      </c>
      <c r="C8" s="62">
        <f>IFERROR(__xludf.DUMMYFUNCTION("""COMPUTED_VALUE"""),4.0)</f>
        <v>4</v>
      </c>
      <c r="D8" s="62" t="str">
        <f>IFERROR(__xludf.DUMMYFUNCTION("""COMPUTED_VALUE"""),"鹽")</f>
        <v>鹽</v>
      </c>
      <c r="E8" s="62">
        <f>IFERROR(__xludf.DUMMYFUNCTION("""COMPUTED_VALUE"""),8.0)</f>
        <v>8</v>
      </c>
      <c r="F8" s="62" t="str">
        <f>IFERROR(__xludf.DUMMYFUNCTION("""COMPUTED_VALUE"""),"尖端/尖銳 (첨단/첨예)")</f>
        <v>尖端/尖銳 (첨단/첨예)</v>
      </c>
      <c r="G8" s="62">
        <f>IFERROR(__xludf.DUMMYFUNCTION("""COMPUTED_VALUE"""),6.0)</f>
        <v>6</v>
      </c>
      <c r="H8" s="62" t="str">
        <f>IFERROR(__xludf.DUMMYFUNCTION("""COMPUTED_VALUE"""),"강경 (強硬)")</f>
        <v>강경 (強硬)</v>
      </c>
      <c r="I8" s="62">
        <f>IFERROR(__xludf.DUMMYFUNCTION("""COMPUTED_VALUE"""),8.0)</f>
        <v>8</v>
      </c>
      <c r="L8" s="62"/>
      <c r="M8" s="62"/>
      <c r="N8" s="62" t="str">
        <f>IFERROR(__xludf.DUMMYFUNCTION("""COMPUTED_VALUE"""),"熟眠")</f>
        <v>熟眠</v>
      </c>
      <c r="O8" s="62">
        <f>IFERROR(__xludf.DUMMYFUNCTION("""COMPUTED_VALUE"""),4.0)</f>
        <v>4</v>
      </c>
      <c r="P8" s="62" t="str">
        <f>IFERROR(__xludf.DUMMYFUNCTION("""COMPUTED_VALUE"""),"(讀音)")</f>
        <v>(讀音)</v>
      </c>
      <c r="Q8" s="62">
        <f>IFERROR(__xludf.DUMMYFUNCTION("""COMPUTED_VALUE"""),4.0)</f>
        <v>4</v>
      </c>
      <c r="R8" s="62" t="str">
        <f>IFERROR(__xludf.DUMMYFUNCTION("""COMPUTED_VALUE"""),"三顧草廬 (삼고초려)")</f>
        <v>三顧草廬 (삼고초려)</v>
      </c>
      <c r="S8" s="62">
        <f>IFERROR(__xludf.DUMMYFUNCTION("""COMPUTED_VALUE"""),11.0)</f>
        <v>11</v>
      </c>
      <c r="T8" s="62" t="str">
        <f>IFERROR(__xludf.DUMMYFUNCTION("""COMPUTED_VALUE"""),"혐의")</f>
        <v>혐의</v>
      </c>
      <c r="U8" s="62">
        <f>IFERROR(__xludf.DUMMYFUNCTION("""COMPUTED_VALUE"""),8.0)</f>
        <v>8</v>
      </c>
      <c r="V8" s="62"/>
      <c r="W8" s="62"/>
      <c r="X8" s="62"/>
      <c r="Y8" s="62"/>
      <c r="Z8" s="62"/>
    </row>
    <row r="9">
      <c r="A9" s="62"/>
      <c r="B9" s="62" t="str">
        <f>IFERROR(__xludf.DUMMYFUNCTION("""COMPUTED_VALUE"""),"串")</f>
        <v>串</v>
      </c>
      <c r="C9" s="62">
        <f>IFERROR(__xludf.DUMMYFUNCTION("""COMPUTED_VALUE"""),3.0)</f>
        <v>3</v>
      </c>
      <c r="D9" s="62" t="str">
        <f>IFERROR(__xludf.DUMMYFUNCTION("""COMPUTED_VALUE"""),"戀")</f>
        <v>戀</v>
      </c>
      <c r="E9" s="62">
        <f>IFERROR(__xludf.DUMMYFUNCTION("""COMPUTED_VALUE"""),7.0)</f>
        <v>7</v>
      </c>
      <c r="F9" s="62" t="str">
        <f>IFERROR(__xludf.DUMMYFUNCTION("""COMPUTED_VALUE"""),"招聘 (초빙)")</f>
        <v>招聘 (초빙)</v>
      </c>
      <c r="G9" s="62">
        <f>IFERROR(__xludf.DUMMYFUNCTION("""COMPUTED_VALUE"""),6.0)</f>
        <v>6</v>
      </c>
      <c r="H9" s="62" t="str">
        <f>IFERROR(__xludf.DUMMYFUNCTION("""COMPUTED_VALUE"""),"偏頗 (편파)")</f>
        <v>偏頗 (편파)</v>
      </c>
      <c r="I9" s="62">
        <f>IFERROR(__xludf.DUMMYFUNCTION("""COMPUTED_VALUE"""),7.0)</f>
        <v>7</v>
      </c>
      <c r="L9" s="62"/>
      <c r="M9" s="62"/>
      <c r="N9" s="62" t="str">
        <f>IFERROR(__xludf.DUMMYFUNCTION("""COMPUTED_VALUE"""),"厭症")</f>
        <v>厭症</v>
      </c>
      <c r="O9" s="62">
        <f>IFERROR(__xludf.DUMMYFUNCTION("""COMPUTED_VALUE"""),3.0)</f>
        <v>3</v>
      </c>
      <c r="P9" s="62" t="str">
        <f>IFERROR(__xludf.DUMMYFUNCTION("""COMPUTED_VALUE"""),"(俊秀)")</f>
        <v>(俊秀)</v>
      </c>
      <c r="Q9" s="62">
        <f>IFERROR(__xludf.DUMMYFUNCTION("""COMPUTED_VALUE"""),3.0)</f>
        <v>3</v>
      </c>
      <c r="R9" s="62" t="str">
        <f>IFERROR(__xludf.DUMMYFUNCTION("""COMPUTED_VALUE"""),"丹脣皓齒 (단순호치)")</f>
        <v>丹脣皓齒 (단순호치)</v>
      </c>
      <c r="S9" s="62">
        <f>IFERROR(__xludf.DUMMYFUNCTION("""COMPUTED_VALUE"""),11.0)</f>
        <v>11</v>
      </c>
      <c r="T9" s="62" t="str">
        <f>IFERROR(__xludf.DUMMYFUNCTION("""COMPUTED_VALUE"""),"배척")</f>
        <v>배척</v>
      </c>
      <c r="U9" s="62">
        <f>IFERROR(__xludf.DUMMYFUNCTION("""COMPUTED_VALUE"""),7.0)</f>
        <v>7</v>
      </c>
      <c r="V9" s="62"/>
      <c r="W9" s="62"/>
      <c r="X9" s="62"/>
      <c r="Y9" s="62"/>
      <c r="Z9" s="62"/>
    </row>
    <row r="10">
      <c r="A10" s="62"/>
      <c r="B10" s="62" t="str">
        <f>IFERROR(__xludf.DUMMYFUNCTION("""COMPUTED_VALUE"""),"傘")</f>
        <v>傘</v>
      </c>
      <c r="C10" s="62">
        <f>IFERROR(__xludf.DUMMYFUNCTION("""COMPUTED_VALUE"""),3.0)</f>
        <v>3</v>
      </c>
      <c r="D10" s="62" t="str">
        <f>IFERROR(__xludf.DUMMYFUNCTION("""COMPUTED_VALUE"""),"螢")</f>
        <v>螢</v>
      </c>
      <c r="E10" s="62">
        <f>IFERROR(__xludf.DUMMYFUNCTION("""COMPUTED_VALUE"""),7.0)</f>
        <v>7</v>
      </c>
      <c r="F10" s="62" t="str">
        <f>IFERROR(__xludf.DUMMYFUNCTION("""COMPUTED_VALUE"""),"超越 (초월)")</f>
        <v>超越 (초월)</v>
      </c>
      <c r="G10" s="62">
        <f>IFERROR(__xludf.DUMMYFUNCTION("""COMPUTED_VALUE"""),6.0)</f>
        <v>6</v>
      </c>
      <c r="H10" s="62" t="str">
        <f>IFERROR(__xludf.DUMMYFUNCTION("""COMPUTED_VALUE"""),"普遍 (보편)")</f>
        <v>普遍 (보편)</v>
      </c>
      <c r="I10" s="62">
        <f>IFERROR(__xludf.DUMMYFUNCTION("""COMPUTED_VALUE"""),7.0)</f>
        <v>7</v>
      </c>
      <c r="L10" s="62"/>
      <c r="M10" s="62"/>
      <c r="N10" s="62" t="str">
        <f>IFERROR(__xludf.DUMMYFUNCTION("""COMPUTED_VALUE"""),"彫琢")</f>
        <v>彫琢</v>
      </c>
      <c r="O10" s="62">
        <f>IFERROR(__xludf.DUMMYFUNCTION("""COMPUTED_VALUE"""),3.0)</f>
        <v>3</v>
      </c>
      <c r="P10" s="62" t="str">
        <f>IFERROR(__xludf.DUMMYFUNCTION("""COMPUTED_VALUE"""),"(修辭)")</f>
        <v>(修辭)</v>
      </c>
      <c r="Q10" s="62">
        <f>IFERROR(__xludf.DUMMYFUNCTION("""COMPUTED_VALUE"""),3.0)</f>
        <v>3</v>
      </c>
      <c r="R10" s="62" t="str">
        <f>IFERROR(__xludf.DUMMYFUNCTION("""COMPUTED_VALUE"""),"指鹿爲馬 (지록위마)")</f>
        <v>指鹿爲馬 (지록위마)</v>
      </c>
      <c r="S10" s="62">
        <f>IFERROR(__xludf.DUMMYFUNCTION("""COMPUTED_VALUE"""),9.0)</f>
        <v>9</v>
      </c>
      <c r="T10" s="62" t="str">
        <f>IFERROR(__xludf.DUMMYFUNCTION("""COMPUTED_VALUE"""),"인척")</f>
        <v>인척</v>
      </c>
      <c r="U10" s="62">
        <f>IFERROR(__xludf.DUMMYFUNCTION("""COMPUTED_VALUE"""),7.0)</f>
        <v>7</v>
      </c>
      <c r="V10" s="62"/>
      <c r="W10" s="62"/>
      <c r="X10" s="62"/>
      <c r="Y10" s="62"/>
      <c r="Z10" s="62"/>
    </row>
    <row r="11">
      <c r="A11" s="62"/>
      <c r="B11" s="62" t="str">
        <f>IFERROR(__xludf.DUMMYFUNCTION("""COMPUTED_VALUE"""),"兌")</f>
        <v>兌</v>
      </c>
      <c r="C11" s="62">
        <f>IFERROR(__xludf.DUMMYFUNCTION("""COMPUTED_VALUE"""),3.0)</f>
        <v>3</v>
      </c>
      <c r="D11" s="62" t="str">
        <f>IFERROR(__xludf.DUMMYFUNCTION("""COMPUTED_VALUE"""),"巖")</f>
        <v>巖</v>
      </c>
      <c r="E11" s="62">
        <f>IFERROR(__xludf.DUMMYFUNCTION("""COMPUTED_VALUE"""),6.0)</f>
        <v>6</v>
      </c>
      <c r="F11" s="62" t="str">
        <f>IFERROR(__xludf.DUMMYFUNCTION("""COMPUTED_VALUE"""),"傲慢 (오만)")</f>
        <v>傲慢 (오만)</v>
      </c>
      <c r="G11" s="62">
        <f>IFERROR(__xludf.DUMMYFUNCTION("""COMPUTED_VALUE"""),5.0)</f>
        <v>5</v>
      </c>
      <c r="H11" s="62" t="str">
        <f>IFERROR(__xludf.DUMMYFUNCTION("""COMPUTED_VALUE"""),"濃淡 (농담)")</f>
        <v>濃淡 (농담)</v>
      </c>
      <c r="I11" s="62">
        <f>IFERROR(__xludf.DUMMYFUNCTION("""COMPUTED_VALUE"""),7.0)</f>
        <v>7</v>
      </c>
      <c r="L11" s="62"/>
      <c r="M11" s="62"/>
      <c r="N11" s="62" t="str">
        <f>IFERROR(__xludf.DUMMYFUNCTION("""COMPUTED_VALUE"""),"沃土")</f>
        <v>沃土</v>
      </c>
      <c r="O11" s="62">
        <f>IFERROR(__xludf.DUMMYFUNCTION("""COMPUTED_VALUE"""),3.0)</f>
        <v>3</v>
      </c>
      <c r="P11" s="62" t="str">
        <f>IFERROR(__xludf.DUMMYFUNCTION("""COMPUTED_VALUE"""),"(口金)")</f>
        <v>(口金)</v>
      </c>
      <c r="Q11" s="62">
        <f>IFERROR(__xludf.DUMMYFUNCTION("""COMPUTED_VALUE"""),3.0)</f>
        <v>3</v>
      </c>
      <c r="R11" s="62" t="str">
        <f>IFERROR(__xludf.DUMMYFUNCTION("""COMPUTED_VALUE"""),"咸興差使 (함흥차사)")</f>
        <v>咸興差使 (함흥차사)</v>
      </c>
      <c r="S11" s="62">
        <f>IFERROR(__xludf.DUMMYFUNCTION("""COMPUTED_VALUE"""),8.0)</f>
        <v>8</v>
      </c>
      <c r="T11" s="62" t="str">
        <f>IFERROR(__xludf.DUMMYFUNCTION("""COMPUTED_VALUE"""),"타협")</f>
        <v>타협</v>
      </c>
      <c r="U11" s="62">
        <f>IFERROR(__xludf.DUMMYFUNCTION("""COMPUTED_VALUE"""),7.0)</f>
        <v>7</v>
      </c>
      <c r="V11" s="62"/>
      <c r="W11" s="62"/>
      <c r="X11" s="62"/>
      <c r="Y11" s="62"/>
      <c r="Z11" s="62"/>
    </row>
    <row r="12">
      <c r="A12" s="62"/>
      <c r="B12" s="62" t="str">
        <f>IFERROR(__xludf.DUMMYFUNCTION("""COMPUTED_VALUE"""),"劉")</f>
        <v>劉</v>
      </c>
      <c r="C12" s="62">
        <f>IFERROR(__xludf.DUMMYFUNCTION("""COMPUTED_VALUE"""),3.0)</f>
        <v>3</v>
      </c>
      <c r="D12" s="62" t="str">
        <f>IFERROR(__xludf.DUMMYFUNCTION("""COMPUTED_VALUE"""),"拂")</f>
        <v>拂</v>
      </c>
      <c r="E12" s="62">
        <f>IFERROR(__xludf.DUMMYFUNCTION("""COMPUTED_VALUE"""),6.0)</f>
        <v>6</v>
      </c>
      <c r="F12" s="62" t="str">
        <f>IFERROR(__xludf.DUMMYFUNCTION("""COMPUTED_VALUE"""),"崩壞 (붕괴)")</f>
        <v>崩壞 (붕괴)</v>
      </c>
      <c r="G12" s="62">
        <f>IFERROR(__xludf.DUMMYFUNCTION("""COMPUTED_VALUE"""),5.0)</f>
        <v>5</v>
      </c>
      <c r="H12" s="62" t="str">
        <f>IFERROR(__xludf.DUMMYFUNCTION("""COMPUTED_VALUE"""),"稀薄 (희박)")</f>
        <v>稀薄 (희박)</v>
      </c>
      <c r="I12" s="62">
        <f>IFERROR(__xludf.DUMMYFUNCTION("""COMPUTED_VALUE"""),7.0)</f>
        <v>7</v>
      </c>
      <c r="L12" s="62"/>
      <c r="M12" s="62"/>
      <c r="N12" s="62" t="str">
        <f>IFERROR(__xludf.DUMMYFUNCTION("""COMPUTED_VALUE"""),"塵埃")</f>
        <v>塵埃</v>
      </c>
      <c r="O12" s="62">
        <f>IFERROR(__xludf.DUMMYFUNCTION("""COMPUTED_VALUE"""),2.0)</f>
        <v>2</v>
      </c>
      <c r="P12" s="62" t="str">
        <f>IFERROR(__xludf.DUMMYFUNCTION("""COMPUTED_VALUE"""),"(富裕)")</f>
        <v>(富裕)</v>
      </c>
      <c r="Q12" s="62">
        <f>IFERROR(__xludf.DUMMYFUNCTION("""COMPUTED_VALUE"""),3.0)</f>
        <v>3</v>
      </c>
      <c r="R12" s="62" t="str">
        <f>IFERROR(__xludf.DUMMYFUNCTION("""COMPUTED_VALUE"""),"桑田碧海 (상전벽해)")</f>
        <v>桑田碧海 (상전벽해)</v>
      </c>
      <c r="S12" s="62">
        <f>IFERROR(__xludf.DUMMYFUNCTION("""COMPUTED_VALUE"""),8.0)</f>
        <v>8</v>
      </c>
      <c r="T12" s="62" t="str">
        <f>IFERROR(__xludf.DUMMYFUNCTION("""COMPUTED_VALUE"""),"모방")</f>
        <v>모방</v>
      </c>
      <c r="U12" s="62">
        <f>IFERROR(__xludf.DUMMYFUNCTION("""COMPUTED_VALUE"""),6.0)</f>
        <v>6</v>
      </c>
      <c r="V12" s="62"/>
      <c r="W12" s="62"/>
      <c r="X12" s="62"/>
      <c r="Y12" s="62"/>
      <c r="Z12" s="62"/>
    </row>
    <row r="13">
      <c r="A13" s="62"/>
      <c r="B13" s="62" t="str">
        <f>IFERROR(__xludf.DUMMYFUNCTION("""COMPUTED_VALUE"""),"卞")</f>
        <v>卞</v>
      </c>
      <c r="C13" s="62">
        <f>IFERROR(__xludf.DUMMYFUNCTION("""COMPUTED_VALUE"""),3.0)</f>
        <v>3</v>
      </c>
      <c r="D13" s="62" t="str">
        <f>IFERROR(__xludf.DUMMYFUNCTION("""COMPUTED_VALUE"""),"竊")</f>
        <v>竊</v>
      </c>
      <c r="E13" s="62">
        <f>IFERROR(__xludf.DUMMYFUNCTION("""COMPUTED_VALUE"""),6.0)</f>
        <v>6</v>
      </c>
      <c r="F13" s="62" t="str">
        <f>IFERROR(__xludf.DUMMYFUNCTION("""COMPUTED_VALUE"""),"把握 (파악)")</f>
        <v>把握 (파악)</v>
      </c>
      <c r="G13" s="62">
        <f>IFERROR(__xludf.DUMMYFUNCTION("""COMPUTED_VALUE"""),5.0)</f>
        <v>5</v>
      </c>
      <c r="H13" s="62" t="str">
        <f>IFERROR(__xludf.DUMMYFUNCTION("""COMPUTED_VALUE"""),"貴賤(귀천)")</f>
        <v>貴賤(귀천)</v>
      </c>
      <c r="I13" s="62">
        <f>IFERROR(__xludf.DUMMYFUNCTION("""COMPUTED_VALUE"""),7.0)</f>
        <v>7</v>
      </c>
      <c r="L13" s="62"/>
      <c r="M13" s="62"/>
      <c r="N13" s="62" t="str">
        <f>IFERROR(__xludf.DUMMYFUNCTION("""COMPUTED_VALUE"""),"嫌惡")</f>
        <v>嫌惡</v>
      </c>
      <c r="O13" s="62">
        <f>IFERROR(__xludf.DUMMYFUNCTION("""COMPUTED_VALUE"""),2.0)</f>
        <v>2</v>
      </c>
      <c r="P13" s="62" t="str">
        <f>IFERROR(__xludf.DUMMYFUNCTION("""COMPUTED_VALUE"""),"(暖國)")</f>
        <v>(暖國)</v>
      </c>
      <c r="Q13" s="62">
        <f>IFERROR(__xludf.DUMMYFUNCTION("""COMPUTED_VALUE"""),3.0)</f>
        <v>3</v>
      </c>
      <c r="R13" s="62" t="str">
        <f>IFERROR(__xludf.DUMMYFUNCTION("""COMPUTED_VALUE"""),"滄海一粟 (창해일속)")</f>
        <v>滄海一粟 (창해일속)</v>
      </c>
      <c r="S13" s="62">
        <f>IFERROR(__xludf.DUMMYFUNCTION("""COMPUTED_VALUE"""),8.0)</f>
        <v>8</v>
      </c>
      <c r="T13" s="62" t="str">
        <f>IFERROR(__xludf.DUMMYFUNCTION("""COMPUTED_VALUE"""),"붕괴")</f>
        <v>붕괴</v>
      </c>
      <c r="U13" s="62">
        <f>IFERROR(__xludf.DUMMYFUNCTION("""COMPUTED_VALUE"""),6.0)</f>
        <v>6</v>
      </c>
      <c r="V13" s="62"/>
      <c r="W13" s="62"/>
      <c r="X13" s="62"/>
      <c r="Y13" s="62"/>
      <c r="Z13" s="62"/>
    </row>
    <row r="14">
      <c r="A14" s="62"/>
      <c r="B14" s="62" t="str">
        <f>IFERROR(__xludf.DUMMYFUNCTION("""COMPUTED_VALUE"""),"尹")</f>
        <v>尹</v>
      </c>
      <c r="C14" s="62">
        <f>IFERROR(__xludf.DUMMYFUNCTION("""COMPUTED_VALUE"""),3.0)</f>
        <v>3</v>
      </c>
      <c r="D14" s="62" t="str">
        <f>IFERROR(__xludf.DUMMYFUNCTION("""COMPUTED_VALUE"""),"釋")</f>
        <v>釋</v>
      </c>
      <c r="E14" s="62">
        <f>IFERROR(__xludf.DUMMYFUNCTION("""COMPUTED_VALUE"""),6.0)</f>
        <v>6</v>
      </c>
      <c r="F14" s="62" t="str">
        <f>IFERROR(__xludf.DUMMYFUNCTION("""COMPUTED_VALUE"""),"枯渴 (고갈)")</f>
        <v>枯渴 (고갈)</v>
      </c>
      <c r="G14" s="62">
        <f>IFERROR(__xludf.DUMMYFUNCTION("""COMPUTED_VALUE"""),5.0)</f>
        <v>5</v>
      </c>
      <c r="H14" s="62" t="str">
        <f>IFERROR(__xludf.DUMMYFUNCTION("""COMPUTED_VALUE"""),"內剛 (내강)")</f>
        <v>內剛 (내강)</v>
      </c>
      <c r="I14" s="62">
        <f>IFERROR(__xludf.DUMMYFUNCTION("""COMPUTED_VALUE"""),6.0)</f>
        <v>6</v>
      </c>
      <c r="L14" s="62"/>
      <c r="M14" s="62"/>
      <c r="N14" s="62" t="str">
        <f>IFERROR(__xludf.DUMMYFUNCTION("""COMPUTED_VALUE"""),"崩御")</f>
        <v>崩御</v>
      </c>
      <c r="O14" s="62">
        <f>IFERROR(__xludf.DUMMYFUNCTION("""COMPUTED_VALUE"""),2.0)</f>
        <v>2</v>
      </c>
      <c r="P14" s="62" t="str">
        <f>IFERROR(__xludf.DUMMYFUNCTION("""COMPUTED_VALUE"""),"(驛名)")</f>
        <v>(驛名)</v>
      </c>
      <c r="Q14" s="62">
        <f>IFERROR(__xludf.DUMMYFUNCTION("""COMPUTED_VALUE"""),3.0)</f>
        <v>3</v>
      </c>
      <c r="R14" s="62" t="str">
        <f>IFERROR(__xludf.DUMMYFUNCTION("""COMPUTED_VALUE"""),"畫蛇添足 (화사첨족)")</f>
        <v>畫蛇添足 (화사첨족)</v>
      </c>
      <c r="S14" s="62">
        <f>IFERROR(__xludf.DUMMYFUNCTION("""COMPUTED_VALUE"""),8.0)</f>
        <v>8</v>
      </c>
      <c r="T14" s="62" t="str">
        <f>IFERROR(__xludf.DUMMYFUNCTION("""COMPUTED_VALUE"""),"사기")</f>
        <v>사기</v>
      </c>
      <c r="U14" s="62">
        <f>IFERROR(__xludf.DUMMYFUNCTION("""COMPUTED_VALUE"""),6.0)</f>
        <v>6</v>
      </c>
      <c r="V14" s="62"/>
      <c r="W14" s="62"/>
      <c r="X14" s="62"/>
      <c r="Y14" s="62"/>
      <c r="Z14" s="62"/>
    </row>
    <row r="15">
      <c r="A15" s="62"/>
      <c r="B15" s="62" t="str">
        <f>IFERROR(__xludf.DUMMYFUNCTION("""COMPUTED_VALUE"""),"岡")</f>
        <v>岡</v>
      </c>
      <c r="C15" s="62">
        <f>IFERROR(__xludf.DUMMYFUNCTION("""COMPUTED_VALUE"""),3.0)</f>
        <v>3</v>
      </c>
      <c r="D15" s="62" t="str">
        <f>IFERROR(__xludf.DUMMYFUNCTION("""COMPUTED_VALUE"""),"龜")</f>
        <v>龜</v>
      </c>
      <c r="E15" s="62">
        <f>IFERROR(__xludf.DUMMYFUNCTION("""COMPUTED_VALUE"""),6.0)</f>
        <v>6</v>
      </c>
      <c r="F15" s="62" t="str">
        <f>IFERROR(__xludf.DUMMYFUNCTION("""COMPUTED_VALUE"""),"공포 (恐怖)")</f>
        <v>공포 (恐怖)</v>
      </c>
      <c r="G15" s="62">
        <f>IFERROR(__xludf.DUMMYFUNCTION("""COMPUTED_VALUE"""),5.0)</f>
        <v>5</v>
      </c>
      <c r="H15" s="62" t="str">
        <f>IFERROR(__xludf.DUMMYFUNCTION("""COMPUTED_VALUE"""),"乾燥 (건조)")</f>
        <v>乾燥 (건조)</v>
      </c>
      <c r="I15" s="62">
        <f>IFERROR(__xludf.DUMMYFUNCTION("""COMPUTED_VALUE"""),5.0)</f>
        <v>5</v>
      </c>
      <c r="L15" s="62"/>
      <c r="M15" s="62"/>
      <c r="N15" s="62" t="str">
        <f>IFERROR(__xludf.DUMMYFUNCTION("""COMPUTED_VALUE"""),"干戈")</f>
        <v>干戈</v>
      </c>
      <c r="O15" s="62">
        <f>IFERROR(__xludf.DUMMYFUNCTION("""COMPUTED_VALUE"""),2.0)</f>
        <v>2</v>
      </c>
      <c r="P15" s="62" t="str">
        <f>IFERROR(__xludf.DUMMYFUNCTION("""COMPUTED_VALUE"""),"(冠網)")</f>
        <v>(冠網)</v>
      </c>
      <c r="Q15" s="62">
        <f>IFERROR(__xludf.DUMMYFUNCTION("""COMPUTED_VALUE"""),2.0)</f>
        <v>2</v>
      </c>
      <c r="R15" s="62" t="str">
        <f>IFERROR(__xludf.DUMMYFUNCTION("""COMPUTED_VALUE"""),"肝膽相照 (간담상조)")</f>
        <v>肝膽相照 (간담상조)</v>
      </c>
      <c r="S15" s="62">
        <f>IFERROR(__xludf.DUMMYFUNCTION("""COMPUTED_VALUE"""),8.0)</f>
        <v>8</v>
      </c>
      <c r="T15" s="62" t="str">
        <f>IFERROR(__xludf.DUMMYFUNCTION("""COMPUTED_VALUE"""),"수확")</f>
        <v>수확</v>
      </c>
      <c r="U15" s="62">
        <f>IFERROR(__xludf.DUMMYFUNCTION("""COMPUTED_VALUE"""),6.0)</f>
        <v>6</v>
      </c>
      <c r="V15" s="62"/>
      <c r="W15" s="62"/>
      <c r="X15" s="62"/>
      <c r="Y15" s="62"/>
      <c r="Z15" s="62"/>
    </row>
    <row r="16">
      <c r="A16" s="62"/>
      <c r="B16" s="62" t="str">
        <f>IFERROR(__xludf.DUMMYFUNCTION("""COMPUTED_VALUE"""),"往")</f>
        <v>往</v>
      </c>
      <c r="C16" s="62">
        <f>IFERROR(__xludf.DUMMYFUNCTION("""COMPUTED_VALUE"""),3.0)</f>
        <v>3</v>
      </c>
      <c r="D16" s="62" t="str">
        <f>IFERROR(__xludf.DUMMYFUNCTION("""COMPUTED_VALUE"""),"獵")</f>
        <v>獵</v>
      </c>
      <c r="E16" s="62">
        <f>IFERROR(__xludf.DUMMYFUNCTION("""COMPUTED_VALUE"""),5.0)</f>
        <v>5</v>
      </c>
      <c r="F16" s="62" t="str">
        <f>IFERROR(__xludf.DUMMYFUNCTION("""COMPUTED_VALUE"""),"금슬 (琴瑟)")</f>
        <v>금슬 (琴瑟)</v>
      </c>
      <c r="G16" s="62">
        <f>IFERROR(__xludf.DUMMYFUNCTION("""COMPUTED_VALUE"""),5.0)</f>
        <v>5</v>
      </c>
      <c r="H16" s="62" t="str">
        <f>IFERROR(__xludf.DUMMYFUNCTION("""COMPUTED_VALUE"""),"巧拙 (교졸)")</f>
        <v>巧拙 (교졸)</v>
      </c>
      <c r="I16" s="62">
        <f>IFERROR(__xludf.DUMMYFUNCTION("""COMPUTED_VALUE"""),4.0)</f>
        <v>4</v>
      </c>
      <c r="L16" s="62"/>
      <c r="M16" s="62"/>
      <c r="N16" s="62" t="str">
        <f>IFERROR(__xludf.DUMMYFUNCTION("""COMPUTED_VALUE"""),"幾微")</f>
        <v>幾微</v>
      </c>
      <c r="O16" s="62">
        <f>IFERROR(__xludf.DUMMYFUNCTION("""COMPUTED_VALUE"""),2.0)</f>
        <v>2</v>
      </c>
      <c r="P16" s="62" t="str">
        <f>IFERROR(__xludf.DUMMYFUNCTION("""COMPUTED_VALUE"""),"(半島)")</f>
        <v>(半島)</v>
      </c>
      <c r="Q16" s="62">
        <f>IFERROR(__xludf.DUMMYFUNCTION("""COMPUTED_VALUE"""),2.0)</f>
        <v>2</v>
      </c>
      <c r="R16" s="62" t="str">
        <f>IFERROR(__xludf.DUMMYFUNCTION("""COMPUTED_VALUE"""),"乘勝長驅 (승승장구)")</f>
        <v>乘勝長驅 (승승장구)</v>
      </c>
      <c r="S16" s="62">
        <f>IFERROR(__xludf.DUMMYFUNCTION("""COMPUTED_VALUE"""),7.0)</f>
        <v>7</v>
      </c>
      <c r="T16" s="62" t="str">
        <f>IFERROR(__xludf.DUMMYFUNCTION("""COMPUTED_VALUE"""),"재앙")</f>
        <v>재앙</v>
      </c>
      <c r="U16" s="62">
        <f>IFERROR(__xludf.DUMMYFUNCTION("""COMPUTED_VALUE"""),6.0)</f>
        <v>6</v>
      </c>
      <c r="V16" s="62"/>
      <c r="W16" s="62"/>
      <c r="X16" s="62"/>
      <c r="Y16" s="62"/>
      <c r="Z16" s="62"/>
    </row>
    <row r="17">
      <c r="A17" s="62"/>
      <c r="B17" s="62" t="str">
        <f>IFERROR(__xludf.DUMMYFUNCTION("""COMPUTED_VALUE"""),"欽")</f>
        <v>欽</v>
      </c>
      <c r="C17" s="62">
        <f>IFERROR(__xludf.DUMMYFUNCTION("""COMPUTED_VALUE"""),3.0)</f>
        <v>3</v>
      </c>
      <c r="D17" s="62" t="str">
        <f>IFERROR(__xludf.DUMMYFUNCTION("""COMPUTED_VALUE"""),"遷")</f>
        <v>遷</v>
      </c>
      <c r="E17" s="62">
        <f>IFERROR(__xludf.DUMMYFUNCTION("""COMPUTED_VALUE"""),5.0)</f>
        <v>5</v>
      </c>
      <c r="F17" s="62" t="str">
        <f>IFERROR(__xludf.DUMMYFUNCTION("""COMPUTED_VALUE"""),"敦篤 (돈독)")</f>
        <v>敦篤 (돈독)</v>
      </c>
      <c r="G17" s="62">
        <f>IFERROR(__xludf.DUMMYFUNCTION("""COMPUTED_VALUE"""),4.0)</f>
        <v>4</v>
      </c>
      <c r="H17" s="62" t="str">
        <f>IFERROR(__xludf.DUMMYFUNCTION("""COMPUTED_VALUE"""),"美醜 (미추)")</f>
        <v>美醜 (미추)</v>
      </c>
      <c r="I17" s="62">
        <f>IFERROR(__xludf.DUMMYFUNCTION("""COMPUTED_VALUE"""),4.0)</f>
        <v>4</v>
      </c>
      <c r="L17" s="62"/>
      <c r="M17" s="62"/>
      <c r="N17" s="62" t="str">
        <f>IFERROR(__xludf.DUMMYFUNCTION("""COMPUTED_VALUE"""),"拙稿")</f>
        <v>拙稿</v>
      </c>
      <c r="O17" s="62">
        <f>IFERROR(__xludf.DUMMYFUNCTION("""COMPUTED_VALUE"""),2.0)</f>
        <v>2</v>
      </c>
      <c r="P17" s="62" t="str">
        <f>IFERROR(__xludf.DUMMYFUNCTION("""COMPUTED_VALUE"""),"(同期)")</f>
        <v>(同期)</v>
      </c>
      <c r="Q17" s="62">
        <f>IFERROR(__xludf.DUMMYFUNCTION("""COMPUTED_VALUE"""),2.0)</f>
        <v>2</v>
      </c>
      <c r="R17" s="62" t="str">
        <f>IFERROR(__xludf.DUMMYFUNCTION("""COMPUTED_VALUE"""),"切齒腐心 (절치부심)")</f>
        <v>切齒腐心 (절치부심)</v>
      </c>
      <c r="S17" s="62">
        <f>IFERROR(__xludf.DUMMYFUNCTION("""COMPUTED_VALUE"""),7.0)</f>
        <v>7</v>
      </c>
      <c r="T17" s="62" t="str">
        <f>IFERROR(__xludf.DUMMYFUNCTION("""COMPUTED_VALUE"""),"지체")</f>
        <v>지체</v>
      </c>
      <c r="U17" s="62">
        <f>IFERROR(__xludf.DUMMYFUNCTION("""COMPUTED_VALUE"""),6.0)</f>
        <v>6</v>
      </c>
      <c r="V17" s="62"/>
      <c r="W17" s="62"/>
      <c r="X17" s="62"/>
      <c r="Y17" s="62"/>
      <c r="Z17" s="62"/>
    </row>
    <row r="18">
      <c r="A18" s="62"/>
      <c r="B18" s="62" t="str">
        <f>IFERROR(__xludf.DUMMYFUNCTION("""COMPUTED_VALUE"""),"歪")</f>
        <v>歪</v>
      </c>
      <c r="C18" s="62">
        <f>IFERROR(__xludf.DUMMYFUNCTION("""COMPUTED_VALUE"""),3.0)</f>
        <v>3</v>
      </c>
      <c r="D18" s="62" t="str">
        <f>IFERROR(__xludf.DUMMYFUNCTION("""COMPUTED_VALUE"""),"麥")</f>
        <v>麥</v>
      </c>
      <c r="E18" s="62">
        <f>IFERROR(__xludf.DUMMYFUNCTION("""COMPUTED_VALUE"""),5.0)</f>
        <v>5</v>
      </c>
      <c r="F18" s="62" t="str">
        <f>IFERROR(__xludf.DUMMYFUNCTION("""COMPUTED_VALUE"""),"洗濯 (세탁)")</f>
        <v>洗濯 (세탁)</v>
      </c>
      <c r="G18" s="62">
        <f>IFERROR(__xludf.DUMMYFUNCTION("""COMPUTED_VALUE"""),4.0)</f>
        <v>4</v>
      </c>
      <c r="H18" s="62" t="str">
        <f>IFERROR(__xludf.DUMMYFUNCTION("""COMPUTED_VALUE"""),"輕率 (경솔)")</f>
        <v>輕率 (경솔)</v>
      </c>
      <c r="I18" s="62">
        <f>IFERROR(__xludf.DUMMYFUNCTION("""COMPUTED_VALUE"""),4.0)</f>
        <v>4</v>
      </c>
      <c r="L18" s="62"/>
      <c r="M18" s="62"/>
      <c r="N18" s="62" t="str">
        <f>IFERROR(__xludf.DUMMYFUNCTION("""COMPUTED_VALUE"""),"掌握")</f>
        <v>掌握</v>
      </c>
      <c r="O18" s="62">
        <f>IFERROR(__xludf.DUMMYFUNCTION("""COMPUTED_VALUE"""),2.0)</f>
        <v>2</v>
      </c>
      <c r="P18" s="62" t="str">
        <f>IFERROR(__xludf.DUMMYFUNCTION("""COMPUTED_VALUE"""),"(孤寂)")</f>
        <v>(孤寂)</v>
      </c>
      <c r="Q18" s="62">
        <f>IFERROR(__xludf.DUMMYFUNCTION("""COMPUTED_VALUE"""),2.0)</f>
        <v>2</v>
      </c>
      <c r="R18" s="62" t="str">
        <f>IFERROR(__xludf.DUMMYFUNCTION("""COMPUTED_VALUE"""),"堂狗風月 (당구풍월)")</f>
        <v>堂狗風月 (당구풍월)</v>
      </c>
      <c r="S18" s="62">
        <f>IFERROR(__xludf.DUMMYFUNCTION("""COMPUTED_VALUE"""),7.0)</f>
        <v>7</v>
      </c>
      <c r="T18" s="62" t="str">
        <f>IFERROR(__xludf.DUMMYFUNCTION("""COMPUTED_VALUE"""),"파견")</f>
        <v>파견</v>
      </c>
      <c r="U18" s="62">
        <f>IFERROR(__xludf.DUMMYFUNCTION("""COMPUTED_VALUE"""),6.0)</f>
        <v>6</v>
      </c>
      <c r="V18" s="62"/>
      <c r="W18" s="62"/>
      <c r="X18" s="62"/>
      <c r="Y18" s="62"/>
      <c r="Z18" s="62"/>
    </row>
    <row r="19">
      <c r="A19" s="62"/>
      <c r="B19" s="62" t="str">
        <f>IFERROR(__xludf.DUMMYFUNCTION("""COMPUTED_VALUE"""),"毖")</f>
        <v>毖</v>
      </c>
      <c r="C19" s="62">
        <f>IFERROR(__xludf.DUMMYFUNCTION("""COMPUTED_VALUE"""),3.0)</f>
        <v>3</v>
      </c>
      <c r="D19" s="62" t="str">
        <f>IFERROR(__xludf.DUMMYFUNCTION("""COMPUTED_VALUE"""),"圍")</f>
        <v>圍</v>
      </c>
      <c r="E19" s="62">
        <f>IFERROR(__xludf.DUMMYFUNCTION("""COMPUTED_VALUE"""),4.0)</f>
        <v>4</v>
      </c>
      <c r="F19" s="62" t="str">
        <f>IFERROR(__xludf.DUMMYFUNCTION("""COMPUTED_VALUE"""),"獲得 (획득)")</f>
        <v>獲得 (획득)</v>
      </c>
      <c r="G19" s="62">
        <f>IFERROR(__xludf.DUMMYFUNCTION("""COMPUTED_VALUE"""),4.0)</f>
        <v>4</v>
      </c>
      <c r="H19" s="62" t="str">
        <f>IFERROR(__xludf.DUMMYFUNCTION("""COMPUTED_VALUE"""),"高雅 (고아)")</f>
        <v>高雅 (고아)</v>
      </c>
      <c r="I19" s="62">
        <f>IFERROR(__xludf.DUMMYFUNCTION("""COMPUTED_VALUE"""),4.0)</f>
        <v>4</v>
      </c>
      <c r="L19" s="62"/>
      <c r="M19" s="62"/>
      <c r="N19" s="62" t="str">
        <f>IFERROR(__xludf.DUMMYFUNCTION("""COMPUTED_VALUE"""),"棟梁")</f>
        <v>棟梁</v>
      </c>
      <c r="O19" s="62">
        <f>IFERROR(__xludf.DUMMYFUNCTION("""COMPUTED_VALUE"""),2.0)</f>
        <v>2</v>
      </c>
      <c r="P19" s="62" t="str">
        <f>IFERROR(__xludf.DUMMYFUNCTION("""COMPUTED_VALUE"""),"(巨富)")</f>
        <v>(巨富)</v>
      </c>
      <c r="Q19" s="62">
        <f>IFERROR(__xludf.DUMMYFUNCTION("""COMPUTED_VALUE"""),2.0)</f>
        <v>2</v>
      </c>
      <c r="R19" s="62" t="str">
        <f>IFERROR(__xludf.DUMMYFUNCTION("""COMPUTED_VALUE"""),"塞翁之馬 (새옹지마)")</f>
        <v>塞翁之馬 (새옹지마)</v>
      </c>
      <c r="S19" s="62">
        <f>IFERROR(__xludf.DUMMYFUNCTION("""COMPUTED_VALUE"""),7.0)</f>
        <v>7</v>
      </c>
      <c r="T19" s="62" t="str">
        <f>IFERROR(__xludf.DUMMYFUNCTION("""COMPUTED_VALUE"""),"포옹")</f>
        <v>포옹</v>
      </c>
      <c r="U19" s="62">
        <f>IFERROR(__xludf.DUMMYFUNCTION("""COMPUTED_VALUE"""),6.0)</f>
        <v>6</v>
      </c>
      <c r="V19" s="62"/>
      <c r="W19" s="62"/>
      <c r="X19" s="62"/>
      <c r="Y19" s="62"/>
      <c r="Z19" s="62"/>
    </row>
    <row r="20">
      <c r="A20" s="62"/>
      <c r="B20" s="62" t="str">
        <f>IFERROR(__xludf.DUMMYFUNCTION("""COMPUTED_VALUE"""),"焦")</f>
        <v>焦</v>
      </c>
      <c r="C20" s="62">
        <f>IFERROR(__xludf.DUMMYFUNCTION("""COMPUTED_VALUE"""),3.0)</f>
        <v>3</v>
      </c>
      <c r="D20" s="62" t="str">
        <f>IFERROR(__xludf.DUMMYFUNCTION("""COMPUTED_VALUE"""),"壽")</f>
        <v>壽</v>
      </c>
      <c r="E20" s="62">
        <f>IFERROR(__xludf.DUMMYFUNCTION("""COMPUTED_VALUE"""),4.0)</f>
        <v>4</v>
      </c>
      <c r="F20" s="62" t="str">
        <f>IFERROR(__xludf.DUMMYFUNCTION("""COMPUTED_VALUE"""),"詐欺 (사기)")</f>
        <v>詐欺 (사기)</v>
      </c>
      <c r="G20" s="62">
        <f>IFERROR(__xludf.DUMMYFUNCTION("""COMPUTED_VALUE"""),4.0)</f>
        <v>4</v>
      </c>
      <c r="H20" s="62" t="str">
        <f>IFERROR(__xludf.DUMMYFUNCTION("""COMPUTED_VALUE"""),"노련 (老鍊)")</f>
        <v>노련 (老鍊)</v>
      </c>
      <c r="I20" s="62">
        <f>IFERROR(__xludf.DUMMYFUNCTION("""COMPUTED_VALUE"""),4.0)</f>
        <v>4</v>
      </c>
      <c r="L20" s="62"/>
      <c r="M20" s="62"/>
      <c r="N20" s="62" t="str">
        <f>IFERROR(__xludf.DUMMYFUNCTION("""COMPUTED_VALUE"""),"歪曲")</f>
        <v>歪曲</v>
      </c>
      <c r="O20" s="62">
        <f>IFERROR(__xludf.DUMMYFUNCTION("""COMPUTED_VALUE"""),2.0)</f>
        <v>2</v>
      </c>
      <c r="P20" s="62" t="str">
        <f>IFERROR(__xludf.DUMMYFUNCTION("""COMPUTED_VALUE"""),"(幻影)")</f>
        <v>(幻影)</v>
      </c>
      <c r="Q20" s="62">
        <f>IFERROR(__xludf.DUMMYFUNCTION("""COMPUTED_VALUE"""),2.0)</f>
        <v>2</v>
      </c>
      <c r="R20" s="62" t="str">
        <f>IFERROR(__xludf.DUMMYFUNCTION("""COMPUTED_VALUE"""),"如履薄氷 (여리박빙)")</f>
        <v>如履薄氷 (여리박빙)</v>
      </c>
      <c r="S20" s="62">
        <f>IFERROR(__xludf.DUMMYFUNCTION("""COMPUTED_VALUE"""),7.0)</f>
        <v>7</v>
      </c>
      <c r="T20" s="62" t="str">
        <f>IFERROR(__xludf.DUMMYFUNCTION("""COMPUTED_VALUE"""),"감독")</f>
        <v>감독</v>
      </c>
      <c r="U20" s="62">
        <f>IFERROR(__xludf.DUMMYFUNCTION("""COMPUTED_VALUE"""),5.0)</f>
        <v>5</v>
      </c>
      <c r="V20" s="62"/>
      <c r="W20" s="62"/>
      <c r="X20" s="62"/>
      <c r="Y20" s="62"/>
      <c r="Z20" s="62"/>
    </row>
    <row r="21">
      <c r="A21" s="62"/>
      <c r="B21" s="62" t="str">
        <f>IFERROR(__xludf.DUMMYFUNCTION("""COMPUTED_VALUE"""),"矛")</f>
        <v>矛</v>
      </c>
      <c r="C21" s="62">
        <f>IFERROR(__xludf.DUMMYFUNCTION("""COMPUTED_VALUE"""),3.0)</f>
        <v>3</v>
      </c>
      <c r="D21" s="62" t="str">
        <f>IFERROR(__xludf.DUMMYFUNCTION("""COMPUTED_VALUE"""),"棄")</f>
        <v>棄</v>
      </c>
      <c r="E21" s="62">
        <f>IFERROR(__xludf.DUMMYFUNCTION("""COMPUTED_VALUE"""),4.0)</f>
        <v>4</v>
      </c>
      <c r="F21" s="62" t="str">
        <f>IFERROR(__xludf.DUMMYFUNCTION("""COMPUTED_VALUE"""),"販賣 (판매)")</f>
        <v>販賣 (판매)</v>
      </c>
      <c r="G21" s="62">
        <f>IFERROR(__xludf.DUMMYFUNCTION("""COMPUTED_VALUE"""),4.0)</f>
        <v>4</v>
      </c>
      <c r="H21" s="62" t="str">
        <f>IFERROR(__xludf.DUMMYFUNCTION("""COMPUTED_VALUE"""),"유약 (柔弱)")</f>
        <v>유약 (柔弱)</v>
      </c>
      <c r="I21" s="62">
        <f>IFERROR(__xludf.DUMMYFUNCTION("""COMPUTED_VALUE"""),4.0)</f>
        <v>4</v>
      </c>
      <c r="L21" s="62"/>
      <c r="M21" s="62"/>
      <c r="N21" s="62" t="str">
        <f>IFERROR(__xludf.DUMMYFUNCTION("""COMPUTED_VALUE"""),"歸巢")</f>
        <v>歸巢</v>
      </c>
      <c r="O21" s="62">
        <f>IFERROR(__xludf.DUMMYFUNCTION("""COMPUTED_VALUE"""),2.0)</f>
        <v>2</v>
      </c>
      <c r="P21" s="62" t="str">
        <f>IFERROR(__xludf.DUMMYFUNCTION("""COMPUTED_VALUE"""),"(扶養)")</f>
        <v>(扶養)</v>
      </c>
      <c r="Q21" s="62">
        <f>IFERROR(__xludf.DUMMYFUNCTION("""COMPUTED_VALUE"""),2.0)</f>
        <v>2</v>
      </c>
      <c r="R21" s="62" t="str">
        <f>IFERROR(__xludf.DUMMYFUNCTION("""COMPUTED_VALUE"""),"孤掌難鳴 (고장난명)")</f>
        <v>孤掌難鳴 (고장난명)</v>
      </c>
      <c r="S21" s="62">
        <f>IFERROR(__xludf.DUMMYFUNCTION("""COMPUTED_VALUE"""),7.0)</f>
        <v>7</v>
      </c>
      <c r="T21" s="62" t="str">
        <f>IFERROR(__xludf.DUMMYFUNCTION("""COMPUTED_VALUE"""),"균형")</f>
        <v>균형</v>
      </c>
      <c r="U21" s="62">
        <f>IFERROR(__xludf.DUMMYFUNCTION("""COMPUTED_VALUE"""),5.0)</f>
        <v>5</v>
      </c>
      <c r="V21" s="62"/>
      <c r="W21" s="62"/>
      <c r="X21" s="62"/>
      <c r="Y21" s="62"/>
      <c r="Z21" s="62"/>
    </row>
    <row r="22">
      <c r="A22" s="62"/>
      <c r="B22" s="62" t="str">
        <f>IFERROR(__xludf.DUMMYFUNCTION("""COMPUTED_VALUE"""),"秉")</f>
        <v>秉</v>
      </c>
      <c r="C22" s="62">
        <f>IFERROR(__xludf.DUMMYFUNCTION("""COMPUTED_VALUE"""),3.0)</f>
        <v>3</v>
      </c>
      <c r="D22" s="62" t="str">
        <f>IFERROR(__xludf.DUMMYFUNCTION("""COMPUTED_VALUE"""),"蓋")</f>
        <v>蓋</v>
      </c>
      <c r="E22" s="62">
        <f>IFERROR(__xludf.DUMMYFUNCTION("""COMPUTED_VALUE"""),4.0)</f>
        <v>4</v>
      </c>
      <c r="F22" s="62" t="str">
        <f>IFERROR(__xludf.DUMMYFUNCTION("""COMPUTED_VALUE"""),"遙遠 (요원)")</f>
        <v>遙遠 (요원)</v>
      </c>
      <c r="G22" s="62">
        <f>IFERROR(__xludf.DUMMYFUNCTION("""COMPUTED_VALUE"""),4.0)</f>
        <v>4</v>
      </c>
      <c r="H22" s="62" t="str">
        <f>IFERROR(__xludf.DUMMYFUNCTION("""COMPUTED_VALUE"""),"具體 (구체)")</f>
        <v>具體 (구체)</v>
      </c>
      <c r="I22" s="62">
        <f>IFERROR(__xludf.DUMMYFUNCTION("""COMPUTED_VALUE"""),3.0)</f>
        <v>3</v>
      </c>
      <c r="L22" s="62"/>
      <c r="M22" s="62"/>
      <c r="N22" s="62" t="str">
        <f>IFERROR(__xludf.DUMMYFUNCTION("""COMPUTED_VALUE"""),"滯拂")</f>
        <v>滯拂</v>
      </c>
      <c r="O22" s="62">
        <f>IFERROR(__xludf.DUMMYFUNCTION("""COMPUTED_VALUE"""),2.0)</f>
        <v>2</v>
      </c>
      <c r="P22" s="62" t="str">
        <f>IFERROR(__xludf.DUMMYFUNCTION("""COMPUTED_VALUE"""),"(推問)")</f>
        <v>(推問)</v>
      </c>
      <c r="Q22" s="62">
        <f>IFERROR(__xludf.DUMMYFUNCTION("""COMPUTED_VALUE"""),2.0)</f>
        <v>2</v>
      </c>
      <c r="R22" s="62" t="str">
        <f>IFERROR(__xludf.DUMMYFUNCTION("""COMPUTED_VALUE"""),"街談巷說 (가담항설)")</f>
        <v>街談巷說 (가담항설)</v>
      </c>
      <c r="S22" s="62">
        <f>IFERROR(__xludf.DUMMYFUNCTION("""COMPUTED_VALUE"""),7.0)</f>
        <v>7</v>
      </c>
      <c r="T22" s="62" t="str">
        <f>IFERROR(__xludf.DUMMYFUNCTION("""COMPUTED_VALUE"""),"기권")</f>
        <v>기권</v>
      </c>
      <c r="U22" s="62">
        <f>IFERROR(__xludf.DUMMYFUNCTION("""COMPUTED_VALUE"""),5.0)</f>
        <v>5</v>
      </c>
      <c r="V22" s="62"/>
      <c r="W22" s="62"/>
      <c r="X22" s="62"/>
      <c r="Y22" s="62"/>
      <c r="Z22" s="62"/>
    </row>
    <row r="23">
      <c r="A23" s="62"/>
      <c r="B23" s="62" t="str">
        <f>IFERROR(__xludf.DUMMYFUNCTION("""COMPUTED_VALUE"""),"翰")</f>
        <v>翰</v>
      </c>
      <c r="C23" s="62">
        <f>IFERROR(__xludf.DUMMYFUNCTION("""COMPUTED_VALUE"""),3.0)</f>
        <v>3</v>
      </c>
      <c r="D23" s="62" t="str">
        <f>IFERROR(__xludf.DUMMYFUNCTION("""COMPUTED_VALUE"""),"觸")</f>
        <v>觸</v>
      </c>
      <c r="E23" s="62">
        <f>IFERROR(__xludf.DUMMYFUNCTION("""COMPUTED_VALUE"""),4.0)</f>
        <v>4</v>
      </c>
      <c r="F23" s="62" t="str">
        <f>IFERROR(__xludf.DUMMYFUNCTION("""COMPUTED_VALUE"""),"애도 (哀悼)")</f>
        <v>애도 (哀悼)</v>
      </c>
      <c r="G23" s="62">
        <f>IFERROR(__xludf.DUMMYFUNCTION("""COMPUTED_VALUE"""),4.0)</f>
        <v>4</v>
      </c>
      <c r="H23" s="62" t="str">
        <f>IFERROR(__xludf.DUMMYFUNCTION("""COMPUTED_VALUE"""),"剛柔 (강유)")</f>
        <v>剛柔 (강유)</v>
      </c>
      <c r="I23" s="62">
        <f>IFERROR(__xludf.DUMMYFUNCTION("""COMPUTED_VALUE"""),3.0)</f>
        <v>3</v>
      </c>
      <c r="L23" s="62"/>
      <c r="M23" s="62"/>
      <c r="N23" s="62" t="str">
        <f>IFERROR(__xludf.DUMMYFUNCTION("""COMPUTED_VALUE"""),"漣波")</f>
        <v>漣波</v>
      </c>
      <c r="O23" s="62">
        <f>IFERROR(__xludf.DUMMYFUNCTION("""COMPUTED_VALUE"""),2.0)</f>
        <v>2</v>
      </c>
      <c r="P23" s="62" t="str">
        <f>IFERROR(__xludf.DUMMYFUNCTION("""COMPUTED_VALUE"""),"(母艦)")</f>
        <v>(母艦)</v>
      </c>
      <c r="Q23" s="62">
        <f>IFERROR(__xludf.DUMMYFUNCTION("""COMPUTED_VALUE"""),2.0)</f>
        <v>2</v>
      </c>
      <c r="R23" s="62" t="str">
        <f>IFERROR(__xludf.DUMMYFUNCTION("""COMPUTED_VALUE"""),"靑出於藍 (청출어람)")</f>
        <v>靑出於藍 (청출어람)</v>
      </c>
      <c r="S23" s="62">
        <f>IFERROR(__xludf.DUMMYFUNCTION("""COMPUTED_VALUE"""),7.0)</f>
        <v>7</v>
      </c>
      <c r="T23" s="62" t="str">
        <f>IFERROR(__xludf.DUMMYFUNCTION("""COMPUTED_VALUE"""),"단서")</f>
        <v>단서</v>
      </c>
      <c r="U23" s="62">
        <f>IFERROR(__xludf.DUMMYFUNCTION("""COMPUTED_VALUE"""),5.0)</f>
        <v>5</v>
      </c>
      <c r="V23" s="62"/>
      <c r="W23" s="62"/>
      <c r="X23" s="62"/>
      <c r="Y23" s="62"/>
      <c r="Z23" s="62"/>
    </row>
    <row r="24">
      <c r="A24" s="62"/>
      <c r="B24" s="62" t="str">
        <f>IFERROR(__xludf.DUMMYFUNCTION("""COMPUTED_VALUE"""),"耆")</f>
        <v>耆</v>
      </c>
      <c r="C24" s="62">
        <f>IFERROR(__xludf.DUMMYFUNCTION("""COMPUTED_VALUE"""),3.0)</f>
        <v>3</v>
      </c>
      <c r="D24" s="62" t="str">
        <f>IFERROR(__xludf.DUMMYFUNCTION("""COMPUTED_VALUE"""),"寶")</f>
        <v>寶</v>
      </c>
      <c r="E24" s="62">
        <f>IFERROR(__xludf.DUMMYFUNCTION("""COMPUTED_VALUE"""),3.0)</f>
        <v>3</v>
      </c>
      <c r="F24" s="62" t="str">
        <f>IFERROR(__xludf.DUMMYFUNCTION("""COMPUTED_VALUE"""),"혹심 / 혹독 (酷甚 / 酷毒)")</f>
        <v>혹심 / 혹독 (酷甚 / 酷毒)</v>
      </c>
      <c r="G24" s="62">
        <f>IFERROR(__xludf.DUMMYFUNCTION("""COMPUTED_VALUE"""),4.0)</f>
        <v>4</v>
      </c>
      <c r="H24" s="62" t="str">
        <f>IFERROR(__xludf.DUMMYFUNCTION("""COMPUTED_VALUE"""),"建設 (건설)")</f>
        <v>建設 (건설)</v>
      </c>
      <c r="I24" s="62">
        <f>IFERROR(__xludf.DUMMYFUNCTION("""COMPUTED_VALUE"""),3.0)</f>
        <v>3</v>
      </c>
      <c r="L24" s="62"/>
      <c r="M24" s="62"/>
      <c r="N24" s="62" t="str">
        <f>IFERROR(__xludf.DUMMYFUNCTION("""COMPUTED_VALUE"""),"爐邊")</f>
        <v>爐邊</v>
      </c>
      <c r="O24" s="62">
        <f>IFERROR(__xludf.DUMMYFUNCTION("""COMPUTED_VALUE"""),2.0)</f>
        <v>2</v>
      </c>
      <c r="P24" s="62" t="str">
        <f>IFERROR(__xludf.DUMMYFUNCTION("""COMPUTED_VALUE"""),"(演技)")</f>
        <v>(演技)</v>
      </c>
      <c r="Q24" s="62">
        <f>IFERROR(__xludf.DUMMYFUNCTION("""COMPUTED_VALUE"""),2.0)</f>
        <v>2</v>
      </c>
      <c r="R24" s="62" t="str">
        <f>IFERROR(__xludf.DUMMYFUNCTION("""COMPUTED_VALUE"""),"吟風弄月 (음풍농월)")</f>
        <v>吟風弄月 (음풍농월)</v>
      </c>
      <c r="S24" s="62">
        <f>IFERROR(__xludf.DUMMYFUNCTION("""COMPUTED_VALUE"""),6.0)</f>
        <v>6</v>
      </c>
      <c r="T24" s="62" t="str">
        <f>IFERROR(__xludf.DUMMYFUNCTION("""COMPUTED_VALUE"""),"답습")</f>
        <v>답습</v>
      </c>
      <c r="U24" s="62">
        <f>IFERROR(__xludf.DUMMYFUNCTION("""COMPUTED_VALUE"""),5.0)</f>
        <v>5</v>
      </c>
      <c r="V24" s="62"/>
      <c r="W24" s="62"/>
      <c r="X24" s="62"/>
      <c r="Y24" s="62"/>
      <c r="Z24" s="62"/>
    </row>
    <row r="25">
      <c r="A25" s="62"/>
      <c r="B25" s="62" t="str">
        <f>IFERROR(__xludf.DUMMYFUNCTION("""COMPUTED_VALUE"""),"衍")</f>
        <v>衍</v>
      </c>
      <c r="C25" s="62">
        <f>IFERROR(__xludf.DUMMYFUNCTION("""COMPUTED_VALUE"""),3.0)</f>
        <v>3</v>
      </c>
      <c r="D25" s="62" t="str">
        <f>IFERROR(__xludf.DUMMYFUNCTION("""COMPUTED_VALUE"""),"廢")</f>
        <v>廢</v>
      </c>
      <c r="E25" s="62">
        <f>IFERROR(__xludf.DUMMYFUNCTION("""COMPUTED_VALUE"""),3.0)</f>
        <v>3</v>
      </c>
      <c r="F25" s="62" t="str">
        <f>IFERROR(__xludf.DUMMYFUNCTION("""COMPUTED_VALUE"""),"催促 (최촉)")</f>
        <v>催促 (최촉)</v>
      </c>
      <c r="G25" s="62">
        <f>IFERROR(__xludf.DUMMYFUNCTION("""COMPUTED_VALUE"""),3.0)</f>
        <v>3</v>
      </c>
      <c r="H25" s="62" t="str">
        <f>IFERROR(__xludf.DUMMYFUNCTION("""COMPUTED_VALUE"""),"明朗 (명랑)")</f>
        <v>明朗 (명랑)</v>
      </c>
      <c r="I25" s="62">
        <f>IFERROR(__xludf.DUMMYFUNCTION("""COMPUTED_VALUE"""),3.0)</f>
        <v>3</v>
      </c>
      <c r="L25" s="62"/>
      <c r="M25" s="62"/>
      <c r="N25" s="62" t="str">
        <f>IFERROR(__xludf.DUMMYFUNCTION("""COMPUTED_VALUE"""),"疆土")</f>
        <v>疆土</v>
      </c>
      <c r="O25" s="62">
        <f>IFERROR(__xludf.DUMMYFUNCTION("""COMPUTED_VALUE"""),2.0)</f>
        <v>2</v>
      </c>
      <c r="P25" s="62" t="str">
        <f>IFERROR(__xludf.DUMMYFUNCTION("""COMPUTED_VALUE"""),"(玉成)")</f>
        <v>(玉成)</v>
      </c>
      <c r="Q25" s="62">
        <f>IFERROR(__xludf.DUMMYFUNCTION("""COMPUTED_VALUE"""),2.0)</f>
        <v>2</v>
      </c>
      <c r="R25" s="62" t="str">
        <f>IFERROR(__xludf.DUMMYFUNCTION("""COMPUTED_VALUE"""),"巧言令色 (교언영색)")</f>
        <v>巧言令色 (교언영색)</v>
      </c>
      <c r="S25" s="62">
        <f>IFERROR(__xludf.DUMMYFUNCTION("""COMPUTED_VALUE"""),6.0)</f>
        <v>6</v>
      </c>
      <c r="T25" s="62" t="str">
        <f>IFERROR(__xludf.DUMMYFUNCTION("""COMPUTED_VALUE"""),"모집")</f>
        <v>모집</v>
      </c>
      <c r="U25" s="62">
        <f>IFERROR(__xludf.DUMMYFUNCTION("""COMPUTED_VALUE"""),5.0)</f>
        <v>5</v>
      </c>
      <c r="V25" s="62"/>
      <c r="W25" s="62"/>
      <c r="X25" s="62"/>
      <c r="Y25" s="62"/>
      <c r="Z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62"/>
      <c r="B27" s="62" t="str">
        <f>=QUERY('사자성어'!F3:F746, "SELECT Col1 WHERE Col1 IS NOT NULL AND Col1 MATCHES '^[\u4E00-\u9FFF].*'")</f>
        <v>#ERROR!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6">
    <mergeCell ref="B4:C4"/>
    <mergeCell ref="D4:E4"/>
    <mergeCell ref="F4:G4"/>
    <mergeCell ref="H4:I4"/>
    <mergeCell ref="J4:K4"/>
    <mergeCell ref="L4:M4"/>
  </mergeCells>
  <drawing r:id="rId1"/>
</worksheet>
</file>